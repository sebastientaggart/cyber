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1929" codeName="{1AED2BDD-1FA3-CEF2-32D4-FBADEFEB71EE}"/>
  <workbookPr filterPrivacy="1" codeName="ThisWorkbook" hidePivotFieldList="1"/>
  <xr:revisionPtr revIDLastSave="0" documentId="8_{E326BD86-B770-4669-8E42-17F828EB004C}" xr6:coauthVersionLast="44" xr6:coauthVersionMax="44" xr10:uidLastSave="{00000000-0000-0000-0000-000000000000}"/>
  <bookViews>
    <workbookView xWindow="1860" yWindow="1860" windowWidth="14400" windowHeight="7360" xr2:uid="{00000000-000D-0000-FFFF-FFFF00000000}"/>
  </bookViews>
  <sheets>
    <sheet name="Instructions" sheetId="1" r:id="rId1"/>
    <sheet name="Threat Sub-Practice Matrix" sheetId="2" r:id="rId2"/>
    <sheet name="Organization Size Chart" sheetId="4" r:id="rId3"/>
    <sheet name="Threat &amp; Practices Chart" sheetId="3" r:id="rId4"/>
  </sheets>
  <definedNames>
    <definedName name="_xlnm._FilterDatabase" localSheetId="1" hidden="1">'Threat Sub-Practice Matrix'!$A$10:$S$135</definedName>
    <definedName name="_xlnm.Print_Area" localSheetId="0">Instructions!$A$1:$Q$111</definedName>
    <definedName name="_xlnm.Print_Titles" localSheetId="0">Instructions!$1:$41</definedName>
  </definedNames>
  <calcPr calcId="191029"/>
  <extLs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R101" i="2" l="1"/>
  <c r="Q101" i="2"/>
  <c r="P101" i="2"/>
  <c r="O101" i="2"/>
  <c r="D101" i="2"/>
  <c r="R99" i="2"/>
  <c r="Q99" i="2"/>
  <c r="P99" i="2"/>
  <c r="O99" i="2"/>
  <c r="D99" i="2"/>
  <c r="R97" i="2"/>
  <c r="Q97" i="2"/>
  <c r="P97" i="2"/>
  <c r="O97" i="2"/>
  <c r="D97" i="2"/>
  <c r="R95" i="2"/>
  <c r="Q95" i="2"/>
  <c r="P95" i="2"/>
  <c r="O95" i="2"/>
  <c r="D95" i="2"/>
  <c r="R93" i="2"/>
  <c r="Q93" i="2"/>
  <c r="P93" i="2"/>
  <c r="O93" i="2"/>
  <c r="D93" i="2"/>
  <c r="R91" i="2"/>
  <c r="Q91" i="2"/>
  <c r="P91" i="2"/>
  <c r="O91" i="2"/>
  <c r="D91" i="2"/>
  <c r="R89" i="2"/>
  <c r="Q89" i="2"/>
  <c r="P89" i="2"/>
  <c r="O89" i="2"/>
  <c r="D89" i="2"/>
  <c r="R87" i="2"/>
  <c r="Q87" i="2"/>
  <c r="P87" i="2"/>
  <c r="O87" i="2"/>
  <c r="D87" i="2"/>
  <c r="R85" i="2"/>
  <c r="Q85" i="2"/>
  <c r="P85" i="2"/>
  <c r="O85" i="2"/>
  <c r="D85" i="2"/>
  <c r="R83" i="2"/>
  <c r="Q83" i="2"/>
  <c r="P83" i="2"/>
  <c r="O83" i="2"/>
  <c r="D83" i="2"/>
  <c r="R81" i="2"/>
  <c r="Q81" i="2"/>
  <c r="P81" i="2"/>
  <c r="O81" i="2"/>
  <c r="D81" i="2"/>
  <c r="R79" i="2"/>
  <c r="Q79" i="2"/>
  <c r="P79" i="2"/>
  <c r="O79" i="2"/>
  <c r="D79" i="2"/>
  <c r="R77" i="2"/>
  <c r="Q77" i="2"/>
  <c r="P77" i="2"/>
  <c r="O77" i="2"/>
  <c r="D77" i="2"/>
  <c r="R75" i="2"/>
  <c r="Q75" i="2"/>
  <c r="P75" i="2"/>
  <c r="O75" i="2"/>
  <c r="D75" i="2"/>
  <c r="R73" i="2"/>
  <c r="Q73" i="2"/>
  <c r="P73" i="2"/>
  <c r="O73" i="2"/>
  <c r="D73" i="2"/>
  <c r="R71" i="2"/>
  <c r="Q71" i="2"/>
  <c r="P71" i="2"/>
  <c r="O71" i="2"/>
  <c r="D71" i="2"/>
  <c r="R69" i="2"/>
  <c r="Q69" i="2"/>
  <c r="P69" i="2"/>
  <c r="O69" i="2"/>
  <c r="D69" i="2"/>
  <c r="R67" i="2"/>
  <c r="Q67" i="2"/>
  <c r="P67" i="2"/>
  <c r="O67" i="2"/>
  <c r="D67" i="2"/>
  <c r="R65" i="2"/>
  <c r="Q65" i="2"/>
  <c r="P65" i="2"/>
  <c r="O65" i="2"/>
  <c r="D65" i="2"/>
  <c r="R63" i="2"/>
  <c r="Q63" i="2"/>
  <c r="P63" i="2"/>
  <c r="O63" i="2"/>
  <c r="D63" i="2"/>
  <c r="R61" i="2"/>
  <c r="Q61" i="2"/>
  <c r="P61" i="2"/>
  <c r="O61" i="2"/>
  <c r="D61" i="2"/>
  <c r="R59" i="2"/>
  <c r="Q59" i="2"/>
  <c r="P59" i="2"/>
  <c r="O59" i="2"/>
  <c r="D59" i="2"/>
  <c r="R57" i="2"/>
  <c r="Q57" i="2"/>
  <c r="P57" i="2"/>
  <c r="O57" i="2"/>
  <c r="D57" i="2"/>
  <c r="R55" i="2"/>
  <c r="Q55" i="2"/>
  <c r="P55" i="2"/>
  <c r="O55" i="2"/>
  <c r="D55" i="2"/>
  <c r="R53" i="2"/>
  <c r="Q53" i="2"/>
  <c r="P53" i="2"/>
  <c r="O53" i="2"/>
  <c r="D53" i="2"/>
  <c r="R51" i="2"/>
  <c r="Q51" i="2"/>
  <c r="P51" i="2"/>
  <c r="O51" i="2"/>
  <c r="D51" i="2"/>
  <c r="R49" i="2"/>
  <c r="Q49" i="2"/>
  <c r="P49" i="2"/>
  <c r="O49" i="2"/>
  <c r="D49" i="2"/>
  <c r="R47" i="2"/>
  <c r="Q47" i="2"/>
  <c r="P47" i="2"/>
  <c r="O47" i="2"/>
  <c r="D47" i="2"/>
  <c r="R45" i="2"/>
  <c r="Q45" i="2"/>
  <c r="P45" i="2"/>
  <c r="O45" i="2"/>
  <c r="D45" i="2"/>
  <c r="R43" i="2"/>
  <c r="Q43" i="2"/>
  <c r="P43" i="2"/>
  <c r="O43" i="2"/>
  <c r="D43" i="2"/>
  <c r="R41" i="2"/>
  <c r="Q41" i="2"/>
  <c r="P41" i="2"/>
  <c r="O41" i="2"/>
  <c r="D41" i="2"/>
  <c r="R39" i="2"/>
  <c r="Q39" i="2"/>
  <c r="P39" i="2"/>
  <c r="O39" i="2"/>
  <c r="D39" i="2"/>
  <c r="R37" i="2"/>
  <c r="Q37" i="2"/>
  <c r="P37" i="2"/>
  <c r="O37" i="2"/>
  <c r="D37" i="2"/>
  <c r="R35" i="2"/>
  <c r="Q35" i="2"/>
  <c r="P35" i="2"/>
  <c r="O35" i="2"/>
  <c r="D35" i="2"/>
  <c r="R33" i="2"/>
  <c r="Q33" i="2"/>
  <c r="P33" i="2"/>
  <c r="O33" i="2"/>
  <c r="D33" i="2"/>
  <c r="R31" i="2"/>
  <c r="Q31" i="2"/>
  <c r="P31" i="2"/>
  <c r="O31" i="2"/>
  <c r="D31" i="2"/>
  <c r="D11" i="2"/>
  <c r="D12" i="2"/>
  <c r="D13" i="2"/>
  <c r="D14" i="2"/>
  <c r="D15" i="2"/>
  <c r="D16" i="2"/>
  <c r="D17" i="2"/>
  <c r="D18" i="2"/>
  <c r="D19" i="2"/>
  <c r="D20" i="2"/>
  <c r="D21" i="2"/>
  <c r="D22" i="2"/>
  <c r="D23" i="2"/>
  <c r="D24" i="2"/>
  <c r="D25" i="2"/>
  <c r="D26" i="2"/>
  <c r="D27" i="2"/>
  <c r="D28" i="2"/>
  <c r="D29" i="2"/>
  <c r="D30" i="2"/>
  <c r="D32" i="2"/>
  <c r="D34" i="2"/>
  <c r="D36" i="2"/>
  <c r="D38" i="2"/>
  <c r="D40" i="2"/>
  <c r="D42" i="2"/>
  <c r="D44" i="2"/>
  <c r="D46" i="2"/>
  <c r="D48" i="2"/>
  <c r="D50" i="2"/>
  <c r="D52" i="2"/>
  <c r="D54" i="2"/>
  <c r="D56" i="2"/>
  <c r="D58" i="2"/>
  <c r="D60" i="2"/>
  <c r="D62" i="2"/>
  <c r="D64" i="2"/>
  <c r="D66" i="2"/>
  <c r="D68" i="2"/>
  <c r="D70" i="2"/>
  <c r="D72" i="2"/>
  <c r="D74" i="2"/>
  <c r="D76" i="2"/>
  <c r="D78" i="2"/>
  <c r="D80" i="2"/>
  <c r="D82" i="2"/>
  <c r="D84" i="2"/>
  <c r="D86" i="2"/>
  <c r="D88" i="2"/>
  <c r="D90" i="2"/>
  <c r="D92" i="2"/>
  <c r="D94" i="2"/>
  <c r="D96" i="2"/>
  <c r="D98" i="2"/>
  <c r="D100" i="2"/>
  <c r="D102" i="2"/>
  <c r="D103" i="2"/>
  <c r="D104" i="2"/>
  <c r="D105" i="2"/>
  <c r="D106" i="2"/>
  <c r="D107" i="2"/>
  <c r="D108" i="2"/>
  <c r="D109" i="2"/>
  <c r="D110" i="2"/>
  <c r="D111" i="2"/>
  <c r="D112" i="2"/>
  <c r="D113" i="2"/>
  <c r="D114" i="2"/>
  <c r="D115" i="2"/>
  <c r="D116" i="2"/>
  <c r="D117" i="2"/>
  <c r="D118" i="2"/>
  <c r="D119" i="2"/>
  <c r="D120" i="2"/>
  <c r="D121" i="2"/>
  <c r="D122" i="2"/>
  <c r="D123" i="2"/>
  <c r="D124" i="2"/>
  <c r="D125" i="2"/>
  <c r="D126" i="2"/>
  <c r="D127" i="2"/>
  <c r="D128" i="2"/>
  <c r="D129" i="2"/>
  <c r="D130" i="2"/>
  <c r="D131" i="2"/>
  <c r="D132" i="2"/>
  <c r="D133" i="2"/>
  <c r="D134" i="2"/>
  <c r="D135" i="2"/>
  <c r="I29" i="1" l="1"/>
  <c r="D29" i="1" s="1"/>
  <c r="M29" i="1"/>
  <c r="H29" i="1" s="1"/>
  <c r="L30" i="1"/>
  <c r="G30" i="1" s="1"/>
  <c r="K31" i="1"/>
  <c r="F31" i="1" s="1"/>
  <c r="J32" i="1"/>
  <c r="E32" i="1" s="1"/>
  <c r="I33" i="1"/>
  <c r="D33" i="1" s="1"/>
  <c r="M33" i="1"/>
  <c r="H33" i="1" s="1"/>
  <c r="L35" i="1"/>
  <c r="G35" i="1" s="1"/>
  <c r="K36" i="1"/>
  <c r="F36" i="1" s="1"/>
  <c r="J37" i="1"/>
  <c r="E37" i="1" s="1"/>
  <c r="I34" i="1"/>
  <c r="D34" i="1" s="1"/>
  <c r="M34" i="1"/>
  <c r="H34" i="1" s="1"/>
  <c r="L38" i="1"/>
  <c r="G38" i="1" s="1"/>
  <c r="M38" i="1"/>
  <c r="H38" i="1" s="1"/>
  <c r="I31" i="1"/>
  <c r="D31" i="1" s="1"/>
  <c r="L32" i="1"/>
  <c r="G32" i="1" s="1"/>
  <c r="J35" i="1"/>
  <c r="E35" i="1" s="1"/>
  <c r="M36" i="1"/>
  <c r="H36" i="1" s="1"/>
  <c r="K34" i="1"/>
  <c r="F34" i="1" s="1"/>
  <c r="J38" i="1"/>
  <c r="E38" i="1" s="1"/>
  <c r="K30" i="1"/>
  <c r="F30" i="1" s="1"/>
  <c r="I32" i="1"/>
  <c r="D32" i="1" s="1"/>
  <c r="L33" i="1"/>
  <c r="G33" i="1" s="1"/>
  <c r="J36" i="1"/>
  <c r="E36" i="1" s="1"/>
  <c r="M37" i="1"/>
  <c r="H37" i="1" s="1"/>
  <c r="L34" i="1"/>
  <c r="G34" i="1" s="1"/>
  <c r="J29" i="1"/>
  <c r="E29" i="1" s="1"/>
  <c r="I30" i="1"/>
  <c r="D30" i="1" s="1"/>
  <c r="M30" i="1"/>
  <c r="H30" i="1" s="1"/>
  <c r="L31" i="1"/>
  <c r="G31" i="1" s="1"/>
  <c r="K32" i="1"/>
  <c r="F32" i="1" s="1"/>
  <c r="J33" i="1"/>
  <c r="E33" i="1" s="1"/>
  <c r="I35" i="1"/>
  <c r="D35" i="1" s="1"/>
  <c r="M35" i="1"/>
  <c r="H35" i="1" s="1"/>
  <c r="L36" i="1"/>
  <c r="G36" i="1" s="1"/>
  <c r="K37" i="1"/>
  <c r="F37" i="1" s="1"/>
  <c r="J34" i="1"/>
  <c r="E34" i="1" s="1"/>
  <c r="I38" i="1"/>
  <c r="D38" i="1" s="1"/>
  <c r="K29" i="1"/>
  <c r="F29" i="1" s="1"/>
  <c r="J30" i="1"/>
  <c r="E30" i="1" s="1"/>
  <c r="M31" i="1"/>
  <c r="H31" i="1" s="1"/>
  <c r="K33" i="1"/>
  <c r="F33" i="1" s="1"/>
  <c r="I36" i="1"/>
  <c r="D36" i="1" s="1"/>
  <c r="L37" i="1"/>
  <c r="G37" i="1" s="1"/>
  <c r="L29" i="1"/>
  <c r="G29" i="1" s="1"/>
  <c r="J31" i="1"/>
  <c r="E31" i="1" s="1"/>
  <c r="M32" i="1"/>
  <c r="H32" i="1" s="1"/>
  <c r="K35" i="1"/>
  <c r="F35" i="1" s="1"/>
  <c r="I37" i="1"/>
  <c r="D37" i="1" s="1"/>
  <c r="K38" i="1"/>
  <c r="F38" i="1" s="1"/>
  <c r="R11" i="2"/>
  <c r="R12" i="2"/>
  <c r="R13" i="2"/>
  <c r="R14" i="2"/>
  <c r="R15" i="2"/>
  <c r="R16" i="2"/>
  <c r="R17" i="2"/>
  <c r="R18" i="2"/>
  <c r="R19" i="2"/>
  <c r="R20" i="2"/>
  <c r="R21" i="2"/>
  <c r="R22" i="2"/>
  <c r="R23" i="2"/>
  <c r="R24" i="2"/>
  <c r="R25" i="2"/>
  <c r="R26" i="2"/>
  <c r="R27" i="2"/>
  <c r="R28" i="2"/>
  <c r="R29" i="2"/>
  <c r="R30" i="2"/>
  <c r="R32" i="2"/>
  <c r="R34" i="2"/>
  <c r="R36" i="2"/>
  <c r="R38" i="2"/>
  <c r="R40" i="2"/>
  <c r="R42" i="2"/>
  <c r="R44" i="2"/>
  <c r="R46" i="2"/>
  <c r="R48" i="2"/>
  <c r="R50" i="2"/>
  <c r="R52" i="2"/>
  <c r="R54" i="2"/>
  <c r="R56" i="2"/>
  <c r="R58" i="2"/>
  <c r="R60" i="2"/>
  <c r="R62" i="2"/>
  <c r="R64" i="2"/>
  <c r="R66" i="2"/>
  <c r="R68" i="2"/>
  <c r="R70" i="2"/>
  <c r="R72" i="2"/>
  <c r="R74" i="2"/>
  <c r="R76" i="2"/>
  <c r="R78" i="2"/>
  <c r="R80" i="2"/>
  <c r="R82" i="2"/>
  <c r="R84" i="2"/>
  <c r="R86" i="2"/>
  <c r="R88" i="2"/>
  <c r="R90" i="2"/>
  <c r="R92" i="2"/>
  <c r="R94" i="2"/>
  <c r="R96" i="2"/>
  <c r="R98" i="2"/>
  <c r="R100" i="2"/>
  <c r="R102" i="2"/>
  <c r="R103" i="2"/>
  <c r="R104" i="2"/>
  <c r="R105" i="2"/>
  <c r="R106" i="2"/>
  <c r="R107" i="2"/>
  <c r="R108" i="2"/>
  <c r="R109" i="2"/>
  <c r="R110" i="2"/>
  <c r="R111" i="2"/>
  <c r="R112" i="2"/>
  <c r="R113" i="2"/>
  <c r="R114" i="2"/>
  <c r="R115" i="2"/>
  <c r="R116" i="2"/>
  <c r="R117" i="2"/>
  <c r="R118" i="2"/>
  <c r="R119" i="2"/>
  <c r="R120" i="2"/>
  <c r="R121" i="2"/>
  <c r="R122" i="2"/>
  <c r="R123" i="2"/>
  <c r="R124" i="2"/>
  <c r="R125" i="2"/>
  <c r="R126" i="2"/>
  <c r="R127" i="2"/>
  <c r="R128" i="2"/>
  <c r="R129" i="2"/>
  <c r="R130" i="2"/>
  <c r="R131" i="2"/>
  <c r="R132" i="2"/>
  <c r="R133" i="2"/>
  <c r="R134" i="2"/>
  <c r="R135" i="2"/>
  <c r="Q11" i="2"/>
  <c r="Q12" i="2"/>
  <c r="Q13" i="2"/>
  <c r="Q14" i="2"/>
  <c r="Q15" i="2"/>
  <c r="Q16" i="2"/>
  <c r="Q17" i="2"/>
  <c r="Q18" i="2"/>
  <c r="Q19" i="2"/>
  <c r="Q20" i="2"/>
  <c r="Q21" i="2"/>
  <c r="Q22" i="2"/>
  <c r="Q23" i="2"/>
  <c r="Q24" i="2"/>
  <c r="Q25" i="2"/>
  <c r="Q26" i="2"/>
  <c r="Q27" i="2"/>
  <c r="Q28" i="2"/>
  <c r="Q29" i="2"/>
  <c r="Q30" i="2"/>
  <c r="Q32" i="2"/>
  <c r="Q34" i="2"/>
  <c r="Q36" i="2"/>
  <c r="Q38" i="2"/>
  <c r="Q40" i="2"/>
  <c r="Q42" i="2"/>
  <c r="Q44" i="2"/>
  <c r="Q46" i="2"/>
  <c r="Q48" i="2"/>
  <c r="Q50" i="2"/>
  <c r="Q52" i="2"/>
  <c r="Q54" i="2"/>
  <c r="Q56" i="2"/>
  <c r="Q58" i="2"/>
  <c r="Q60" i="2"/>
  <c r="Q62" i="2"/>
  <c r="Q64" i="2"/>
  <c r="Q66" i="2"/>
  <c r="Q68" i="2"/>
  <c r="Q70" i="2"/>
  <c r="Q72" i="2"/>
  <c r="Q74" i="2"/>
  <c r="Q76" i="2"/>
  <c r="Q78" i="2"/>
  <c r="Q80" i="2"/>
  <c r="Q82" i="2"/>
  <c r="Q84" i="2"/>
  <c r="Q86" i="2"/>
  <c r="Q88" i="2"/>
  <c r="Q90" i="2"/>
  <c r="Q92" i="2"/>
  <c r="Q94" i="2"/>
  <c r="Q96" i="2"/>
  <c r="Q98" i="2"/>
  <c r="Q100" i="2"/>
  <c r="Q102" i="2"/>
  <c r="Q103" i="2"/>
  <c r="Q104" i="2"/>
  <c r="Q105" i="2"/>
  <c r="Q106" i="2"/>
  <c r="Q107" i="2"/>
  <c r="Q108" i="2"/>
  <c r="Q109" i="2"/>
  <c r="Q110" i="2"/>
  <c r="Q111" i="2"/>
  <c r="Q112" i="2"/>
  <c r="Q113" i="2"/>
  <c r="Q114" i="2"/>
  <c r="Q115" i="2"/>
  <c r="Q116" i="2"/>
  <c r="Q117" i="2"/>
  <c r="Q118" i="2"/>
  <c r="Q119" i="2"/>
  <c r="Q120" i="2"/>
  <c r="Q121" i="2"/>
  <c r="Q122" i="2"/>
  <c r="Q123" i="2"/>
  <c r="Q124" i="2"/>
  <c r="Q125" i="2"/>
  <c r="Q126" i="2"/>
  <c r="Q127" i="2"/>
  <c r="Q128" i="2"/>
  <c r="Q129" i="2"/>
  <c r="Q130" i="2"/>
  <c r="Q131" i="2"/>
  <c r="Q132" i="2"/>
  <c r="Q133" i="2"/>
  <c r="Q134" i="2"/>
  <c r="Q135" i="2"/>
  <c r="P11" i="2"/>
  <c r="P12" i="2"/>
  <c r="P13" i="2"/>
  <c r="P14" i="2"/>
  <c r="P15" i="2"/>
  <c r="P16" i="2"/>
  <c r="P17" i="2"/>
  <c r="P18" i="2"/>
  <c r="P19" i="2"/>
  <c r="P20" i="2"/>
  <c r="P21" i="2"/>
  <c r="P22" i="2"/>
  <c r="P23" i="2"/>
  <c r="P24" i="2"/>
  <c r="P25" i="2"/>
  <c r="P26" i="2"/>
  <c r="P27" i="2"/>
  <c r="P28" i="2"/>
  <c r="P29" i="2"/>
  <c r="P30" i="2"/>
  <c r="P32" i="2"/>
  <c r="P34" i="2"/>
  <c r="P36" i="2"/>
  <c r="P38" i="2"/>
  <c r="P40" i="2"/>
  <c r="P42" i="2"/>
  <c r="P44" i="2"/>
  <c r="P46" i="2"/>
  <c r="P48" i="2"/>
  <c r="P50" i="2"/>
  <c r="P52" i="2"/>
  <c r="P54" i="2"/>
  <c r="P56" i="2"/>
  <c r="P58" i="2"/>
  <c r="P60" i="2"/>
  <c r="P62" i="2"/>
  <c r="P64" i="2"/>
  <c r="P66" i="2"/>
  <c r="P68" i="2"/>
  <c r="P70" i="2"/>
  <c r="P72" i="2"/>
  <c r="P74" i="2"/>
  <c r="P76" i="2"/>
  <c r="P78" i="2"/>
  <c r="P80" i="2"/>
  <c r="P82" i="2"/>
  <c r="P84" i="2"/>
  <c r="P86" i="2"/>
  <c r="P88" i="2"/>
  <c r="P90" i="2"/>
  <c r="P92" i="2"/>
  <c r="P94" i="2"/>
  <c r="P96" i="2"/>
  <c r="P98" i="2"/>
  <c r="P100" i="2"/>
  <c r="P102" i="2"/>
  <c r="P103" i="2"/>
  <c r="P104" i="2"/>
  <c r="P105" i="2"/>
  <c r="P106" i="2"/>
  <c r="P107" i="2"/>
  <c r="P108" i="2"/>
  <c r="P109" i="2"/>
  <c r="P110" i="2"/>
  <c r="P111" i="2"/>
  <c r="P112" i="2"/>
  <c r="P113" i="2"/>
  <c r="P114" i="2"/>
  <c r="P115" i="2"/>
  <c r="P116" i="2"/>
  <c r="P117" i="2"/>
  <c r="P118" i="2"/>
  <c r="P119" i="2"/>
  <c r="P120" i="2"/>
  <c r="P121" i="2"/>
  <c r="P122" i="2"/>
  <c r="P123" i="2"/>
  <c r="P124" i="2"/>
  <c r="P125" i="2"/>
  <c r="P126" i="2"/>
  <c r="P127" i="2"/>
  <c r="P128" i="2"/>
  <c r="P129" i="2"/>
  <c r="P130" i="2"/>
  <c r="P131" i="2"/>
  <c r="P132" i="2"/>
  <c r="P133" i="2"/>
  <c r="P134" i="2"/>
  <c r="P135" i="2"/>
  <c r="O11" i="2"/>
  <c r="O12" i="2"/>
  <c r="O13" i="2"/>
  <c r="O14" i="2"/>
  <c r="O15" i="2"/>
  <c r="O16" i="2"/>
  <c r="O17" i="2"/>
  <c r="O18" i="2"/>
  <c r="O19" i="2"/>
  <c r="O20" i="2"/>
  <c r="O21" i="2"/>
  <c r="O22" i="2"/>
  <c r="O23" i="2"/>
  <c r="O24" i="2"/>
  <c r="O25" i="2"/>
  <c r="O26" i="2"/>
  <c r="O27" i="2"/>
  <c r="O28" i="2"/>
  <c r="O29" i="2"/>
  <c r="O30" i="2"/>
  <c r="O32" i="2"/>
  <c r="O34" i="2"/>
  <c r="O36" i="2"/>
  <c r="O38" i="2"/>
  <c r="O40" i="2"/>
  <c r="O42" i="2"/>
  <c r="O44" i="2"/>
  <c r="O46" i="2"/>
  <c r="O48" i="2"/>
  <c r="O50" i="2"/>
  <c r="O52" i="2"/>
  <c r="O54" i="2"/>
  <c r="O56" i="2"/>
  <c r="O58" i="2"/>
  <c r="O60" i="2"/>
  <c r="O62" i="2"/>
  <c r="O64" i="2"/>
  <c r="O66" i="2"/>
  <c r="O68" i="2"/>
  <c r="O70" i="2"/>
  <c r="O72" i="2"/>
  <c r="O74" i="2"/>
  <c r="O76" i="2"/>
  <c r="O78" i="2"/>
  <c r="O80" i="2"/>
  <c r="O82" i="2"/>
  <c r="O84" i="2"/>
  <c r="O86" i="2"/>
  <c r="O88" i="2"/>
  <c r="O90" i="2"/>
  <c r="O92" i="2"/>
  <c r="O94" i="2"/>
  <c r="O96" i="2"/>
  <c r="O98" i="2"/>
  <c r="O100" i="2"/>
  <c r="O102" i="2"/>
  <c r="O103" i="2"/>
  <c r="O104" i="2"/>
  <c r="O105" i="2"/>
  <c r="O106" i="2"/>
  <c r="O107" i="2"/>
  <c r="O108" i="2"/>
  <c r="O109" i="2"/>
  <c r="O110" i="2"/>
  <c r="O111" i="2"/>
  <c r="O112" i="2"/>
  <c r="O113" i="2"/>
  <c r="O114" i="2"/>
  <c r="O115" i="2"/>
  <c r="O116" i="2"/>
  <c r="O117" i="2"/>
  <c r="O118" i="2"/>
  <c r="O119" i="2"/>
  <c r="O120" i="2"/>
  <c r="O121" i="2"/>
  <c r="O122" i="2"/>
  <c r="O123" i="2"/>
  <c r="O124" i="2"/>
  <c r="O125" i="2"/>
  <c r="O126" i="2"/>
  <c r="O127" i="2"/>
  <c r="O128" i="2"/>
  <c r="O129" i="2"/>
  <c r="O130" i="2"/>
  <c r="O131" i="2"/>
  <c r="O132" i="2"/>
  <c r="O133" i="2"/>
  <c r="O134" i="2"/>
  <c r="O135" i="2"/>
  <c r="C37" i="1" l="1"/>
  <c r="C30" i="1"/>
  <c r="C35" i="1"/>
  <c r="C32" i="1"/>
  <c r="C29" i="1"/>
  <c r="C31" i="1"/>
  <c r="C33" i="1"/>
  <c r="C36" i="1"/>
  <c r="C38" i="1"/>
  <c r="C34" i="1"/>
</calcChain>
</file>

<file path=xl/sharedStrings.xml><?xml version="1.0" encoding="utf-8"?>
<sst xmlns="http://schemas.openxmlformats.org/spreadsheetml/2006/main" count="934" uniqueCount="454">
  <si>
    <t>Email Protection Systems</t>
  </si>
  <si>
    <t>Endpoint Protection Systems</t>
  </si>
  <si>
    <t>Access Management</t>
  </si>
  <si>
    <t>Data Protection and Loss Prevention</t>
  </si>
  <si>
    <t>Asset Management</t>
  </si>
  <si>
    <t>Network Management</t>
  </si>
  <si>
    <t>Vulnerability Management</t>
  </si>
  <si>
    <t>Incident Response</t>
  </si>
  <si>
    <t>Medical Device Security</t>
  </si>
  <si>
    <t>Cybersecurity Policies</t>
  </si>
  <si>
    <t>Small</t>
  </si>
  <si>
    <t>Medium</t>
  </si>
  <si>
    <t>Large</t>
  </si>
  <si>
    <t>1.S.A</t>
  </si>
  <si>
    <t>2.S.A</t>
  </si>
  <si>
    <t>3.M.A</t>
  </si>
  <si>
    <t>5.M.A</t>
  </si>
  <si>
    <t>6.M.A</t>
  </si>
  <si>
    <t>7.M.A</t>
  </si>
  <si>
    <t>9.S.A</t>
  </si>
  <si>
    <t>1.S.B</t>
  </si>
  <si>
    <t>Education</t>
  </si>
  <si>
    <t>1.S.C</t>
  </si>
  <si>
    <t>Phishing Simulations</t>
  </si>
  <si>
    <t>Basic Endpoint Protection Controls</t>
  </si>
  <si>
    <t>3.S.A</t>
  </si>
  <si>
    <t>Basic Access Management</t>
  </si>
  <si>
    <t>4.S.A</t>
  </si>
  <si>
    <t>Policies</t>
  </si>
  <si>
    <t>4.S.B</t>
  </si>
  <si>
    <t>Procedures</t>
  </si>
  <si>
    <t>4.S.C</t>
  </si>
  <si>
    <t>5.S.A</t>
  </si>
  <si>
    <t>Inventory</t>
  </si>
  <si>
    <t>5.S.B</t>
  </si>
  <si>
    <t>Procurement</t>
  </si>
  <si>
    <t>5.S.C</t>
  </si>
  <si>
    <t>Decommissioning</t>
  </si>
  <si>
    <t>6.S.A</t>
  </si>
  <si>
    <t>Network Segmentation</t>
  </si>
  <si>
    <t>6.S.B</t>
  </si>
  <si>
    <t>Physical Security and Guest Access</t>
  </si>
  <si>
    <t>Intrusion Prevention</t>
  </si>
  <si>
    <t>6.S.C</t>
  </si>
  <si>
    <t>7.S.A</t>
  </si>
  <si>
    <t>8.S.A</t>
  </si>
  <si>
    <t>8.S.B</t>
  </si>
  <si>
    <t>ISAC/ISAO Participation</t>
  </si>
  <si>
    <t>10.S.A</t>
  </si>
  <si>
    <t>SP#</t>
  </si>
  <si>
    <t>SP Title</t>
  </si>
  <si>
    <t>Short Description</t>
  </si>
  <si>
    <t>Cybersecurity Practices</t>
  </si>
  <si>
    <t>Instructions</t>
  </si>
  <si>
    <t>1.M.A</t>
  </si>
  <si>
    <t>Basic Email Protection Controls</t>
  </si>
  <si>
    <t>1.M.B</t>
  </si>
  <si>
    <t>1.M.C</t>
  </si>
  <si>
    <t>1.M.D</t>
  </si>
  <si>
    <t>Email Encryption</t>
  </si>
  <si>
    <t>Workforce Education</t>
  </si>
  <si>
    <t>1.L.A</t>
  </si>
  <si>
    <t>1.L.B</t>
  </si>
  <si>
    <t>1.L.C</t>
  </si>
  <si>
    <t>Advanced and Next Generation Tooling</t>
  </si>
  <si>
    <t>Digital Signatures</t>
  </si>
  <si>
    <t>Analytics Driven Education</t>
  </si>
  <si>
    <t>2.M.A</t>
  </si>
  <si>
    <t>2.L.A</t>
  </si>
  <si>
    <t>2.L.B</t>
  </si>
  <si>
    <t>2.L.C</t>
  </si>
  <si>
    <t>2.L.D</t>
  </si>
  <si>
    <t>2.L.E</t>
  </si>
  <si>
    <t>2.L.F</t>
  </si>
  <si>
    <t>Automate the Provisioning of Endpoints</t>
  </si>
  <si>
    <t>Mobile Device Management</t>
  </si>
  <si>
    <t>Host Based Intrusion Detection/Prevention Systems</t>
  </si>
  <si>
    <t>Endpoint Detection Response</t>
  </si>
  <si>
    <t>Application Whitelisting</t>
  </si>
  <si>
    <t>Micro-segmentation/virtualization strategies</t>
  </si>
  <si>
    <t>3.M.B</t>
  </si>
  <si>
    <t>3.M.C</t>
  </si>
  <si>
    <t>3.M.D</t>
  </si>
  <si>
    <t>Identity</t>
  </si>
  <si>
    <t xml:space="preserve">Provisioning, Transfers, and De-provisioning Procedures </t>
  </si>
  <si>
    <t>Authentication</t>
  </si>
  <si>
    <t>Multi-Factor Authentication for Remote Access</t>
  </si>
  <si>
    <t>3.L.A</t>
  </si>
  <si>
    <t>3.L.B</t>
  </si>
  <si>
    <t>3.L.C</t>
  </si>
  <si>
    <t>Federated Identity Management</t>
  </si>
  <si>
    <t>Single-Sign On (SSO)</t>
  </si>
  <si>
    <t>4.M.A</t>
  </si>
  <si>
    <t>4.M.B</t>
  </si>
  <si>
    <t>4.M.C</t>
  </si>
  <si>
    <t>4.M.D</t>
  </si>
  <si>
    <t>4.M.E</t>
  </si>
  <si>
    <t>Classification of Data</t>
  </si>
  <si>
    <t>Data Use Procedures</t>
  </si>
  <si>
    <t xml:space="preserve">Data Security </t>
  </si>
  <si>
    <t>Backup Strategies</t>
  </si>
  <si>
    <t>Data Loss Prevention (DLP)</t>
  </si>
  <si>
    <t>4.L.A</t>
  </si>
  <si>
    <t>4.L.B</t>
  </si>
  <si>
    <t xml:space="preserve">Advanced Data Loss Prevention </t>
  </si>
  <si>
    <t>Mapping of Data Flows</t>
  </si>
  <si>
    <t>5.M.B</t>
  </si>
  <si>
    <t>5.M.C</t>
  </si>
  <si>
    <t>5.M.D</t>
  </si>
  <si>
    <t>Inventory of Endpoints and Servers</t>
  </si>
  <si>
    <t xml:space="preserve">Procurement </t>
  </si>
  <si>
    <t>Secure Storage for Inactive Devices</t>
  </si>
  <si>
    <t>Decommissioning Assets</t>
  </si>
  <si>
    <t>5.L.A</t>
  </si>
  <si>
    <t>5.L.B</t>
  </si>
  <si>
    <t xml:space="preserve">Automated Discovery and Maintenance </t>
  </si>
  <si>
    <t>Integration with Network Access Control</t>
  </si>
  <si>
    <t>6.M.B</t>
  </si>
  <si>
    <t>6.M.C</t>
  </si>
  <si>
    <t>6.M.D</t>
  </si>
  <si>
    <t>Network Profiles and Firewalls</t>
  </si>
  <si>
    <t>Physical Security of Network Devices</t>
  </si>
  <si>
    <t>6.L.A</t>
  </si>
  <si>
    <t>6.L.B</t>
  </si>
  <si>
    <t>6.L.C</t>
  </si>
  <si>
    <t>6.L.D</t>
  </si>
  <si>
    <t>6.L.E</t>
  </si>
  <si>
    <t>Additional Network Segmentation</t>
  </si>
  <si>
    <t>Command and Control Monitoring of Perimeter</t>
  </si>
  <si>
    <t>Network Access Control (NAC)</t>
  </si>
  <si>
    <t xml:space="preserve">Anomalous Network Monitoring and Analytics </t>
  </si>
  <si>
    <t>Network Based Sandboxing/Malware Execution</t>
  </si>
  <si>
    <t>7.M.B</t>
  </si>
  <si>
    <t>7.M.C</t>
  </si>
  <si>
    <t>7.M.D</t>
  </si>
  <si>
    <t>Host/Server Based Scanning</t>
  </si>
  <si>
    <t xml:space="preserve">Web Application Scanning </t>
  </si>
  <si>
    <t>System Placement and Data Classification</t>
  </si>
  <si>
    <t>Patch Management, Configuration Management, Change Management</t>
  </si>
  <si>
    <t>7.L.A</t>
  </si>
  <si>
    <t>7.L.B</t>
  </si>
  <si>
    <t>Penetration Testing</t>
  </si>
  <si>
    <t>Remediation Planning</t>
  </si>
  <si>
    <t>8.M.A</t>
  </si>
  <si>
    <t>8.M.B</t>
  </si>
  <si>
    <t>8.M.C</t>
  </si>
  <si>
    <t>Security Operations Center</t>
  </si>
  <si>
    <t xml:space="preserve">Incident Response </t>
  </si>
  <si>
    <t>Information Sharing and ISACs/ISAOs</t>
  </si>
  <si>
    <t>8.L.A</t>
  </si>
  <si>
    <t>8.L.B</t>
  </si>
  <si>
    <t>8.L.C</t>
  </si>
  <si>
    <t>8.L.D</t>
  </si>
  <si>
    <t>8.L.E</t>
  </si>
  <si>
    <t>8.L.F</t>
  </si>
  <si>
    <t>Advanced Security Operations Center</t>
  </si>
  <si>
    <t>Advanced Information Sharing</t>
  </si>
  <si>
    <t xml:space="preserve">Incident Response Orchestration </t>
  </si>
  <si>
    <t>Baseline Network Traffic</t>
  </si>
  <si>
    <t>User Behavior Analytics</t>
  </si>
  <si>
    <t>Deception Technologies</t>
  </si>
  <si>
    <t>9.M.A</t>
  </si>
  <si>
    <t>9.M.B</t>
  </si>
  <si>
    <t>9.M.C</t>
  </si>
  <si>
    <t>9.M.D</t>
  </si>
  <si>
    <t>9.M.E</t>
  </si>
  <si>
    <t>Medical Device Management</t>
  </si>
  <si>
    <t>Endpoint Protections</t>
  </si>
  <si>
    <t xml:space="preserve">Identity and Access Management </t>
  </si>
  <si>
    <t>9.L.A</t>
  </si>
  <si>
    <t>9.L.B</t>
  </si>
  <si>
    <t>9.L.C</t>
  </si>
  <si>
    <t>9.L.D</t>
  </si>
  <si>
    <t xml:space="preserve">Security Operations and Incident Response </t>
  </si>
  <si>
    <t>Procurement and Security Evaluations</t>
  </si>
  <si>
    <t>Contacting the FDA</t>
  </si>
  <si>
    <t>10.M.A</t>
  </si>
  <si>
    <t>NIST CSF XWALK</t>
  </si>
  <si>
    <t>Basic email security controls to enable</t>
  </si>
  <si>
    <t>Basic endpoint security controls to enable</t>
  </si>
  <si>
    <t>Training of workforce on phishing attacks</t>
  </si>
  <si>
    <t>Conduct phishing campaigns to test and traing users</t>
  </si>
  <si>
    <t>Basic user account configuration and provisioning procedures</t>
  </si>
  <si>
    <t>Establishing a data classification policy</t>
  </si>
  <si>
    <t>Training workforce on how to handle sensitive data</t>
  </si>
  <si>
    <t>Conduct and manage an inventory of IT Assets</t>
  </si>
  <si>
    <t>Segment devices into various networks, restricting access</t>
  </si>
  <si>
    <t>Discover technical vulnerabilities (host and web) and remediate</t>
  </si>
  <si>
    <t>Establish procedures for managing cyber attacks, especially malware and phishing</t>
  </si>
  <si>
    <t>Join an Information Sharing Analysis Center/Organization and receive cyber intel</t>
  </si>
  <si>
    <t>Secure medical devices within your practice</t>
  </si>
  <si>
    <t>Establish cybersecurity policies and a default expectation of practices</t>
  </si>
  <si>
    <t>Factor</t>
  </si>
  <si>
    <t>Select your organizations size</t>
  </si>
  <si>
    <t>Advanced email security configurations to enable</t>
  </si>
  <si>
    <t>Enabling multi-factor authentication for remote email access</t>
  </si>
  <si>
    <t>MFA for Remote Email Access</t>
  </si>
  <si>
    <t>Use of email encryption for sending sensitive information</t>
  </si>
  <si>
    <t>Educating workforce on spotting and reporting email based attacks</t>
  </si>
  <si>
    <t>Leverage digital signatures to ensure sender authenticity</t>
  </si>
  <si>
    <t>Leverage data and analytics to determine high risk and targeted users, drive education</t>
  </si>
  <si>
    <t>Leverage VARs to preconfigure and secure new endpoints</t>
  </si>
  <si>
    <t>Leverage MDM tools to secure mobile devices</t>
  </si>
  <si>
    <t>Install host based protection systems to detect and prevent client-based attacks</t>
  </si>
  <si>
    <t>Detect malicious processes running on endpoints; respond at scale</t>
  </si>
  <si>
    <t>Permit only known good and authorized applications</t>
  </si>
  <si>
    <t>Implement endpoint virtualization and prevent malcode from infecting OS</t>
  </si>
  <si>
    <t>Establish a unique identifier for all users, leveraging systems of record</t>
  </si>
  <si>
    <t>Provision user accounts based on identity; ensure de-provisioning upon termination</t>
  </si>
  <si>
    <t>Implement and monitor secure authentication for users and privileged accounts</t>
  </si>
  <si>
    <t>Implement multi-factor authentication for remote access to resources</t>
  </si>
  <si>
    <t>Leverage external org identity information for access</t>
  </si>
  <si>
    <t>E</t>
  </si>
  <si>
    <t xml:space="preserve">Authorization </t>
  </si>
  <si>
    <t>Access Governance</t>
  </si>
  <si>
    <t>Authorize access based on role (RBAC) or attribute (ABAC)</t>
  </si>
  <si>
    <t>Review access periodically to ensure user access still appropriate</t>
  </si>
  <si>
    <t>Authenticate against central credential repositories and ease access burdens</t>
  </si>
  <si>
    <t>3.L.D</t>
  </si>
  <si>
    <t>Classify data by sensitivity</t>
  </si>
  <si>
    <t>Implement data use procedures based upon data classification</t>
  </si>
  <si>
    <t>Implement data protections based upon data classification</t>
  </si>
  <si>
    <t>Backup important data in the case of loss of access, or loss of data</t>
  </si>
  <si>
    <t>Implement technology and processes to automate security of sensitive data</t>
  </si>
  <si>
    <t>Implement advanced technology and processes to automated security of data</t>
  </si>
  <si>
    <t>Identify and document data storage and data flows between systems</t>
  </si>
  <si>
    <t>Establish an asset management inventory database and roll out</t>
  </si>
  <si>
    <t>Keep asset inventory up to date with procurement of new devices</t>
  </si>
  <si>
    <t>Ensure unused devices are physically secure</t>
  </si>
  <si>
    <t>Securely remove devices from the circulation</t>
  </si>
  <si>
    <t>Leverage automation to keep asset inventory details up to date</t>
  </si>
  <si>
    <t>Catch endpoints on the network that fall out of compliance or are outliers</t>
  </si>
  <si>
    <t>Deploy firewalls throughout the nework</t>
  </si>
  <si>
    <t>Establish a network segmentation strategy with clearly defined zones</t>
  </si>
  <si>
    <t>Intrusion Prevention Systems</t>
  </si>
  <si>
    <t>6.M.E</t>
  </si>
  <si>
    <t>Deploy intrusion prevention systems to protect against known cyber attacks</t>
  </si>
  <si>
    <t>Web Proxy Protection</t>
  </si>
  <si>
    <t>Protect end users browsing the web with outbound proxy technologies</t>
  </si>
  <si>
    <t>Physically secure the network devices</t>
  </si>
  <si>
    <t>Further implement segmentation strategies for remote VPN access to data center</t>
  </si>
  <si>
    <t>Monitor for malicious outbound Command and Control traffic</t>
  </si>
  <si>
    <t>Monitor for anomalous network traffic based on analytics and baselines</t>
  </si>
  <si>
    <t>Monitor common transfer protocols to discover malicious attachments</t>
  </si>
  <si>
    <t>Ensure endpoints are secure on the network through automated tools</t>
  </si>
  <si>
    <t xml:space="preserve">Discover host based technical vulnerabilities </t>
  </si>
  <si>
    <t xml:space="preserve">Routinely patch and mitigate vulnerabilities </t>
  </si>
  <si>
    <t>Actively exploit your environment to uncover vulnerabilities and risks</t>
  </si>
  <si>
    <t>Implement formal mechanisms for remediating vulnerabilities and risks</t>
  </si>
  <si>
    <t>Establish formal incident response playbooks for responding to cyber attacks</t>
  </si>
  <si>
    <t>Share and receive threat intelligence information from partner organizations</t>
  </si>
  <si>
    <t>Establish a SOC to prevent, discover and respond to cyber attacks</t>
  </si>
  <si>
    <t>Expand the SOC to a dedicated team that operates 24x7x365</t>
  </si>
  <si>
    <t>Join security communities to share best practices and threat information</t>
  </si>
  <si>
    <t>Automate the manual response of IR playbooks through advanced tools</t>
  </si>
  <si>
    <t>Establish digital footprints on systems and alert when they deviate</t>
  </si>
  <si>
    <t>Establish baseline patterns of user access and alert when they deviate</t>
  </si>
  <si>
    <t>Establish 'tripwires' or honeypots on your network and alert when they are tripped</t>
  </si>
  <si>
    <t>Set a strategy for managing the security of medical devices, utilizing existing processes</t>
  </si>
  <si>
    <t>Configure and secure medical devices based on 6 steps</t>
  </si>
  <si>
    <t>Inventory hardware and software of medical devices</t>
  </si>
  <si>
    <t>Carefully identify vulnerabilities on medical devices, and remediate accordingly</t>
  </si>
  <si>
    <t>Ensure IR playbooks account for patient safety implications of connected medical devices</t>
  </si>
  <si>
    <t>Conduct security evaluations for newly purchased medical devices</t>
  </si>
  <si>
    <t>Contact the FDA for risk security issues that are unresolved</t>
  </si>
  <si>
    <t>A</t>
  </si>
  <si>
    <t>B</t>
  </si>
  <si>
    <t>C</t>
  </si>
  <si>
    <t>D</t>
  </si>
  <si>
    <t>Threat ID</t>
  </si>
  <si>
    <t>Threat</t>
  </si>
  <si>
    <t>Email Phishing Attack</t>
  </si>
  <si>
    <t>Ransomware Attack</t>
  </si>
  <si>
    <t>Loss or Theft of Equipment or Data</t>
  </si>
  <si>
    <t>Insider, Accidental or Intentional Data Loss</t>
  </si>
  <si>
    <t>Attacks Against Connected Medical Devices that may affect Patient Safety</t>
  </si>
  <si>
    <t>CP</t>
  </si>
  <si>
    <t>Org</t>
  </si>
  <si>
    <t>SP</t>
  </si>
  <si>
    <t>F</t>
  </si>
  <si>
    <t>index #</t>
  </si>
  <si>
    <t>Step</t>
  </si>
  <si>
    <t>Prioritize the threats (5 being highest priority, 1 being lowest priority)</t>
  </si>
  <si>
    <t>UA</t>
  </si>
  <si>
    <t>UB</t>
  </si>
  <si>
    <t>UC</t>
  </si>
  <si>
    <t>UD</t>
  </si>
  <si>
    <t>UE</t>
  </si>
  <si>
    <t>OP</t>
  </si>
  <si>
    <t>Unprioritized Weight</t>
  </si>
  <si>
    <t>Prioritized by Threat</t>
  </si>
  <si>
    <t>CP #</t>
  </si>
  <si>
    <t>Priority Rank Based on Threat Model Inputs</t>
  </si>
  <si>
    <t xml:space="preserve">Self Assessment </t>
  </si>
  <si>
    <t>Current State</t>
  </si>
  <si>
    <t>Gaps</t>
  </si>
  <si>
    <t>Action Plan</t>
  </si>
  <si>
    <t>Priority</t>
  </si>
  <si>
    <t>Select Your organization size (refer to org chart on separate worksheet if needed)</t>
  </si>
  <si>
    <t>Prioritize the five threats (refer to threat chart on separate worksheet if needed)</t>
  </si>
  <si>
    <t>Review the Corresponding Practices and Sub-Practices within the technical volume most applicable</t>
  </si>
  <si>
    <t>Conduct the Self Assessment process, assessing organizational current state to the Practices and Sub-Practices</t>
  </si>
  <si>
    <t>Determine desired target state, gaps and the action plan towards closing the gaps</t>
  </si>
  <si>
    <t>Prioritize the action plans and implement</t>
  </si>
  <si>
    <r>
      <rPr>
        <b/>
        <u/>
        <sz val="11"/>
        <color theme="1"/>
        <rFont val="Calibri"/>
        <family val="2"/>
        <scheme val="minor"/>
      </rPr>
      <t>Self-Assessment Guide:</t>
    </r>
    <r>
      <rPr>
        <sz val="11"/>
        <color theme="1"/>
        <rFont val="Calibri"/>
        <family val="2"/>
        <scheme val="minor"/>
      </rPr>
      <t xml:space="preserve"> Each Cybersecurity Practice (Practice) is comprised of multiple Sub-Practices. These Sub-Practices further detail specific guidance on effective risk mitigation techniques. After you have prioritized the Practices it is recommended to review the Sub-Practices and conduct a self-assessment. The process is straight forward: 
1) Review the Sub-Practice within the appropriate Technical Volume and compare the practice to the current state of your environment
2) Document the current state within the column identified as </t>
    </r>
    <r>
      <rPr>
        <b/>
        <sz val="11"/>
        <color theme="1"/>
        <rFont val="Calibri"/>
        <family val="2"/>
        <scheme val="minor"/>
      </rPr>
      <t>Current State</t>
    </r>
    <r>
      <rPr>
        <sz val="11"/>
        <color theme="1"/>
        <rFont val="Calibri"/>
        <family val="2"/>
        <scheme val="minor"/>
      </rPr>
      <t xml:space="preserve">
3) After reviewing the current state to the Sub-Practice, determine if there are any gaps. Document gaps under the </t>
    </r>
    <r>
      <rPr>
        <b/>
        <sz val="11"/>
        <color theme="1"/>
        <rFont val="Calibri"/>
        <family val="2"/>
        <scheme val="minor"/>
      </rPr>
      <t>Gaps</t>
    </r>
    <r>
      <rPr>
        <sz val="11"/>
        <color theme="1"/>
        <rFont val="Calibri"/>
        <family val="2"/>
        <scheme val="minor"/>
      </rPr>
      <t xml:space="preserve"> column
4) If there are gaps, write up the steps necessary to close those gaps within the </t>
    </r>
    <r>
      <rPr>
        <b/>
        <sz val="11"/>
        <color theme="1"/>
        <rFont val="Calibri"/>
        <family val="2"/>
        <scheme val="minor"/>
      </rPr>
      <t>Action Plan</t>
    </r>
    <r>
      <rPr>
        <sz val="11"/>
        <color theme="1"/>
        <rFont val="Calibri"/>
        <family val="2"/>
        <scheme val="minor"/>
      </rPr>
      <t xml:space="preserve"> column
5) Order the priority for implementation of any gaps within the </t>
    </r>
    <r>
      <rPr>
        <b/>
        <sz val="11"/>
        <color theme="1"/>
        <rFont val="Calibri"/>
        <family val="2"/>
        <scheme val="minor"/>
      </rPr>
      <t>Priority</t>
    </r>
    <r>
      <rPr>
        <sz val="11"/>
        <color theme="1"/>
        <rFont val="Calibri"/>
        <family val="2"/>
        <scheme val="minor"/>
      </rPr>
      <t xml:space="preserve"> column
</t>
    </r>
  </si>
  <si>
    <t>FULL LISTING OF CYBERSECURITY SUB-PRACTICES BASED ON ORGANIZATION SIZE SELECTED</t>
  </si>
  <si>
    <t>Cybersecurity Sub-Practice Title</t>
  </si>
  <si>
    <t>Threat Chart</t>
  </si>
  <si>
    <t>Threat Title</t>
  </si>
  <si>
    <t>Threat Description</t>
  </si>
  <si>
    <t>A malicious email that attempts to exploit email users by convincing them to open malicious attachments, or click on suspicious links, which is used for further exploitation of the organization</t>
  </si>
  <si>
    <t xml:space="preserve">A type of malware (malicious software) distinct from other malware; its defining characteristic is that it attempts to deny access to a user’s data, usually by encrypting the data with a key known only to the hacker who deployed the malware, until a ransom is paid.  </t>
  </si>
  <si>
    <t>The theft or loss of devices that contain sensitive data and may lead to a compromise of sensitive data and/or disrupt business operations</t>
  </si>
  <si>
    <t>Insider actions on the use or disclosure of sensitive information that may be intentional or accidental in nature, but in all cases can compromise a patient's privacy.</t>
  </si>
  <si>
    <t>Malicious attacks against patient connected medical devices that may lead to patient harm, or other patient safety challenges.</t>
  </si>
  <si>
    <t>Organization Size Chart (refer to page ## from Main Document of HICP for further details)</t>
  </si>
  <si>
    <t>Best Fit</t>
  </si>
  <si>
    <t xml:space="preserve">Small  </t>
  </si>
  <si>
    <t xml:space="preserve">Medium  </t>
  </si>
  <si>
    <t>Common Attributes</t>
  </si>
  <si>
    <t>Health Information Exchange Partners</t>
  </si>
  <si>
    <t>One or two partners</t>
  </si>
  <si>
    <t>Several exchange partners</t>
  </si>
  <si>
    <t>Significant number of partners or partners with less rigorous standards or requirements</t>
  </si>
  <si>
    <t>Global data exchange</t>
  </si>
  <si>
    <t>IT capability</t>
  </si>
  <si>
    <t>No dedicated IT professionals on staff, or IT is outsourced on a break/fix or project by project basis</t>
  </si>
  <si>
    <t xml:space="preserve">Dedicated IT resources are on staff </t>
  </si>
  <si>
    <t>Dedicated IT resources with dedicated budget</t>
  </si>
  <si>
    <t>None or limited dedicated security resources on staff</t>
  </si>
  <si>
    <t>CISO or dedicated security leader with dedicated security staff</t>
  </si>
  <si>
    <t>Cybersecurity Investment</t>
  </si>
  <si>
    <t>Non-existent or limited funding</t>
  </si>
  <si>
    <t xml:space="preserve">Funding allocated for specific initiatives </t>
  </si>
  <si>
    <t>Dedicated budget with strategic roadmap specific to cybersecurity</t>
  </si>
  <si>
    <t>Potentially limited future funding allocations</t>
  </si>
  <si>
    <t>Cybersecurity budgets are blended with IT</t>
  </si>
  <si>
    <t>Provider Attributes</t>
  </si>
  <si>
    <t>Size (Provider)</t>
  </si>
  <si>
    <t>1 - 10 physicians</t>
  </si>
  <si>
    <t>11 - 50 physicians</t>
  </si>
  <si>
    <t>Over 50 physicians</t>
  </si>
  <si>
    <t>Size (Acute / Post Acute)</t>
  </si>
  <si>
    <t>1 - 25 providers</t>
  </si>
  <si>
    <t>26 - 500 providers</t>
  </si>
  <si>
    <t>Over 500 providers</t>
  </si>
  <si>
    <r>
      <t>Size (hospital)</t>
    </r>
    <r>
      <rPr>
        <vertAlign val="superscript"/>
        <sz val="11"/>
        <color theme="1"/>
        <rFont val="Calibri"/>
        <family val="2"/>
      </rPr>
      <t>15</t>
    </r>
  </si>
  <si>
    <t>1 - 50 beds</t>
  </si>
  <si>
    <t>51 - 299 beds</t>
  </si>
  <si>
    <t>Over 300 beds</t>
  </si>
  <si>
    <t>Complexity</t>
  </si>
  <si>
    <t>Single practice or care site</t>
  </si>
  <si>
    <t>Multiple sites in extended geographic area</t>
  </si>
  <si>
    <t>Integrated Delivery Networks</t>
  </si>
  <si>
    <t>Participate in ACO or Clinically Integrated Network</t>
  </si>
  <si>
    <t>Other Org Types</t>
  </si>
  <si>
    <t>Practice Management Organization</t>
  </si>
  <si>
    <t>Health Plan</t>
  </si>
  <si>
    <t>Managed Service Organization</t>
  </si>
  <si>
    <t>Large Device Manufacturer</t>
  </si>
  <si>
    <t>Smaller device manufacturers</t>
  </si>
  <si>
    <t>Large pharmaceutical organization</t>
  </si>
  <si>
    <t>Smaller pharmaceutical companies</t>
  </si>
  <si>
    <t>Smaller payor organizations</t>
  </si>
  <si>
    <t xml:space="preserve">Email System Configuration </t>
  </si>
  <si>
    <t>Procedures for handling sensitive information, pursuant to Data Classification Policy</t>
  </si>
  <si>
    <t>Physically secure servers and network devices, and segment guest access from regular network</t>
  </si>
  <si>
    <t>Implement and operate an IPS system to stop well known cyber attacks</t>
  </si>
  <si>
    <t>Discover web based technical vulnerabilities</t>
  </si>
  <si>
    <t>Determine vulnerability risk based on system classification and location</t>
  </si>
  <si>
    <t>Ensure authentication and remote access is managed</t>
  </si>
  <si>
    <t>Segment medical devices on dedicated, highly restrictive networks</t>
  </si>
  <si>
    <t>ID</t>
  </si>
  <si>
    <t>Threat Weighting: 0 = No mitigation, 1 = Indirect Mitigation, 2 = Direct Mitigation</t>
  </si>
  <si>
    <t>REVIEWER INSTRUCTIONS:</t>
  </si>
  <si>
    <t xml:space="preserve">1) </t>
  </si>
  <si>
    <t>Review Roll-Up Cybersecurity Practices on tab THREAT AND PRACTICES tab</t>
  </si>
  <si>
    <t>2)</t>
  </si>
  <si>
    <t>Review Threats listed A-E on THREAT AND PRACTICES tab</t>
  </si>
  <si>
    <t xml:space="preserve">3) </t>
  </si>
  <si>
    <t>SP# is the direct index of the Sub-Practice of the Org size and Cybersecurity Practice</t>
  </si>
  <si>
    <t>4)</t>
  </si>
  <si>
    <t xml:space="preserve">Review COLUMNS H-L, and the threats identified. Directly compare the Threat mitigated by Sub-Practice in COLUMN F. </t>
  </si>
  <si>
    <t>5)</t>
  </si>
  <si>
    <r>
      <t xml:space="preserve">Review rating of intersection between Sub-Practice and Threat. If you agree with rating, leave alone. If you disagree with rating, </t>
    </r>
    <r>
      <rPr>
        <b/>
        <sz val="11"/>
        <color theme="1"/>
        <rFont val="Calibri"/>
        <family val="2"/>
        <scheme val="minor"/>
      </rPr>
      <t xml:space="preserve">HIGHLIGHT IN YELLOW </t>
    </r>
    <r>
      <rPr>
        <sz val="11"/>
        <color theme="1"/>
        <rFont val="Calibri"/>
        <family val="2"/>
        <scheme val="minor"/>
      </rPr>
      <t xml:space="preserve">and then add a comment </t>
    </r>
  </si>
  <si>
    <t>NOTE: Recall that Large organizations should implement the MEDIUM organization SP as well as the LARGE organization SP</t>
  </si>
  <si>
    <t>Threat Priority</t>
  </si>
  <si>
    <t>PR.DS-2, PR.IP-1, PR.AC-7</t>
  </si>
  <si>
    <t>PR.AT-1</t>
  </si>
  <si>
    <t>PR.AT</t>
  </si>
  <si>
    <t>PR.AT PR.IP-1, PR.AC-4, PR.IP-12, PR.DS-1, PR.DS-2, PR.AC-3</t>
  </si>
  <si>
    <t>PR.AT PR.AC-1, PR.AC-6, PR.AC-4, PR.IP-11, PR.IP-1, PR.AC-7</t>
  </si>
  <si>
    <t>ID.GV-1, ID.AM-5</t>
  </si>
  <si>
    <t>ID.GV-1, PR.AT-1, PR.DS-2, PR.DS-5, PR.DS-1, PR.IP-6, ID.GV-3</t>
  </si>
  <si>
    <t>ID.AM-1</t>
  </si>
  <si>
    <t>ID.AM-6</t>
  </si>
  <si>
    <t>PR.IP-6, PR.DS-3</t>
  </si>
  <si>
    <t>PR.AC-5, PR.AC-3, PR.AC-4, PR.PT-3</t>
  </si>
  <si>
    <t>PR.AC-4, PR.AC-2, PR.PT-3, PR.AC-5</t>
  </si>
  <si>
    <t>PR.IP-1</t>
  </si>
  <si>
    <t>PR.IP-12</t>
  </si>
  <si>
    <t>PR.IP-9</t>
  </si>
  <si>
    <t>ID.RA-2</t>
  </si>
  <si>
    <t>PR.PT</t>
  </si>
  <si>
    <t>IG.GV-1, ID.AM-6, PR.AT, PR.AT-1, RS.CO-1</t>
  </si>
  <si>
    <t>PR.DS-2, ID.RA-2, PR.PT-3, DE.CM-4, PR.AC-4, PR.AC-1, PR.AC-7</t>
  </si>
  <si>
    <t>PR.AC-7</t>
  </si>
  <si>
    <t>PR.DS-2</t>
  </si>
  <si>
    <t>PR.IP-1, DE.CM-4, PR.DS-1, PR.IP-12, PR.AC-4</t>
  </si>
  <si>
    <t>PR.AC-1</t>
  </si>
  <si>
    <t>PR.AC-4</t>
  </si>
  <si>
    <t>PR.AC-3, PR.AC-7</t>
  </si>
  <si>
    <t>ID.AM-5</t>
  </si>
  <si>
    <t>ID.GV-1</t>
  </si>
  <si>
    <t>PR.DS, PR.DS-1, PR.DS-2, PR.IP-6, PR.DS-5</t>
  </si>
  <si>
    <t>PR.IP-4</t>
  </si>
  <si>
    <t>PR.DS-5</t>
  </si>
  <si>
    <t>ID.AM</t>
  </si>
  <si>
    <t>PR.AC-2</t>
  </si>
  <si>
    <t>PR.AC-5, PR.AC-6</t>
  </si>
  <si>
    <t>PR.AC-5</t>
  </si>
  <si>
    <t>DE.CM-1</t>
  </si>
  <si>
    <t>PR.AC-3, PR.AC-5</t>
  </si>
  <si>
    <t>DE.CM-8</t>
  </si>
  <si>
    <t>ID.RA-5</t>
  </si>
  <si>
    <t>PR.IP-1, PR.IP-3, PR.IP-12</t>
  </si>
  <si>
    <t>RS.RP</t>
  </si>
  <si>
    <t>PR.IP-9, RS.AN-1, RS.MI-1, RS.MI-2, RC</t>
  </si>
  <si>
    <t>PR.MA-2</t>
  </si>
  <si>
    <t>PR.MA-2, DE.CM-4, PR.AC-5, PR.DS-1, PR.AC-1, PR.IP-1</t>
  </si>
  <si>
    <t>PR.AC, PR.AC-7, PR.AC-4</t>
  </si>
  <si>
    <t>ID.AM, ID.AM-1, PR.IP-6</t>
  </si>
  <si>
    <t>PR.DS-2, DE.CM-5, DE.CM-7</t>
  </si>
  <si>
    <t>PR.DS-2, PR.DS-6, PR.DS-8</t>
  </si>
  <si>
    <t>PR.AC-3</t>
  </si>
  <si>
    <t>PR.DS-5, RS.AN-1</t>
  </si>
  <si>
    <t>ID.AM-2, PR.DS-6</t>
  </si>
  <si>
    <t>PR.AC-6</t>
  </si>
  <si>
    <t>PR.AC-6, PR.AC-4</t>
  </si>
  <si>
    <t>ID.AM-3, DE.AE-1</t>
  </si>
  <si>
    <t>PR.IP-5, ID.SC-3</t>
  </si>
  <si>
    <t>PR.MA-1, PR.MA-2, PR.DS-3</t>
  </si>
  <si>
    <t>PR.AC-5, PR.AC-6, PR.PT-4</t>
  </si>
  <si>
    <t>DE.CM-1, DE.CM-7</t>
  </si>
  <si>
    <t>DE.CM-5, DE.CM-7</t>
  </si>
  <si>
    <t>PR.AC-5, PR.AC-6,  PR.AC-4</t>
  </si>
  <si>
    <t>ID.RA-1, PR.IP-12, DE.CM-8, RS.AN-5</t>
  </si>
  <si>
    <t>N/A</t>
  </si>
  <si>
    <t>PR.PT-1, DE.AE-1</t>
  </si>
  <si>
    <t>ID.RA-1, PR.IP-12, ID.RA-5, RS.CO-5, DE.CM-8</t>
  </si>
  <si>
    <t>PR.IP-9, DE.CM-8, DE.CM-1, DE.CM-7</t>
  </si>
  <si>
    <t>ID.SC</t>
  </si>
  <si>
    <t>RS.AN-5</t>
  </si>
  <si>
    <r>
      <t>Instructions on use:</t>
    </r>
    <r>
      <rPr>
        <sz val="11"/>
        <color theme="1"/>
        <rFont val="Calibri"/>
        <family val="2"/>
        <scheme val="minor"/>
      </rPr>
      <t xml:space="preserve"> This toolkit is designed to be a supplement to the main document of the Healthcare Industry Cybersecurity Practices (HICP) guide. Specifically, Appendix E of the Main Document outlines an assessment methodology. You may follow that methodology, if you choose, by leveraging this toolkit. The goal of the assessment is multi-faceted. First and foremost, you should determine the size of your organization. You may reference the table to right, or refer to the Main Document on page 11 for further details. After you have identified the size of your organization, review the threats and determine the level of concern your organization faces. This will be accomplished by prioritizing the threats from highest to lowest, with a 5 being the area of most concern and 1 being the area of least. One this has been completed, the 10 Cybersecurity Practices will be outlined based on a weighting scale of how effective the Practice is at mitigating the threats identified. This scale is just a recommendation based on the priority identified. Lastly, after you are comfortable with the order, review the Sub-Practices for your organization and conduct a self-assessment, as noted below.</t>
    </r>
  </si>
</sst>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1" x14ac:knownFonts="1">
    <font>
      <sz val="11"/>
      <color theme="1"/>
      <name val="Calibri"/>
      <family val="2"/>
      <scheme val="minor"/>
    </font>
    <font>
      <b/>
      <sz val="11"/>
      <color theme="1"/>
      <name val="Calibri"/>
      <family val="2"/>
      <scheme val="minor"/>
    </font>
    <font>
      <sz val="11"/>
      <color theme="0"/>
      <name val="Calibri"/>
      <family val="2"/>
      <scheme val="minor"/>
    </font>
    <font>
      <b/>
      <sz val="11"/>
      <name val="Calibri"/>
      <family val="2"/>
      <scheme val="minor"/>
    </font>
    <font>
      <sz val="10"/>
      <color theme="1"/>
      <name val="Calibri"/>
      <family val="2"/>
      <scheme val="minor"/>
    </font>
    <font>
      <b/>
      <u/>
      <sz val="11"/>
      <color theme="1"/>
      <name val="Calibri"/>
      <family val="2"/>
      <scheme val="minor"/>
    </font>
    <font>
      <b/>
      <sz val="11"/>
      <color theme="0"/>
      <name val="Calibri"/>
      <family val="2"/>
      <scheme val="minor"/>
    </font>
    <font>
      <b/>
      <sz val="11"/>
      <color theme="1"/>
      <name val="Calibri"/>
      <family val="2"/>
    </font>
    <font>
      <sz val="11"/>
      <color theme="1"/>
      <name val="Calibri"/>
      <family val="2"/>
    </font>
    <font>
      <vertAlign val="superscript"/>
      <sz val="11"/>
      <color theme="1"/>
      <name val="Calibri"/>
      <family val="2"/>
    </font>
    <font>
      <sz val="11"/>
      <color rgb="FF000000"/>
      <name val="Calibri"/>
      <family val="2"/>
      <scheme val="minor"/>
    </font>
  </fonts>
  <fills count="12">
    <fill>
      <patternFill patternType="none"/>
    </fill>
    <fill>
      <patternFill patternType="gray125"/>
    </fill>
    <fill>
      <patternFill patternType="solid">
        <fgColor theme="0" tint="-0.14999847407452621"/>
        <bgColor indexed="64"/>
      </patternFill>
    </fill>
    <fill>
      <patternFill patternType="solid">
        <fgColor theme="4" tint="-0.499984740745262"/>
        <bgColor indexed="64"/>
      </patternFill>
    </fill>
    <fill>
      <patternFill patternType="solid">
        <fgColor theme="2"/>
        <bgColor indexed="64"/>
      </patternFill>
    </fill>
    <fill>
      <patternFill patternType="solid">
        <fgColor theme="0"/>
        <bgColor indexed="64"/>
      </patternFill>
    </fill>
    <fill>
      <patternFill patternType="solid">
        <fgColor theme="4" tint="0.39997558519241921"/>
        <bgColor indexed="64"/>
      </patternFill>
    </fill>
    <fill>
      <patternFill patternType="solid">
        <fgColor theme="3" tint="0.79998168889431442"/>
        <bgColor indexed="64"/>
      </patternFill>
    </fill>
    <fill>
      <patternFill patternType="solid">
        <fgColor theme="7" tint="0.79998168889431442"/>
        <bgColor indexed="64"/>
      </patternFill>
    </fill>
    <fill>
      <patternFill patternType="solid">
        <fgColor theme="4" tint="0.79998168889431442"/>
        <bgColor indexed="64"/>
      </patternFill>
    </fill>
    <fill>
      <patternFill patternType="solid">
        <fgColor theme="4" tint="0.79995117038483843"/>
        <bgColor rgb="FF00B3D2"/>
      </patternFill>
    </fill>
    <fill>
      <patternFill patternType="solid">
        <fgColor rgb="FFE5E5E5"/>
        <bgColor rgb="FF000000"/>
      </patternFill>
    </fill>
  </fills>
  <borders count="42">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thin">
        <color indexed="64"/>
      </left>
      <right/>
      <top style="thin">
        <color indexed="64"/>
      </top>
      <bottom/>
      <diagonal/>
    </border>
    <border>
      <left style="medium">
        <color indexed="64"/>
      </left>
      <right style="medium">
        <color indexed="64"/>
      </right>
      <top style="medium">
        <color indexed="64"/>
      </top>
      <bottom style="medium">
        <color indexed="64"/>
      </bottom>
      <diagonal/>
    </border>
    <border>
      <left/>
      <right style="medium">
        <color indexed="64"/>
      </right>
      <top/>
      <bottom/>
      <diagonal/>
    </border>
    <border>
      <left/>
      <right style="medium">
        <color indexed="64"/>
      </right>
      <top/>
      <bottom style="medium">
        <color indexed="64"/>
      </bottom>
      <diagonal/>
    </border>
    <border>
      <left style="medium">
        <color indexed="64"/>
      </left>
      <right/>
      <top style="medium">
        <color indexed="64"/>
      </top>
      <bottom style="medium">
        <color indexed="64"/>
      </bottom>
      <diagonal/>
    </border>
    <border>
      <left style="thin">
        <color indexed="64"/>
      </left>
      <right/>
      <top style="thin">
        <color theme="1"/>
      </top>
      <bottom/>
      <diagonal/>
    </border>
    <border>
      <left style="thin">
        <color indexed="64"/>
      </left>
      <right style="thin">
        <color theme="0"/>
      </right>
      <top style="thin">
        <color indexed="64"/>
      </top>
      <bottom style="thin">
        <color theme="0"/>
      </bottom>
      <diagonal/>
    </border>
    <border>
      <left/>
      <right/>
      <top style="thin">
        <color indexed="64"/>
      </top>
      <bottom style="thin">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style="medium">
        <color indexed="64"/>
      </top>
      <bottom style="medium">
        <color indexed="64"/>
      </bottom>
      <diagonal/>
    </border>
    <border>
      <left style="medium">
        <color rgb="FF000000"/>
      </left>
      <right/>
      <top style="medium">
        <color rgb="FF000000"/>
      </top>
      <bottom style="medium">
        <color indexed="64"/>
      </bottom>
      <diagonal/>
    </border>
    <border>
      <left/>
      <right style="medium">
        <color rgb="FF000000"/>
      </right>
      <top/>
      <bottom style="medium">
        <color indexed="64"/>
      </bottom>
      <diagonal/>
    </border>
    <border>
      <left/>
      <right style="medium">
        <color indexed="64"/>
      </right>
      <top style="medium">
        <color rgb="FF000000"/>
      </top>
      <bottom style="medium">
        <color indexed="64"/>
      </bottom>
      <diagonal/>
    </border>
    <border>
      <left/>
      <right style="medium">
        <color rgb="FF000000"/>
      </right>
      <top style="medium">
        <color rgb="FF000000"/>
      </top>
      <bottom style="medium">
        <color indexed="64"/>
      </bottom>
      <diagonal/>
    </border>
    <border>
      <left style="medium">
        <color rgb="FF000000"/>
      </left>
      <right style="medium">
        <color indexed="64"/>
      </right>
      <top style="medium">
        <color indexed="64"/>
      </top>
      <bottom/>
      <diagonal/>
    </border>
    <border>
      <left style="medium">
        <color indexed="64"/>
      </left>
      <right style="medium">
        <color indexed="64"/>
      </right>
      <top style="medium">
        <color indexed="64"/>
      </top>
      <bottom/>
      <diagonal/>
    </border>
    <border>
      <left/>
      <right style="medium">
        <color rgb="FF000000"/>
      </right>
      <top/>
      <bottom/>
      <diagonal/>
    </border>
    <border>
      <left style="medium">
        <color rgb="FF000000"/>
      </left>
      <right style="medium">
        <color indexed="64"/>
      </right>
      <top/>
      <bottom/>
      <diagonal/>
    </border>
    <border>
      <left style="medium">
        <color indexed="64"/>
      </left>
      <right style="medium">
        <color rgb="FF000000"/>
      </right>
      <top style="medium">
        <color indexed="64"/>
      </top>
      <bottom/>
      <diagonal/>
    </border>
    <border>
      <left style="medium">
        <color indexed="64"/>
      </left>
      <right style="medium">
        <color rgb="FF000000"/>
      </right>
      <top/>
      <bottom/>
      <diagonal/>
    </border>
    <border>
      <left style="medium">
        <color indexed="64"/>
      </left>
      <right style="medium">
        <color rgb="FF000000"/>
      </right>
      <top/>
      <bottom style="medium">
        <color indexed="64"/>
      </bottom>
      <diagonal/>
    </border>
    <border>
      <left style="medium">
        <color rgb="FF000000"/>
      </left>
      <right style="medium">
        <color indexed="64"/>
      </right>
      <top/>
      <bottom style="medium">
        <color indexed="64"/>
      </bottom>
      <diagonal/>
    </border>
    <border>
      <left style="medium">
        <color indexed="64"/>
      </left>
      <right/>
      <top/>
      <bottom style="medium">
        <color rgb="FF000000"/>
      </bottom>
      <diagonal/>
    </border>
    <border>
      <left/>
      <right style="medium">
        <color indexed="64"/>
      </right>
      <top/>
      <bottom style="medium">
        <color rgb="FF000000"/>
      </bottom>
      <diagonal/>
    </border>
    <border>
      <left/>
      <right style="medium">
        <color rgb="FF000000"/>
      </right>
      <top/>
      <bottom style="medium">
        <color rgb="FF000000"/>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right/>
      <top/>
      <bottom style="thin">
        <color indexed="64"/>
      </bottom>
      <diagonal/>
    </border>
    <border>
      <left style="medium">
        <color rgb="FF000000"/>
      </left>
      <right style="medium">
        <color rgb="FF000000"/>
      </right>
      <top style="medium">
        <color rgb="FF000000"/>
      </top>
      <bottom style="medium">
        <color indexed="64"/>
      </bottom>
      <diagonal/>
    </border>
    <border>
      <left style="thin">
        <color indexed="64"/>
      </left>
      <right/>
      <top style="medium">
        <color indexed="64"/>
      </top>
      <bottom style="thin">
        <color indexed="64"/>
      </bottom>
      <diagonal/>
    </border>
    <border>
      <left/>
      <right style="thin">
        <color indexed="64"/>
      </right>
      <top style="medium">
        <color indexed="64"/>
      </top>
      <bottom style="thin">
        <color indexed="64"/>
      </bottom>
      <diagonal/>
    </border>
  </borders>
  <cellStyleXfs count="1">
    <xf numFmtId="0" fontId="0" fillId="0" borderId="0"/>
  </cellStyleXfs>
  <cellXfs count="141">
    <xf numFmtId="0" fontId="0" fillId="0" borderId="0" xfId="0"/>
    <xf numFmtId="2" fontId="0" fillId="0" borderId="0" xfId="0" applyNumberFormat="1"/>
    <xf numFmtId="0" fontId="1" fillId="0" borderId="0" xfId="0" applyFont="1"/>
    <xf numFmtId="0" fontId="2" fillId="3" borderId="2" xfId="0" applyFont="1" applyFill="1" applyBorder="1" applyAlignment="1"/>
    <xf numFmtId="0" fontId="2" fillId="3" borderId="13" xfId="0" applyFont="1" applyFill="1" applyBorder="1" applyAlignment="1">
      <alignment wrapText="1"/>
    </xf>
    <xf numFmtId="0" fontId="2" fillId="3" borderId="3" xfId="0" applyFont="1" applyFill="1" applyBorder="1" applyAlignment="1">
      <alignment wrapText="1"/>
    </xf>
    <xf numFmtId="0" fontId="0" fillId="5" borderId="0" xfId="0" applyFill="1"/>
    <xf numFmtId="0" fontId="0" fillId="5" borderId="0" xfId="0" applyFill="1" applyAlignment="1">
      <alignment wrapText="1"/>
    </xf>
    <xf numFmtId="0" fontId="0" fillId="5" borderId="4" xfId="0" applyFill="1" applyBorder="1" applyAlignment="1">
      <alignment horizontal="left" vertical="top"/>
    </xf>
    <xf numFmtId="0" fontId="0" fillId="5" borderId="5" xfId="0" applyFill="1" applyBorder="1" applyAlignment="1">
      <alignment horizontal="left" vertical="top"/>
    </xf>
    <xf numFmtId="0" fontId="0" fillId="5" borderId="1" xfId="0" applyFill="1" applyBorder="1"/>
    <xf numFmtId="0" fontId="0" fillId="5" borderId="2" xfId="0" applyFill="1" applyBorder="1"/>
    <xf numFmtId="0" fontId="0" fillId="5" borderId="1" xfId="0" applyFill="1" applyBorder="1" applyAlignment="1">
      <alignment horizontal="center" vertical="center"/>
    </xf>
    <xf numFmtId="0" fontId="0" fillId="5" borderId="2" xfId="0" applyFill="1" applyBorder="1" applyAlignment="1">
      <alignment horizontal="left" vertical="top"/>
    </xf>
    <xf numFmtId="0" fontId="4" fillId="5" borderId="1" xfId="0" applyFont="1" applyFill="1" applyBorder="1" applyAlignment="1">
      <alignment horizontal="left" vertical="top"/>
    </xf>
    <xf numFmtId="0" fontId="0" fillId="5" borderId="1" xfId="0" applyFill="1" applyBorder="1" applyAlignment="1">
      <alignment horizontal="center" vertical="top"/>
    </xf>
    <xf numFmtId="1" fontId="0" fillId="5" borderId="1" xfId="0" applyNumberFormat="1" applyFill="1" applyBorder="1" applyAlignment="1">
      <alignment horizontal="left" vertical="top"/>
    </xf>
    <xf numFmtId="0" fontId="0" fillId="5" borderId="1" xfId="0" applyFill="1" applyBorder="1" applyAlignment="1">
      <alignment horizontal="left" vertical="top"/>
    </xf>
    <xf numFmtId="0" fontId="0" fillId="5" borderId="1" xfId="0" applyFill="1" applyBorder="1" applyAlignment="1">
      <alignment horizontal="right" vertical="top"/>
    </xf>
    <xf numFmtId="1" fontId="0" fillId="5" borderId="12" xfId="0" applyNumberFormat="1" applyFont="1" applyFill="1" applyBorder="1" applyAlignment="1">
      <alignment horizontal="center" vertical="top"/>
    </xf>
    <xf numFmtId="1" fontId="0" fillId="5" borderId="1" xfId="0" applyNumberFormat="1" applyFont="1" applyFill="1" applyBorder="1" applyAlignment="1">
      <alignment horizontal="center" vertical="top"/>
    </xf>
    <xf numFmtId="0" fontId="6" fillId="3" borderId="7" xfId="0" applyFont="1" applyFill="1" applyBorder="1"/>
    <xf numFmtId="0" fontId="2" fillId="3" borderId="3" xfId="0" applyFont="1" applyFill="1" applyBorder="1" applyAlignment="1">
      <alignment horizontal="left" vertical="top"/>
    </xf>
    <xf numFmtId="0" fontId="2" fillId="3" borderId="2" xfId="0" applyFont="1" applyFill="1" applyBorder="1" applyAlignment="1">
      <alignment horizontal="left" vertical="top"/>
    </xf>
    <xf numFmtId="0" fontId="2" fillId="3" borderId="1" xfId="0" applyFont="1" applyFill="1" applyBorder="1" applyAlignment="1">
      <alignment horizontal="left" vertical="top"/>
    </xf>
    <xf numFmtId="0" fontId="3" fillId="7" borderId="1" xfId="0" applyFont="1" applyFill="1" applyBorder="1"/>
    <xf numFmtId="0" fontId="0" fillId="7" borderId="0" xfId="0" applyFill="1"/>
    <xf numFmtId="0" fontId="3" fillId="7" borderId="0" xfId="0" applyFont="1" applyFill="1" applyAlignment="1"/>
    <xf numFmtId="0" fontId="3" fillId="7" borderId="0" xfId="0" applyFont="1" applyFill="1" applyAlignment="1">
      <alignment wrapText="1"/>
    </xf>
    <xf numFmtId="0" fontId="3" fillId="7" borderId="1" xfId="0" applyFont="1" applyFill="1" applyBorder="1" applyAlignment="1">
      <alignment wrapText="1"/>
    </xf>
    <xf numFmtId="0" fontId="1" fillId="8" borderId="1" xfId="0" applyFont="1" applyFill="1" applyBorder="1" applyAlignment="1">
      <alignment horizontal="left" vertical="top" wrapText="1"/>
    </xf>
    <xf numFmtId="0" fontId="0" fillId="4" borderId="1" xfId="0" applyFill="1" applyBorder="1" applyAlignment="1" applyProtection="1">
      <alignment wrapText="1"/>
      <protection locked="0"/>
    </xf>
    <xf numFmtId="0" fontId="0" fillId="4" borderId="1" xfId="0" applyFill="1" applyBorder="1" applyAlignment="1" applyProtection="1">
      <alignment horizontal="right" wrapText="1"/>
      <protection locked="0"/>
    </xf>
    <xf numFmtId="0" fontId="7" fillId="10" borderId="21" xfId="0" applyFont="1" applyFill="1" applyBorder="1" applyAlignment="1">
      <alignment vertical="center" wrapText="1"/>
    </xf>
    <xf numFmtId="0" fontId="7" fillId="11" borderId="7" xfId="0" applyFont="1" applyFill="1" applyBorder="1" applyAlignment="1">
      <alignment horizontal="center" vertical="center" wrapText="1"/>
    </xf>
    <xf numFmtId="0" fontId="8" fillId="11" borderId="22" xfId="0" applyFont="1" applyFill="1" applyBorder="1" applyAlignment="1">
      <alignment horizontal="left" vertical="center" wrapText="1" indent="1"/>
    </xf>
    <xf numFmtId="0" fontId="8" fillId="11" borderId="19" xfId="0" applyFont="1" applyFill="1" applyBorder="1" applyAlignment="1">
      <alignment horizontal="left" vertical="center" wrapText="1" indent="1"/>
    </xf>
    <xf numFmtId="0" fontId="8" fillId="11" borderId="7" xfId="0" applyFont="1" applyFill="1" applyBorder="1" applyAlignment="1">
      <alignment horizontal="left" vertical="center" wrapText="1" indent="1"/>
    </xf>
    <xf numFmtId="0" fontId="7" fillId="10" borderId="23" xfId="0" applyFont="1" applyFill="1" applyBorder="1" applyAlignment="1">
      <alignment vertical="center" wrapText="1"/>
    </xf>
    <xf numFmtId="0" fontId="7" fillId="10" borderId="24" xfId="0" applyFont="1" applyFill="1" applyBorder="1" applyAlignment="1">
      <alignment vertical="center" wrapText="1"/>
    </xf>
    <xf numFmtId="0" fontId="8" fillId="11" borderId="27" xfId="0" applyFont="1" applyFill="1" applyBorder="1" applyAlignment="1">
      <alignment horizontal="left" vertical="center" wrapText="1" indent="1"/>
    </xf>
    <xf numFmtId="0" fontId="8" fillId="11" borderId="8" xfId="0" applyFont="1" applyFill="1" applyBorder="1" applyAlignment="1">
      <alignment horizontal="left" vertical="center" wrapText="1" indent="1"/>
    </xf>
    <xf numFmtId="0" fontId="8" fillId="11" borderId="9" xfId="0" applyFont="1" applyFill="1" applyBorder="1" applyAlignment="1">
      <alignment horizontal="left" vertical="center" wrapText="1" indent="1"/>
    </xf>
    <xf numFmtId="0" fontId="7" fillId="11" borderId="9" xfId="0" applyFont="1" applyFill="1" applyBorder="1" applyAlignment="1">
      <alignment horizontal="left" vertical="center" wrapText="1" indent="1"/>
    </xf>
    <xf numFmtId="0" fontId="0" fillId="11" borderId="27" xfId="0" applyFont="1" applyFill="1" applyBorder="1" applyAlignment="1">
      <alignment horizontal="left" vertical="top" wrapText="1" indent="1"/>
    </xf>
    <xf numFmtId="0" fontId="8" fillId="11" borderId="34" xfId="0" applyFont="1" applyFill="1" applyBorder="1" applyAlignment="1">
      <alignment horizontal="left" vertical="center" wrapText="1" indent="1"/>
    </xf>
    <xf numFmtId="0" fontId="0" fillId="11" borderId="35" xfId="0" applyFont="1" applyFill="1" applyBorder="1" applyAlignment="1">
      <alignment horizontal="left" vertical="top" wrapText="1" indent="1"/>
    </xf>
    <xf numFmtId="0" fontId="0" fillId="0" borderId="0" xfId="0"/>
    <xf numFmtId="0" fontId="0" fillId="0" borderId="1" xfId="0" applyBorder="1"/>
    <xf numFmtId="0" fontId="0" fillId="0" borderId="0" xfId="0"/>
    <xf numFmtId="1" fontId="0" fillId="0" borderId="1" xfId="0" applyNumberFormat="1" applyBorder="1" applyAlignment="1">
      <alignment horizontal="center" vertical="center"/>
    </xf>
    <xf numFmtId="1" fontId="0" fillId="0" borderId="1" xfId="0" applyNumberFormat="1" applyBorder="1" applyAlignment="1">
      <alignment horizontal="center"/>
    </xf>
    <xf numFmtId="0" fontId="0" fillId="0" borderId="1" xfId="0" applyBorder="1" applyAlignment="1">
      <alignment horizontal="center" vertical="top"/>
    </xf>
    <xf numFmtId="0" fontId="0" fillId="0" borderId="0" xfId="0" applyBorder="1"/>
    <xf numFmtId="0" fontId="0" fillId="2" borderId="1" xfId="0" applyFont="1" applyFill="1" applyBorder="1" applyAlignment="1">
      <alignment horizontal="center" vertical="top"/>
    </xf>
    <xf numFmtId="0" fontId="0" fillId="2" borderId="2" xfId="0" applyFont="1" applyFill="1" applyBorder="1" applyAlignment="1">
      <alignment horizontal="left" vertical="top"/>
    </xf>
    <xf numFmtId="0" fontId="0" fillId="2" borderId="13" xfId="0" applyFont="1" applyFill="1" applyBorder="1" applyAlignment="1">
      <alignment horizontal="left" vertical="top"/>
    </xf>
    <xf numFmtId="0" fontId="0" fillId="2" borderId="3" xfId="0" applyFont="1" applyFill="1" applyBorder="1" applyAlignment="1">
      <alignment horizontal="left" vertical="top"/>
    </xf>
    <xf numFmtId="0" fontId="0" fillId="0" borderId="2" xfId="0" applyFont="1" applyFill="1" applyBorder="1" applyAlignment="1">
      <alignment horizontal="left" vertical="top"/>
    </xf>
    <xf numFmtId="0" fontId="0" fillId="0" borderId="13" xfId="0" applyFont="1" applyFill="1" applyBorder="1" applyAlignment="1">
      <alignment horizontal="left" vertical="top"/>
    </xf>
    <xf numFmtId="0" fontId="0" fillId="0" borderId="3" xfId="0" applyFont="1" applyFill="1" applyBorder="1" applyAlignment="1">
      <alignment horizontal="left" vertical="top"/>
    </xf>
    <xf numFmtId="0" fontId="7" fillId="10" borderId="7" xfId="0" applyFont="1" applyFill="1" applyBorder="1" applyAlignment="1">
      <alignment vertical="center" wrapText="1"/>
    </xf>
    <xf numFmtId="0" fontId="5" fillId="0" borderId="0" xfId="0" applyFont="1"/>
    <xf numFmtId="0" fontId="0" fillId="2" borderId="1" xfId="0" applyFill="1" applyBorder="1"/>
    <xf numFmtId="0" fontId="7" fillId="10" borderId="39" xfId="0" applyFont="1" applyFill="1" applyBorder="1" applyAlignment="1">
      <alignment horizontal="center" vertical="center" wrapText="1"/>
    </xf>
    <xf numFmtId="0" fontId="0" fillId="0" borderId="40" xfId="0" applyFont="1" applyFill="1" applyBorder="1" applyAlignment="1">
      <alignment vertical="top"/>
    </xf>
    <xf numFmtId="0" fontId="0" fillId="0" borderId="41" xfId="0" applyFont="1" applyFill="1" applyBorder="1" applyAlignment="1">
      <alignment vertical="top"/>
    </xf>
    <xf numFmtId="0" fontId="0" fillId="0" borderId="2" xfId="0" applyFont="1" applyFill="1" applyBorder="1" applyAlignment="1">
      <alignment vertical="top"/>
    </xf>
    <xf numFmtId="0" fontId="0" fillId="0" borderId="3" xfId="0" applyFont="1" applyFill="1" applyBorder="1" applyAlignment="1">
      <alignment vertical="top"/>
    </xf>
    <xf numFmtId="0" fontId="3" fillId="0" borderId="11" xfId="0" applyFont="1" applyFill="1" applyBorder="1"/>
    <xf numFmtId="1" fontId="3" fillId="0" borderId="6" xfId="0" applyNumberFormat="1" applyFont="1" applyFill="1" applyBorder="1"/>
    <xf numFmtId="0" fontId="3" fillId="0" borderId="6" xfId="0" applyFont="1" applyFill="1" applyBorder="1"/>
    <xf numFmtId="0" fontId="3" fillId="0" borderId="6" xfId="0" applyFont="1" applyFill="1" applyBorder="1" applyAlignment="1">
      <alignment horizontal="center"/>
    </xf>
    <xf numFmtId="0" fontId="0" fillId="0" borderId="1" xfId="0" applyFill="1" applyBorder="1" applyAlignment="1">
      <alignment horizontal="center" vertical="center"/>
    </xf>
    <xf numFmtId="0" fontId="0" fillId="0" borderId="1" xfId="0" applyFill="1" applyBorder="1"/>
    <xf numFmtId="0" fontId="0" fillId="0" borderId="1" xfId="0" applyFill="1" applyBorder="1" applyAlignment="1">
      <alignment horizontal="center"/>
    </xf>
    <xf numFmtId="0" fontId="0" fillId="0" borderId="2" xfId="0" applyFill="1" applyBorder="1"/>
    <xf numFmtId="1" fontId="0" fillId="0" borderId="6" xfId="0" applyNumberFormat="1" applyFont="1" applyFill="1" applyBorder="1"/>
    <xf numFmtId="0" fontId="0" fillId="0" borderId="37" xfId="0" applyFill="1" applyBorder="1"/>
    <xf numFmtId="0" fontId="0" fillId="0" borderId="37" xfId="0" applyFill="1" applyBorder="1" applyAlignment="1">
      <alignment horizontal="center"/>
    </xf>
    <xf numFmtId="0" fontId="0" fillId="0" borderId="36" xfId="0" applyFill="1" applyBorder="1" applyAlignment="1">
      <alignment horizontal="center" vertical="center"/>
    </xf>
    <xf numFmtId="0" fontId="0" fillId="0" borderId="36" xfId="0" applyFill="1" applyBorder="1"/>
    <xf numFmtId="0" fontId="0" fillId="0" borderId="36" xfId="0" applyFill="1" applyBorder="1" applyAlignment="1">
      <alignment horizontal="center"/>
    </xf>
    <xf numFmtId="0" fontId="0" fillId="0" borderId="6" xfId="0" applyFill="1" applyBorder="1"/>
    <xf numFmtId="0" fontId="0" fillId="0" borderId="6" xfId="0" applyFont="1" applyBorder="1"/>
    <xf numFmtId="0" fontId="0" fillId="0" borderId="6" xfId="0" applyFont="1" applyBorder="1" applyAlignment="1">
      <alignment wrapText="1"/>
    </xf>
    <xf numFmtId="0" fontId="0" fillId="0" borderId="1" xfId="0" applyFont="1" applyBorder="1" applyAlignment="1">
      <alignment wrapText="1"/>
    </xf>
    <xf numFmtId="0" fontId="0" fillId="0" borderId="1" xfId="0" applyFont="1" applyBorder="1"/>
    <xf numFmtId="0" fontId="10" fillId="0" borderId="1" xfId="0" applyFont="1" applyBorder="1"/>
    <xf numFmtId="0" fontId="4" fillId="5" borderId="2" xfId="0" applyFont="1" applyFill="1" applyBorder="1" applyAlignment="1">
      <alignment horizontal="left" vertical="top"/>
    </xf>
    <xf numFmtId="0" fontId="4" fillId="5" borderId="13" xfId="0" applyFont="1" applyFill="1" applyBorder="1" applyAlignment="1">
      <alignment horizontal="left" vertical="top"/>
    </xf>
    <xf numFmtId="0" fontId="4" fillId="5" borderId="3" xfId="0" applyFont="1" applyFill="1" applyBorder="1" applyAlignment="1">
      <alignment horizontal="left" vertical="top"/>
    </xf>
    <xf numFmtId="0" fontId="1" fillId="6" borderId="1" xfId="0" applyFont="1" applyFill="1" applyBorder="1" applyAlignment="1">
      <alignment horizontal="center"/>
    </xf>
    <xf numFmtId="0" fontId="2" fillId="3" borderId="1" xfId="0" applyFont="1" applyFill="1" applyBorder="1" applyAlignment="1">
      <alignment horizontal="center"/>
    </xf>
    <xf numFmtId="0" fontId="5" fillId="9" borderId="14" xfId="0" applyFont="1" applyFill="1" applyBorder="1" applyAlignment="1">
      <alignment horizontal="left" vertical="top" wrapText="1"/>
    </xf>
    <xf numFmtId="0" fontId="0" fillId="9" borderId="15" xfId="0" applyFill="1" applyBorder="1" applyAlignment="1">
      <alignment horizontal="left" vertical="top" wrapText="1"/>
    </xf>
    <xf numFmtId="0" fontId="0" fillId="9" borderId="16" xfId="0" applyFill="1" applyBorder="1" applyAlignment="1">
      <alignment horizontal="left" vertical="top" wrapText="1"/>
    </xf>
    <xf numFmtId="0" fontId="0" fillId="9" borderId="17" xfId="0" applyFill="1" applyBorder="1" applyAlignment="1">
      <alignment horizontal="left" vertical="top" wrapText="1"/>
    </xf>
    <xf numFmtId="0" fontId="0" fillId="9" borderId="0" xfId="0" applyFill="1" applyBorder="1" applyAlignment="1">
      <alignment horizontal="left" vertical="top" wrapText="1"/>
    </xf>
    <xf numFmtId="0" fontId="0" fillId="9" borderId="8" xfId="0" applyFill="1" applyBorder="1" applyAlignment="1">
      <alignment horizontal="left" vertical="top" wrapText="1"/>
    </xf>
    <xf numFmtId="0" fontId="0" fillId="9" borderId="18" xfId="0" applyFill="1" applyBorder="1" applyAlignment="1">
      <alignment horizontal="left" vertical="top" wrapText="1"/>
    </xf>
    <xf numFmtId="0" fontId="0" fillId="9" borderId="19" xfId="0" applyFill="1" applyBorder="1" applyAlignment="1">
      <alignment horizontal="left" vertical="top" wrapText="1"/>
    </xf>
    <xf numFmtId="0" fontId="0" fillId="9" borderId="9" xfId="0" applyFill="1" applyBorder="1" applyAlignment="1">
      <alignment horizontal="left" vertical="top" wrapText="1"/>
    </xf>
    <xf numFmtId="0" fontId="0" fillId="5" borderId="17" xfId="0" applyFill="1" applyBorder="1" applyAlignment="1">
      <alignment horizontal="left" vertical="top" wrapText="1"/>
    </xf>
    <xf numFmtId="0" fontId="0" fillId="5" borderId="8" xfId="0" applyFill="1" applyBorder="1" applyAlignment="1">
      <alignment horizontal="left" vertical="top" wrapText="1"/>
    </xf>
    <xf numFmtId="0" fontId="6" fillId="3" borderId="10" xfId="0" applyFont="1" applyFill="1" applyBorder="1" applyAlignment="1">
      <alignment horizontal="left" vertical="top"/>
    </xf>
    <xf numFmtId="0" fontId="6" fillId="3" borderId="20" xfId="0" applyFont="1" applyFill="1" applyBorder="1" applyAlignment="1">
      <alignment horizontal="left" vertical="top"/>
    </xf>
    <xf numFmtId="0" fontId="0" fillId="5" borderId="18" xfId="0" applyFill="1" applyBorder="1" applyAlignment="1">
      <alignment horizontal="left" vertical="top" wrapText="1"/>
    </xf>
    <xf numFmtId="0" fontId="0" fillId="5" borderId="9" xfId="0" applyFill="1" applyBorder="1" applyAlignment="1">
      <alignment horizontal="left" vertical="top" wrapText="1"/>
    </xf>
    <xf numFmtId="0" fontId="0" fillId="9" borderId="14" xfId="0" applyFill="1" applyBorder="1" applyAlignment="1">
      <alignment horizontal="left" vertical="top" wrapText="1"/>
    </xf>
    <xf numFmtId="0" fontId="1" fillId="0" borderId="38" xfId="0" applyFont="1" applyBorder="1" applyAlignment="1">
      <alignment horizontal="center" vertical="top"/>
    </xf>
    <xf numFmtId="0" fontId="0" fillId="0" borderId="2" xfId="0" applyFont="1" applyFill="1" applyBorder="1" applyAlignment="1">
      <alignment horizontal="left" vertical="top"/>
    </xf>
    <xf numFmtId="0" fontId="0" fillId="0" borderId="13" xfId="0" applyFont="1" applyFill="1" applyBorder="1" applyAlignment="1">
      <alignment horizontal="left" vertical="top"/>
    </xf>
    <xf numFmtId="0" fontId="0" fillId="0" borderId="3" xfId="0" applyFont="1" applyFill="1" applyBorder="1" applyAlignment="1">
      <alignment horizontal="left" vertical="top"/>
    </xf>
    <xf numFmtId="0" fontId="8" fillId="11" borderId="26" xfId="0" applyFont="1" applyFill="1" applyBorder="1" applyAlignment="1">
      <alignment horizontal="left" vertical="center" wrapText="1" indent="1"/>
    </xf>
    <xf numFmtId="0" fontId="8" fillId="11" borderId="5" xfId="0" applyFont="1" applyFill="1" applyBorder="1" applyAlignment="1">
      <alignment horizontal="left" vertical="center" wrapText="1" indent="1"/>
    </xf>
    <xf numFmtId="0" fontId="7" fillId="11" borderId="26" xfId="0" applyFont="1" applyFill="1" applyBorder="1" applyAlignment="1">
      <alignment horizontal="left" vertical="center" wrapText="1" indent="1"/>
    </xf>
    <xf numFmtId="0" fontId="7" fillId="11" borderId="5" xfId="0" applyFont="1" applyFill="1" applyBorder="1" applyAlignment="1">
      <alignment horizontal="left" vertical="center" wrapText="1" indent="1"/>
    </xf>
    <xf numFmtId="0" fontId="7" fillId="11" borderId="4" xfId="0" applyFont="1" applyFill="1" applyBorder="1" applyAlignment="1">
      <alignment horizontal="left" vertical="center" wrapText="1" indent="1"/>
    </xf>
    <xf numFmtId="0" fontId="8" fillId="11" borderId="4" xfId="0" applyFont="1" applyFill="1" applyBorder="1" applyAlignment="1">
      <alignment horizontal="left" vertical="center" wrapText="1" indent="1"/>
    </xf>
    <xf numFmtId="0" fontId="7" fillId="10" borderId="28" xfId="0" applyFont="1" applyFill="1" applyBorder="1" applyAlignment="1">
      <alignment horizontal="center" vertical="center" textRotation="90" wrapText="1"/>
    </xf>
    <xf numFmtId="0" fontId="7" fillId="10" borderId="32" xfId="0" applyFont="1" applyFill="1" applyBorder="1" applyAlignment="1">
      <alignment horizontal="center" vertical="center" textRotation="90" wrapText="1"/>
    </xf>
    <xf numFmtId="0" fontId="8" fillId="11" borderId="14" xfId="0" applyFont="1" applyFill="1" applyBorder="1" applyAlignment="1">
      <alignment horizontal="left" vertical="center" wrapText="1" indent="1"/>
    </xf>
    <xf numFmtId="0" fontId="8" fillId="11" borderId="16" xfId="0" applyFont="1" applyFill="1" applyBorder="1" applyAlignment="1">
      <alignment horizontal="left" vertical="center" wrapText="1" indent="1"/>
    </xf>
    <xf numFmtId="0" fontId="8" fillId="11" borderId="17" xfId="0" applyFont="1" applyFill="1" applyBorder="1" applyAlignment="1">
      <alignment horizontal="left" vertical="center" wrapText="1" indent="1"/>
    </xf>
    <xf numFmtId="0" fontId="8" fillId="11" borderId="8" xfId="0" applyFont="1" applyFill="1" applyBorder="1" applyAlignment="1">
      <alignment horizontal="left" vertical="center" wrapText="1" indent="1"/>
    </xf>
    <xf numFmtId="0" fontId="8" fillId="11" borderId="33" xfId="0" applyFont="1" applyFill="1" applyBorder="1" applyAlignment="1">
      <alignment horizontal="left" vertical="center" wrapText="1" indent="1"/>
    </xf>
    <xf numFmtId="0" fontId="8" fillId="11" borderId="34" xfId="0" applyFont="1" applyFill="1" applyBorder="1" applyAlignment="1">
      <alignment horizontal="left" vertical="center" wrapText="1" indent="1"/>
    </xf>
    <xf numFmtId="0" fontId="7" fillId="10" borderId="21" xfId="0" applyFont="1" applyFill="1" applyBorder="1" applyAlignment="1">
      <alignment vertical="center" wrapText="1"/>
    </xf>
    <xf numFmtId="0" fontId="7" fillId="10" borderId="23" xfId="0" applyFont="1" applyFill="1" applyBorder="1" applyAlignment="1">
      <alignment vertical="center" wrapText="1"/>
    </xf>
    <xf numFmtId="0" fontId="7" fillId="10" borderId="25" xfId="0" applyFont="1" applyFill="1" applyBorder="1" applyAlignment="1">
      <alignment horizontal="center" vertical="center" textRotation="90" wrapText="1"/>
    </xf>
    <xf numFmtId="0" fontId="8" fillId="11" borderId="29" xfId="0" applyFont="1" applyFill="1" applyBorder="1" applyAlignment="1">
      <alignment horizontal="left" vertical="center" wrapText="1" indent="1"/>
    </xf>
    <xf numFmtId="0" fontId="8" fillId="11" borderId="30" xfId="0" applyFont="1" applyFill="1" applyBorder="1" applyAlignment="1">
      <alignment horizontal="left" vertical="center" wrapText="1" indent="1"/>
    </xf>
    <xf numFmtId="0" fontId="8" fillId="11" borderId="31" xfId="0" applyFont="1" applyFill="1" applyBorder="1" applyAlignment="1">
      <alignment horizontal="left" vertical="center" wrapText="1" indent="1"/>
    </xf>
    <xf numFmtId="0" fontId="7" fillId="10" borderId="26" xfId="0" applyFont="1" applyFill="1" applyBorder="1" applyAlignment="1">
      <alignment horizontal="center" vertical="center" textRotation="90" wrapText="1"/>
    </xf>
    <xf numFmtId="0" fontId="7" fillId="10" borderId="4" xfId="0" applyFont="1" applyFill="1" applyBorder="1" applyAlignment="1">
      <alignment horizontal="center" vertical="center" textRotation="90" wrapText="1"/>
    </xf>
    <xf numFmtId="0" fontId="7" fillId="10" borderId="5" xfId="0" applyFont="1" applyFill="1" applyBorder="1" applyAlignment="1">
      <alignment horizontal="center" vertical="center" textRotation="90" wrapText="1"/>
    </xf>
    <xf numFmtId="0" fontId="7" fillId="11" borderId="16" xfId="0" applyFont="1" applyFill="1" applyBorder="1" applyAlignment="1">
      <alignment horizontal="left" vertical="center" wrapText="1" indent="1"/>
    </xf>
    <xf numFmtId="0" fontId="7" fillId="11" borderId="9" xfId="0" applyFont="1" applyFill="1" applyBorder="1" applyAlignment="1">
      <alignment horizontal="left" vertical="center" wrapText="1" indent="1"/>
    </xf>
    <xf numFmtId="0" fontId="7" fillId="10" borderId="10" xfId="0" applyFont="1" applyFill="1" applyBorder="1" applyAlignment="1">
      <alignment horizontal="left" vertical="top" wrapText="1"/>
    </xf>
    <xf numFmtId="0" fontId="7" fillId="10" borderId="20" xfId="0" applyFont="1" applyFill="1" applyBorder="1" applyAlignment="1">
      <alignment horizontal="left" vertical="top" wrapText="1"/>
    </xf>
  </cellXfs>
  <cellStyles count="1">
    <cellStyle name="Normal" xfId="0" builtinId="0"/>
  </cellStyles>
  <dxfs count="22">
    <dxf>
      <font>
        <b val="0"/>
        <i val="0"/>
        <strike val="0"/>
        <condense val="0"/>
        <extend val="0"/>
        <outline val="0"/>
        <shadow val="0"/>
        <u val="none"/>
        <vertAlign val="baseline"/>
        <sz val="11"/>
        <color theme="1"/>
        <name val="Calibri"/>
        <scheme val="minor"/>
      </font>
      <fill>
        <patternFill patternType="none">
          <fgColor indexed="64"/>
          <bgColor auto="1"/>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scheme val="minor"/>
      </font>
      <numFmt numFmtId="1" formatCode="0"/>
      <fill>
        <patternFill patternType="none">
          <fgColor indexed="64"/>
          <bgColor auto="1"/>
        </patternFill>
      </fill>
      <border diagonalUp="0" diagonalDown="0" outline="0">
        <left style="thin">
          <color indexed="64"/>
        </left>
        <right/>
        <top style="thin">
          <color indexed="64"/>
        </top>
        <bottom/>
      </border>
    </dxf>
    <dxf>
      <font>
        <b val="0"/>
        <i val="0"/>
        <strike val="0"/>
        <condense val="0"/>
        <extend val="0"/>
        <outline val="0"/>
        <shadow val="0"/>
        <u val="none"/>
        <vertAlign val="baseline"/>
        <sz val="11"/>
        <color theme="1"/>
        <name val="Calibri"/>
        <scheme val="minor"/>
      </font>
      <numFmt numFmtId="1" formatCode="0"/>
      <fill>
        <patternFill patternType="none">
          <fgColor indexed="64"/>
          <bgColor auto="1"/>
        </patternFill>
      </fill>
      <border diagonalUp="0" diagonalDown="0" outline="0">
        <left style="thin">
          <color indexed="64"/>
        </left>
        <right/>
        <top style="thin">
          <color indexed="64"/>
        </top>
        <bottom/>
      </border>
    </dxf>
    <dxf>
      <font>
        <b val="0"/>
        <i val="0"/>
        <strike val="0"/>
        <condense val="0"/>
        <extend val="0"/>
        <outline val="0"/>
        <shadow val="0"/>
        <u val="none"/>
        <vertAlign val="baseline"/>
        <sz val="11"/>
        <color theme="1"/>
        <name val="Calibri"/>
        <scheme val="minor"/>
      </font>
      <numFmt numFmtId="1" formatCode="0"/>
      <fill>
        <patternFill patternType="none">
          <fgColor indexed="64"/>
          <bgColor auto="1"/>
        </patternFill>
      </fill>
      <border diagonalUp="0" diagonalDown="0" outline="0">
        <left style="thin">
          <color indexed="64"/>
        </left>
        <right/>
        <top style="thin">
          <color indexed="64"/>
        </top>
        <bottom/>
      </border>
    </dxf>
    <dxf>
      <font>
        <b val="0"/>
        <i val="0"/>
        <strike val="0"/>
        <condense val="0"/>
        <extend val="0"/>
        <outline val="0"/>
        <shadow val="0"/>
        <u val="none"/>
        <vertAlign val="baseline"/>
        <sz val="11"/>
        <color theme="1"/>
        <name val="Calibri"/>
        <scheme val="minor"/>
      </font>
      <numFmt numFmtId="1" formatCode="0"/>
      <fill>
        <patternFill patternType="none">
          <fgColor indexed="64"/>
          <bgColor auto="1"/>
        </patternFill>
      </fill>
      <border diagonalUp="0" diagonalDown="0" outline="0">
        <left style="thin">
          <color indexed="64"/>
        </left>
        <right/>
        <top style="thin">
          <color indexed="64"/>
        </top>
        <bottom/>
      </border>
    </dxf>
    <dxf>
      <font>
        <b val="0"/>
        <i val="0"/>
        <strike val="0"/>
        <condense val="0"/>
        <extend val="0"/>
        <outline val="0"/>
        <shadow val="0"/>
        <u val="none"/>
        <vertAlign val="baseline"/>
        <sz val="11"/>
        <color theme="1"/>
        <name val="Calibri"/>
        <scheme val="minor"/>
      </font>
      <numFmt numFmtId="1" formatCode="0"/>
      <fill>
        <patternFill patternType="none">
          <fgColor indexed="64"/>
          <bgColor auto="1"/>
        </patternFill>
      </fill>
      <border diagonalUp="0" diagonalDown="0" outline="0">
        <left style="thin">
          <color indexed="64"/>
        </left>
        <right/>
        <top style="thin">
          <color indexed="64"/>
        </top>
        <bottom/>
      </border>
    </dxf>
    <dxf>
      <font>
        <b val="0"/>
        <i val="0"/>
        <strike val="0"/>
        <condense val="0"/>
        <extend val="0"/>
        <outline val="0"/>
        <shadow val="0"/>
        <u val="none"/>
        <vertAlign val="baseline"/>
        <sz val="11"/>
        <color theme="1"/>
        <name val="Calibri"/>
        <scheme val="minor"/>
      </font>
      <numFmt numFmtId="1" formatCode="0"/>
      <fill>
        <patternFill patternType="none">
          <fgColor indexed="64"/>
          <bgColor auto="1"/>
        </patternFill>
      </fill>
      <border diagonalUp="0" diagonalDown="0" outline="0">
        <left style="thin">
          <color indexed="64"/>
        </left>
        <right/>
        <top style="thin">
          <color indexed="64"/>
        </top>
        <bottom/>
      </border>
    </dxf>
    <dxf>
      <font>
        <b val="0"/>
        <i val="0"/>
        <strike val="0"/>
        <condense val="0"/>
        <extend val="0"/>
        <outline val="0"/>
        <shadow val="0"/>
        <u val="none"/>
        <vertAlign val="baseline"/>
        <sz val="11"/>
        <color theme="1"/>
        <name val="Calibri"/>
        <scheme val="minor"/>
      </font>
      <numFmt numFmtId="1" formatCode="0"/>
      <fill>
        <patternFill patternType="none">
          <fgColor indexed="64"/>
          <bgColor auto="1"/>
        </patternFill>
      </fill>
      <border diagonalUp="0" diagonalDown="0" outline="0">
        <left style="thin">
          <color indexed="64"/>
        </left>
        <right/>
        <top style="thin">
          <color indexed="64"/>
        </top>
        <bottom/>
      </border>
    </dxf>
    <dxf>
      <font>
        <b val="0"/>
        <i val="0"/>
        <strike val="0"/>
        <condense val="0"/>
        <extend val="0"/>
        <outline val="0"/>
        <shadow val="0"/>
        <u val="none"/>
        <vertAlign val="baseline"/>
        <sz val="11"/>
        <color theme="1"/>
        <name val="Calibri"/>
        <scheme val="minor"/>
      </font>
      <numFmt numFmtId="1" formatCode="0"/>
      <fill>
        <patternFill patternType="none">
          <fgColor indexed="64"/>
          <bgColor auto="1"/>
        </patternFill>
      </fill>
      <border diagonalUp="0" diagonalDown="0" outline="0">
        <left style="thin">
          <color indexed="64"/>
        </left>
        <right/>
        <top style="thin">
          <color indexed="64"/>
        </top>
        <bottom/>
      </border>
    </dxf>
    <dxf>
      <font>
        <b val="0"/>
        <i val="0"/>
        <strike val="0"/>
        <condense val="0"/>
        <extend val="0"/>
        <outline val="0"/>
        <shadow val="0"/>
        <u val="none"/>
        <vertAlign val="baseline"/>
        <sz val="11"/>
        <color theme="1"/>
        <name val="Calibri"/>
        <scheme val="minor"/>
      </font>
      <numFmt numFmtId="1" formatCode="0"/>
      <fill>
        <patternFill patternType="none">
          <fgColor indexed="64"/>
          <bgColor auto="1"/>
        </patternFill>
      </fill>
      <border diagonalUp="0" diagonalDown="0" outline="0">
        <left style="thin">
          <color indexed="64"/>
        </left>
        <right/>
        <top style="thin">
          <color indexed="64"/>
        </top>
        <bottom/>
      </border>
    </dxf>
    <dxf>
      <font>
        <b val="0"/>
        <i val="0"/>
        <strike val="0"/>
        <condense val="0"/>
        <extend val="0"/>
        <outline val="0"/>
        <shadow val="0"/>
        <u val="none"/>
        <vertAlign val="baseline"/>
        <sz val="11"/>
        <color theme="1"/>
        <name val="Calibri"/>
        <scheme val="minor"/>
      </font>
      <numFmt numFmtId="1" formatCode="0"/>
      <fill>
        <patternFill patternType="none">
          <fgColor indexed="64"/>
          <bgColor auto="1"/>
        </patternFill>
      </fill>
      <border diagonalUp="0" diagonalDown="0" outline="0">
        <left style="thin">
          <color indexed="64"/>
        </left>
        <right/>
        <top style="thin">
          <color indexed="64"/>
        </top>
        <bottom/>
      </border>
    </dxf>
    <dxf>
      <font>
        <b val="0"/>
        <i val="0"/>
        <strike val="0"/>
        <condense val="0"/>
        <extend val="0"/>
        <outline val="0"/>
        <shadow val="0"/>
        <u val="none"/>
        <vertAlign val="baseline"/>
        <sz val="11"/>
        <color theme="1"/>
        <name val="Calibri"/>
        <scheme val="minor"/>
      </font>
      <fill>
        <patternFill patternType="none">
          <fgColor indexed="64"/>
          <bgColor auto="1"/>
        </patternFill>
      </fill>
      <border diagonalUp="0" diagonalDown="0" outline="0">
        <left style="thin">
          <color indexed="64"/>
        </left>
        <right/>
        <top style="thin">
          <color indexed="64"/>
        </top>
        <bottom/>
      </border>
    </dxf>
    <dxf>
      <font>
        <b val="0"/>
        <i val="0"/>
        <strike val="0"/>
        <condense val="0"/>
        <extend val="0"/>
        <outline val="0"/>
        <shadow val="0"/>
        <u val="none"/>
        <vertAlign val="baseline"/>
        <sz val="11"/>
        <color theme="1"/>
        <name val="Calibri"/>
        <scheme val="minor"/>
      </font>
      <fill>
        <patternFill patternType="none">
          <fgColor indexed="64"/>
          <bgColor auto="1"/>
        </patternFill>
      </fill>
      <border diagonalUp="0" diagonalDown="0" outline="0">
        <left style="thin">
          <color indexed="64"/>
        </left>
        <right/>
        <top style="thin">
          <color indexed="64"/>
        </top>
        <bottom/>
      </border>
    </dxf>
    <dxf>
      <font>
        <b val="0"/>
        <i val="0"/>
        <strike val="0"/>
        <condense val="0"/>
        <extend val="0"/>
        <outline val="0"/>
        <shadow val="0"/>
        <u val="none"/>
        <vertAlign val="baseline"/>
        <sz val="11"/>
        <color theme="1"/>
        <name val="Calibri"/>
        <scheme val="minor"/>
      </font>
      <fill>
        <patternFill patternType="none">
          <fgColor indexed="64"/>
          <bgColor auto="1"/>
        </patternFill>
      </fill>
      <border diagonalUp="0" diagonalDown="0" outline="0">
        <left style="thin">
          <color indexed="64"/>
        </left>
        <right/>
        <top style="thin">
          <color indexed="64"/>
        </top>
        <bottom/>
      </border>
    </dxf>
    <dxf>
      <font>
        <b val="0"/>
        <i val="0"/>
        <strike val="0"/>
        <condense val="0"/>
        <extend val="0"/>
        <outline val="0"/>
        <shadow val="0"/>
        <u val="none"/>
        <vertAlign val="baseline"/>
        <sz val="11"/>
        <color theme="1"/>
        <name val="Calibri"/>
        <scheme val="minor"/>
      </font>
      <fill>
        <patternFill patternType="none">
          <fgColor indexed="64"/>
          <bgColor auto="1"/>
        </patternFill>
      </fill>
      <alignment horizontal="center" vertical="center" textRotation="0" wrapText="0" indent="0" justifyLastLine="0" shrinkToFit="0" readingOrder="0"/>
      <border diagonalUp="0" diagonalDown="0" outline="0">
        <left style="thin">
          <color indexed="64"/>
        </left>
        <right/>
        <top style="thin">
          <color indexed="64"/>
        </top>
        <bottom/>
      </border>
    </dxf>
    <dxf>
      <font>
        <b val="0"/>
        <i val="0"/>
        <strike val="0"/>
        <condense val="0"/>
        <extend val="0"/>
        <outline val="0"/>
        <shadow val="0"/>
        <u val="none"/>
        <vertAlign val="baseline"/>
        <sz val="11"/>
        <color theme="1"/>
        <name val="Calibri"/>
        <scheme val="minor"/>
      </font>
      <numFmt numFmtId="0" formatCode="General"/>
      <fill>
        <patternFill patternType="none">
          <fgColor indexed="64"/>
          <bgColor auto="1"/>
        </patternFill>
      </fill>
      <alignment horizontal="center" vertical="center" textRotation="0" wrapText="0" indent="0" justifyLastLine="0" shrinkToFit="0" readingOrder="0"/>
      <border diagonalUp="0" diagonalDown="0" outline="0">
        <left style="thin">
          <color indexed="64"/>
        </left>
        <right/>
        <top style="thin">
          <color indexed="64"/>
        </top>
        <bottom/>
      </border>
    </dxf>
    <dxf>
      <font>
        <b val="0"/>
        <i val="0"/>
        <strike val="0"/>
        <condense val="0"/>
        <extend val="0"/>
        <outline val="0"/>
        <shadow val="0"/>
        <u val="none"/>
        <vertAlign val="baseline"/>
        <sz val="11"/>
        <color theme="1"/>
        <name val="Calibri"/>
        <scheme val="minor"/>
      </font>
      <fill>
        <patternFill patternType="none">
          <fgColor indexed="64"/>
          <bgColor auto="1"/>
        </patternFill>
      </fill>
      <alignment horizontal="center" vertical="center" textRotation="0" wrapText="0" indent="0" justifyLastLine="0" shrinkToFit="0" readingOrder="0"/>
      <border diagonalUp="0" diagonalDown="0" outline="0">
        <left style="thin">
          <color indexed="64"/>
        </left>
        <right/>
        <top style="thin">
          <color indexed="64"/>
        </top>
        <bottom/>
      </border>
    </dxf>
    <dxf>
      <font>
        <b val="0"/>
        <i val="0"/>
        <strike val="0"/>
        <condense val="0"/>
        <extend val="0"/>
        <outline val="0"/>
        <shadow val="0"/>
        <u val="none"/>
        <vertAlign val="baseline"/>
        <sz val="11"/>
        <color theme="1"/>
        <name val="Calibri"/>
        <scheme val="minor"/>
      </font>
      <numFmt numFmtId="1" formatCode="0"/>
      <fill>
        <patternFill patternType="none">
          <fgColor indexed="64"/>
          <bgColor auto="1"/>
        </patternFill>
      </fill>
      <alignment horizontal="center" vertical="center" textRotation="0" wrapText="0" indent="0" justifyLastLine="0" shrinkToFit="0" readingOrder="0"/>
      <border diagonalUp="0" diagonalDown="0" outline="0">
        <left style="thin">
          <color indexed="64"/>
        </left>
        <right/>
        <top style="thin">
          <color indexed="64"/>
        </top>
        <bottom/>
      </border>
    </dxf>
    <dxf>
      <font>
        <b val="0"/>
        <i val="0"/>
        <strike val="0"/>
        <condense val="0"/>
        <extend val="0"/>
        <outline val="0"/>
        <shadow val="0"/>
        <u val="none"/>
        <vertAlign val="baseline"/>
        <sz val="11"/>
        <color theme="1"/>
        <name val="Calibri"/>
        <scheme val="minor"/>
      </font>
      <fill>
        <patternFill patternType="none">
          <fgColor indexed="64"/>
          <bgColor auto="1"/>
        </patternFill>
      </fill>
      <alignment horizontal="center" vertical="center" textRotation="0" wrapText="0" indent="0" justifyLastLine="0" shrinkToFit="0" readingOrder="0"/>
      <border diagonalUp="0" diagonalDown="0" outline="0">
        <left style="thin">
          <color indexed="64"/>
        </left>
        <right/>
        <top style="thin">
          <color indexed="64"/>
        </top>
        <bottom/>
      </border>
    </dxf>
    <dxf>
      <border outline="0">
        <left style="thin">
          <color indexed="64"/>
        </left>
        <right style="thin">
          <color indexed="64"/>
        </right>
      </border>
    </dxf>
    <dxf>
      <font>
        <b val="0"/>
        <i val="0"/>
        <strike val="0"/>
        <condense val="0"/>
        <extend val="0"/>
        <outline val="0"/>
        <shadow val="0"/>
        <u val="none"/>
        <vertAlign val="baseline"/>
        <sz val="11"/>
        <color theme="1"/>
        <name val="Calibri"/>
        <scheme val="minor"/>
      </font>
      <fill>
        <patternFill patternType="none">
          <fgColor indexed="64"/>
          <bgColor auto="1"/>
        </patternFill>
      </fill>
    </dxf>
    <dxf>
      <font>
        <b/>
        <i val="0"/>
        <strike val="0"/>
        <condense val="0"/>
        <extend val="0"/>
        <outline val="0"/>
        <shadow val="0"/>
        <u val="none"/>
        <vertAlign val="baseline"/>
        <sz val="11"/>
        <color auto="1"/>
        <name val="Calibri"/>
        <scheme val="minor"/>
      </font>
      <fill>
        <patternFill patternType="none">
          <fgColor indexed="64"/>
          <bgColor auto="1"/>
        </patternFill>
      </fill>
      <alignment horizontal="center" vertical="bottom" textRotation="0" wrapText="0" indent="0" justifyLastLine="0" shrinkToFit="0" readingOrder="0"/>
    </dxf>
  </dxfs>
  <tableStyles count="0" defaultTableStyle="TableStyleMedium2" defaultPivotStyle="PivotStyleLight16"/>
  <colors>
    <mruColors>
      <color rgb="FF00B3D2"/>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Practices_SubPractices" displayName="Practices_SubPractices" ref="A10:S135" totalsRowShown="0" headerRowDxfId="21" dataDxfId="20" tableBorderDxfId="19">
  <autoFilter ref="A10:S135" xr:uid="{00000000-0009-0000-0100-000001000000}"/>
  <sortState xmlns:xlrd2="http://schemas.microsoft.com/office/spreadsheetml/2017/richdata2" ref="A3:S127">
    <sortCondition ref="A3:A127"/>
  </sortState>
  <tableColumns count="19">
    <tableColumn id="2" xr3:uid="{00000000-0010-0000-0000-000002000000}" name="index #" dataDxfId="18"/>
    <tableColumn id="3" xr3:uid="{00000000-0010-0000-0000-000003000000}" name="CP" dataDxfId="17"/>
    <tableColumn id="4" xr3:uid="{00000000-0010-0000-0000-000004000000}" name="Org" dataDxfId="16"/>
    <tableColumn id="20" xr3:uid="{00000000-0010-0000-0000-000014000000}" name="OP" dataDxfId="15">
      <calculatedColumnFormula>Practices_SubPractices[[#This Row],[CP]]&amp;LEFT(Practices_SubPractices[[#This Row],[Org]],1)</calculatedColumnFormula>
    </tableColumn>
    <tableColumn id="5" xr3:uid="{00000000-0010-0000-0000-000005000000}" name="SP" dataDxfId="14"/>
    <tableColumn id="6" xr3:uid="{00000000-0010-0000-0000-000006000000}" name="SP#" dataDxfId="13"/>
    <tableColumn id="7" xr3:uid="{00000000-0010-0000-0000-000007000000}" name="SP Title" dataDxfId="12"/>
    <tableColumn id="8" xr3:uid="{00000000-0010-0000-0000-000008000000}" name="Short Description" dataDxfId="11"/>
    <tableColumn id="9" xr3:uid="{00000000-0010-0000-0000-000009000000}" name="A" dataDxfId="10"/>
    <tableColumn id="10" xr3:uid="{00000000-0010-0000-0000-00000A000000}" name="B" dataDxfId="9"/>
    <tableColumn id="11" xr3:uid="{00000000-0010-0000-0000-00000B000000}" name="C" dataDxfId="8"/>
    <tableColumn id="12" xr3:uid="{00000000-0010-0000-0000-00000C000000}" name="D" dataDxfId="7"/>
    <tableColumn id="13" xr3:uid="{00000000-0010-0000-0000-00000D000000}" name="E" dataDxfId="6"/>
    <tableColumn id="14" xr3:uid="{00000000-0010-0000-0000-00000E000000}" name="UA" dataDxfId="5">
      <calculatedColumnFormula>IF(AND(Practices_SubPractices[CP]=1,Practices_SubPractices[Org]="Small"),SUMIFS(Practices_SubPractices[A],Practices_SubPractices[CP],"1",Practices_SubPractices[Org],"Small"),IF(AND(Practices_SubPractices[CP]=2,Practices_SubPractices[Org]="Small"),SUMIFS(Practices_SubPractices[A],Practices_SubPractices[CP],"2",Practices_SubPractices[Org],"Small"),IF(AND(Practices_SubPractices[CP]=3,Practices_SubPractices[Org]="Small"),SUMIFS(Practices_SubPractices[A],Practices_SubPractices[CP],"3",Practices_SubPractices[Org],"Small"),IF(AND(Practices_SubPractices[CP]=4,Practices_SubPractices[Org]="Small"),SUMIFS(Practices_SubPractices[A],Practices_SubPractices[CP],"4",Practices_SubPractices[Org],"Small"),IF(AND(Practices_SubPractices[CP]=5,Practices_SubPractices[Org]="Small"),SUMIFS(Practices_SubPractices[A],Practices_SubPractices[CP],"5",Practices_SubPractices[Org],"Small"),IF(AND(Practices_SubPractices[CP]=6,Practices_SubPractices[Org]="Small"),SUMIFS(Practices_SubPractices[A],Practices_SubPractices[CP],"6",Practices_SubPractices[Org],"Small"),IF(AND(Practices_SubPractices[CP]=7,Practices_SubPractices[Org] ="Small"),SUMIFS(Practices_SubPractices[A],Practices_SubPractices[CP],"7",Practices_SubPractices[Org],"Small"),IF(AND(Practices_SubPractices[CP]=8,Practices_SubPractices[Org] ="Small"),SUMIFS(Practices_SubPractices[A],Practices_SubPractices[CP],"8",Practices_SubPractices[Org],"Small"),IF(AND(Practices_SubPractices[CP]=9,Practices_SubPractices[Org] ="Small"),SUMIFS(Practices_SubPractices[A],Practices_SubPractices[CP],"9",Practices_SubPractices[Org],"Small"),IF(AND(Practices_SubPractices[CP]=10,Practices_SubPractices[Org] ="Small"),SUMIFS(Practices_SubPractices[A],Practices_SubPractices[CP],"10",Practices_SubPractices[Org],"Small"),IF(AND(Practices_SubPractices[CP]=1,Practices_SubPractices[Org]="Medium"),SUMIFS(Practices_SubPractices[A],Practices_SubPractices[CP],"1",Practices_SubPractices[Org],"Medium"),IF(AND(Practices_SubPractices[CP]=2,Practices_SubPractices[Org]="Medium"),SUMIFS(Practices_SubPractices[A],Practices_SubPractices[CP],"2",Practices_SubPractices[Org],"Medium"),IF(AND(Practices_SubPractices[CP]=3,Practices_SubPractices[Org]="Medium"),SUMIFS(Practices_SubPractices[A],Practices_SubPractices[CP],"3",Practices_SubPractices[Org],"Medium"),IF(AND(Practices_SubPractices[CP]=4,Practices_SubPractices[Org]="Medium"),SUMIFS(Practices_SubPractices[A],Practices_SubPractices[CP],"4",Practices_SubPractices[Org],"Medium"),IF(AND(Practices_SubPractices[CP]=5,Practices_SubPractices[Org]="Medium"),SUMIFS(Practices_SubPractices[A],Practices_SubPractices[CP],"5",Practices_SubPractices[Org],"Medium"),IF(AND(Practices_SubPractices[CP]=6,Practices_SubPractices[Org]="Medium"),SUMIFS(Practices_SubPractices[A],Practices_SubPractices[CP],"6",Practices_SubPractices[Org],"Medium"),IF(AND(Practices_SubPractices[CP]=7,Practices_SubPractices[Org] ="Medium"),SUMIFS(Practices_SubPractices[A],Practices_SubPractices[CP],"7",Practices_SubPractices[Org],"Medium"),IF(AND(Practices_SubPractices[CP]=8,Practices_SubPractices[Org] ="Medium"),SUMIFS(Practices_SubPractices[A],Practices_SubPractices[CP],"8",Practices_SubPractices[Org],"Medium"),IF(AND(Practices_SubPractices[CP]=9,Practices_SubPractices[Org] ="Medium"),SUMIFS(Practices_SubPractices[A],Practices_SubPractices[CP],"9",Practices_SubPractices[Org],"Medium"),IF(AND(Practices_SubPractices[CP]=10,Practices_SubPractices[Org] ="Medium"),SUMIFS(Practices_SubPractices[A],Practices_SubPractices[CP],"10",Practices_SubPractices[Org],"Medium"),IF(AND(Practices_SubPractices[CP]=1,Practices_SubPractices[Org]="Large"),SUMIFS(Practices_SubPractices[A],Practices_SubPractices[CP],"1",Practices_SubPractices[Org],"Large"),IF(AND(Practices_SubPractices[CP]=2,Practices_SubPractices[Org]="Large"),SUMIFS(Practices_SubPractices[A],Practices_SubPractices[CP],"2",Practices_SubPractices[Org],"Large"),IF(AND(Practices_SubPractices[CP]=3,Practices_SubPractices[Org]="Large"),SUMIFS(Practices_SubPractices[A],Practices_SubPractices[CP],"3",Practices_SubPractices[Org],"Large"),IF(AND(Practices_SubPractices[CP]=4,Practices_SubPractices[Org]="Large"),SUMIFS(Practices_SubPractices[A],Practices_SubPractices[CP],"4",Practices_SubPractices[Org],"Large"),IF(AND(Practices_SubPractices[CP]=5,Practices_SubPractices[Org]="Large"),SUMIFS(Practices_SubPractices[A],Practices_SubPractices[CP],"5",Practices_SubPractices[Org],"Large"),IF(AND(Practices_SubPractices[CP]=6,Practices_SubPractices[Org]="Large"),SUMIFS(Practices_SubPractices[A],Practices_SubPractices[CP],"6",Practices_SubPractices[Org],"Large"),IF(AND(Practices_SubPractices[CP]=7,Practices_SubPractices[Org] ="Large"),SUMIFS(Practices_SubPractices[A],Practices_SubPractices[CP],"7",Practices_SubPractices[Org],"Large"),IF(AND(Practices_SubPractices[CP]=8,Practices_SubPractices[Org] ="Large"),SUMIFS(Practices_SubPractices[A],Practices_SubPractices[CP],"8",Practices_SubPractices[Org],"Large"),IF(AND(Practices_SubPractices[CP]=9,Practices_SubPractices[Org] ="Large"),SUMIFS(Practices_SubPractices[A],Practices_SubPractices[CP],"9",Practices_SubPractices[Org],"Large"),IF(AND(Practices_SubPractices[CP]=10,Practices_SubPractices[Org] ="Large"),SUMIFS(Practices_SubPractices[A],Practices_SubPractices[CP],"10",Practices_SubPractices[Org],"Large"),"TBD"))))))))))))))))))))))))))))))</calculatedColumnFormula>
    </tableColumn>
    <tableColumn id="19" xr3:uid="{00000000-0010-0000-0000-000013000000}" name="UB" dataDxfId="4">
      <calculatedColumnFormula>IF(AND(Practices_SubPractices[CP]=1,Practices_SubPractices[Org]="Small"),SUMIFS(Practices_SubPractices[B],Practices_SubPractices[CP],"1",Practices_SubPractices[Org],"Small"),IF(AND(Practices_SubPractices[CP]=2,Practices_SubPractices[Org]="Small"),SUMIFS(Practices_SubPractices[B],Practices_SubPractices[CP],"2",Practices_SubPractices[Org],"Small"),IF(AND(Practices_SubPractices[CP]=3,Practices_SubPractices[Org]="Small"),SUMIFS(Practices_SubPractices[B],Practices_SubPractices[CP],"3",Practices_SubPractices[Org],"Small"),IF(AND(Practices_SubPractices[CP]=4,Practices_SubPractices[Org]="Small"),SUMIFS(Practices_SubPractices[B],Practices_SubPractices[CP],"4",Practices_SubPractices[Org],"Small"),IF(AND(Practices_SubPractices[CP]=5,Practices_SubPractices[Org]="Small"),SUMIFS(Practices_SubPractices[B],Practices_SubPractices[CP],"5",Practices_SubPractices[Org],"Small"),IF(AND(Practices_SubPractices[CP]=6,Practices_SubPractices[Org]="Small"),SUMIFS(Practices_SubPractices[B],Practices_SubPractices[CP],"6",Practices_SubPractices[Org],"Small"),IF(AND(Practices_SubPractices[CP]=7,Practices_SubPractices[Org] ="Small"),SUMIFS(Practices_SubPractices[B],Practices_SubPractices[CP],"7",Practices_SubPractices[Org],"Small"),IF(AND(Practices_SubPractices[CP]=8,Practices_SubPractices[Org] ="Small"),SUMIFS(Practices_SubPractices[B],Practices_SubPractices[CP],"8",Practices_SubPractices[Org],"Small"),IF(AND(Practices_SubPractices[CP]=9,Practices_SubPractices[Org] ="Small"),SUMIFS(Practices_SubPractices[B],Practices_SubPractices[CP],"9",Practices_SubPractices[Org],"Small"),IF(AND(Practices_SubPractices[CP]=10,Practices_SubPractices[Org] ="Small"),SUMIFS(Practices_SubPractices[B],Practices_SubPractices[CP],"10",Practices_SubPractices[Org],"Small"),IF(AND(Practices_SubPractices[CP]=1,Practices_SubPractices[Org]="Medium"),SUMIFS(Practices_SubPractices[B],Practices_SubPractices[CP],"1",Practices_SubPractices[Org],"Medium"),IF(AND(Practices_SubPractices[CP]=2,Practices_SubPractices[Org]="Medium"),SUMIFS(Practices_SubPractices[B],Practices_SubPractices[CP],"2",Practices_SubPractices[Org],"Medium"),IF(AND(Practices_SubPractices[CP]=3,Practices_SubPractices[Org]="Medium"),SUMIFS(Practices_SubPractices[B],Practices_SubPractices[CP],"3",Practices_SubPractices[Org],"Medium"),IF(AND(Practices_SubPractices[CP]=4,Practices_SubPractices[Org]="Medium"),SUMIFS(Practices_SubPractices[B],Practices_SubPractices[CP],"4",Practices_SubPractices[Org],"Medium"),IF(AND(Practices_SubPractices[CP]=5,Practices_SubPractices[Org]="Medium"),SUMIFS(Practices_SubPractices[B],Practices_SubPractices[CP],"5",Practices_SubPractices[Org],"Medium"),IF(AND(Practices_SubPractices[CP]=6,Practices_SubPractices[Org]="Medium"),SUMIFS(Practices_SubPractices[B],Practices_SubPractices[CP],"6",Practices_SubPractices[Org],"Medium"),IF(AND(Practices_SubPractices[CP]=7,Practices_SubPractices[Org] ="Medium"),SUMIFS(Practices_SubPractices[B],Practices_SubPractices[CP],"7",Practices_SubPractices[Org],"Medium"),IF(AND(Practices_SubPractices[CP]=8,Practices_SubPractices[Org] ="Medium"),SUMIFS(Practices_SubPractices[B],Practices_SubPractices[CP],"8",Practices_SubPractices[Org],"Medium"),IF(AND(Practices_SubPractices[CP]=9,Practices_SubPractices[Org] ="Medium"),SUMIFS(Practices_SubPractices[B],Practices_SubPractices[CP],"9",Practices_SubPractices[Org],"Medium"),IF(AND(Practices_SubPractices[CP]=10,Practices_SubPractices[Org] ="Medium"),SUMIFS(Practices_SubPractices[B],Practices_SubPractices[CP],"10",Practices_SubPractices[Org],"Medium"),IF(AND(Practices_SubPractices[CP]=1,Practices_SubPractices[Org]="Large"),SUMIFS(Practices_SubPractices[B],Practices_SubPractices[CP],"1",Practices_SubPractices[Org],"Large"),IF(AND(Practices_SubPractices[CP]=2,Practices_SubPractices[Org]="Large"),SUMIFS(Practices_SubPractices[B],Practices_SubPractices[CP],"2",Practices_SubPractices[Org],"Large"),IF(AND(Practices_SubPractices[CP]=3,Practices_SubPractices[Org]="Large"),SUMIFS(Practices_SubPractices[B],Practices_SubPractices[CP],"3",Practices_SubPractices[Org],"Large"),IF(AND(Practices_SubPractices[CP]=4,Practices_SubPractices[Org]="Large"),SUMIFS(Practices_SubPractices[B],Practices_SubPractices[CP],"4",Practices_SubPractices[Org],"Large"),IF(AND(Practices_SubPractices[CP]=5,Practices_SubPractices[Org]="Large"),SUMIFS(Practices_SubPractices[B],Practices_SubPractices[CP],"5",Practices_SubPractices[Org],"Large"),IF(AND(Practices_SubPractices[CP]=6,Practices_SubPractices[Org]="Large"),SUMIFS(Practices_SubPractices[B],Practices_SubPractices[CP],"6",Practices_SubPractices[Org],"Large"),IF(AND(Practices_SubPractices[CP]=7,Practices_SubPractices[Org] ="Large"),SUMIFS(Practices_SubPractices[B],Practices_SubPractices[CP],"7",Practices_SubPractices[Org],"Large"),IF(AND(Practices_SubPractices[CP]=8,Practices_SubPractices[Org] ="Large"),SUMIFS(Practices_SubPractices[B],Practices_SubPractices[CP],"8",Practices_SubPractices[Org],"Large"),IF(AND(Practices_SubPractices[CP]=9,Practices_SubPractices[Org] ="Large"),SUMIFS(Practices_SubPractices[B],Practices_SubPractices[CP],"9",Practices_SubPractices[Org],"Large"),IF(AND(Practices_SubPractices[CP]=10,Practices_SubPractices[Org] ="Large"),SUMIFS(Practices_SubPractices[B],Practices_SubPractices[CP],"10",Practices_SubPractices[Org],"Large"),"TBD"))))))))))))))))))))))))))))))</calculatedColumnFormula>
    </tableColumn>
    <tableColumn id="18" xr3:uid="{00000000-0010-0000-0000-000012000000}" name="UC" dataDxfId="3">
      <calculatedColumnFormula>IF(AND(Practices_SubPractices[CP]=1,Practices_SubPractices[Org]="Small"),SUMIFS(Practices_SubPractices[C],Practices_SubPractices[CP],"1",Practices_SubPractices[Org],"Small"),IF(AND(Practices_SubPractices[CP]=2,Practices_SubPractices[Org]="Small"),SUMIFS(Practices_SubPractices[C],Practices_SubPractices[CP],"2",Practices_SubPractices[Org],"Small"),IF(AND(Practices_SubPractices[CP]=3,Practices_SubPractices[Org]="Small"),SUMIFS(Practices_SubPractices[C],Practices_SubPractices[CP],"3",Practices_SubPractices[Org],"Small"),IF(AND(Practices_SubPractices[CP]=4,Practices_SubPractices[Org]="Small"),SUMIFS(Practices_SubPractices[C],Practices_SubPractices[CP],"4",Practices_SubPractices[Org],"Small"),IF(AND(Practices_SubPractices[CP]=5,Practices_SubPractices[Org]="Small"),SUMIFS(Practices_SubPractices[C],Practices_SubPractices[CP],"5",Practices_SubPractices[Org],"Small"),IF(AND(Practices_SubPractices[CP]=6,Practices_SubPractices[Org]="Small"),SUMIFS(Practices_SubPractices[C],Practices_SubPractices[CP],"6",Practices_SubPractices[Org],"Small"),IF(AND(Practices_SubPractices[CP]=7,Practices_SubPractices[Org] ="Small"),SUMIFS(Practices_SubPractices[C],Practices_SubPractices[CP],"7",Practices_SubPractices[Org],"Small"),IF(AND(Practices_SubPractices[CP]=8,Practices_SubPractices[Org] ="Small"),SUMIFS(Practices_SubPractices[C],Practices_SubPractices[CP],"8",Practices_SubPractices[Org],"Small"),IF(AND(Practices_SubPractices[CP]=9,Practices_SubPractices[Org] ="Small"),SUMIFS(Practices_SubPractices[C],Practices_SubPractices[CP],"9",Practices_SubPractices[Org],"Small"),IF(AND(Practices_SubPractices[CP]=10,Practices_SubPractices[Org] ="Small"),SUMIFS(Practices_SubPractices[C],Practices_SubPractices[CP],"10",Practices_SubPractices[Org],"Small"),IF(AND(Practices_SubPractices[CP]=1,Practices_SubPractices[Org]="Medium"),SUMIFS(Practices_SubPractices[C],Practices_SubPractices[CP],"1",Practices_SubPractices[Org],"Medium"),IF(AND(Practices_SubPractices[CP]=2,Practices_SubPractices[Org]="Medium"),SUMIFS(Practices_SubPractices[C],Practices_SubPractices[CP],"2",Practices_SubPractices[Org],"Medium"),IF(AND(Practices_SubPractices[CP]=3,Practices_SubPractices[Org]="Medium"),SUMIFS(Practices_SubPractices[C],Practices_SubPractices[CP],"3",Practices_SubPractices[Org],"Medium"),IF(AND(Practices_SubPractices[CP]=4,Practices_SubPractices[Org]="Medium"),SUMIFS(Practices_SubPractices[C],Practices_SubPractices[CP],"4",Practices_SubPractices[Org],"Medium"),IF(AND(Practices_SubPractices[CP]=5,Practices_SubPractices[Org]="Medium"),SUMIFS(Practices_SubPractices[C],Practices_SubPractices[CP],"5",Practices_SubPractices[Org],"Medium"),IF(AND(Practices_SubPractices[CP]=6,Practices_SubPractices[Org]="Medium"),SUMIFS(Practices_SubPractices[C],Practices_SubPractices[CP],"6",Practices_SubPractices[Org],"Medium"),IF(AND(Practices_SubPractices[CP]=7,Practices_SubPractices[Org] ="Medium"),SUMIFS(Practices_SubPractices[C],Practices_SubPractices[CP],"7",Practices_SubPractices[Org],"Medium"),IF(AND(Practices_SubPractices[CP]=8,Practices_SubPractices[Org] ="Medium"),SUMIFS(Practices_SubPractices[C],Practices_SubPractices[CP],"8",Practices_SubPractices[Org],"Medium"),IF(AND(Practices_SubPractices[CP]=9,Practices_SubPractices[Org] ="Medium"),SUMIFS(Practices_SubPractices[C],Practices_SubPractices[CP],"9",Practices_SubPractices[Org],"Medium"),IF(AND(Practices_SubPractices[CP]=10,Practices_SubPractices[Org] ="Medium"),SUMIFS(Practices_SubPractices[C],Practices_SubPractices[CP],"10",Practices_SubPractices[Org],"Medium"),IF(AND(Practices_SubPractices[CP]=1,Practices_SubPractices[Org]="Large"),SUMIFS(Practices_SubPractices[C],Practices_SubPractices[CP],"1",Practices_SubPractices[Org],"Large"),IF(AND(Practices_SubPractices[CP]=2,Practices_SubPractices[Org]="Large"),SUMIFS(Practices_SubPractices[C],Practices_SubPractices[CP],"2",Practices_SubPractices[Org],"Large"),IF(AND(Practices_SubPractices[CP]=3,Practices_SubPractices[Org]="Large"),SUMIFS(Practices_SubPractices[C],Practices_SubPractices[CP],"3",Practices_SubPractices[Org],"Large"),IF(AND(Practices_SubPractices[CP]=4,Practices_SubPractices[Org]="Large"),SUMIFS(Practices_SubPractices[C],Practices_SubPractices[CP],"4",Practices_SubPractices[Org],"Large"),IF(AND(Practices_SubPractices[CP]=5,Practices_SubPractices[Org]="Large"),SUMIFS(Practices_SubPractices[C],Practices_SubPractices[CP],"5",Practices_SubPractices[Org],"Large"),IF(AND(Practices_SubPractices[CP]=6,Practices_SubPractices[Org]="Large"),SUMIFS(Practices_SubPractices[C],Practices_SubPractices[CP],"6",Practices_SubPractices[Org],"Large"),IF(AND(Practices_SubPractices[CP]=7,Practices_SubPractices[Org] ="Large"),SUMIFS(Practices_SubPractices[C],Practices_SubPractices[CP],"7",Practices_SubPractices[Org],"Large"),IF(AND(Practices_SubPractices[CP]=8,Practices_SubPractices[Org] ="Large"),SUMIFS(Practices_SubPractices[C],Practices_SubPractices[CP],"8",Practices_SubPractices[Org],"Large"),IF(AND(Practices_SubPractices[CP]=9,Practices_SubPractices[Org] ="Large"),SUMIFS(Practices_SubPractices[C],Practices_SubPractices[CP],"9",Practices_SubPractices[Org],"Large"),IF(AND(Practices_SubPractices[CP]=10,Practices_SubPractices[Org] ="Large"),SUMIFS(Practices_SubPractices[C],Practices_SubPractices[CP],"10",Practices_SubPractices[Org],"Large"),"TBD"))))))))))))))))))))))))))))))</calculatedColumnFormula>
    </tableColumn>
    <tableColumn id="17" xr3:uid="{00000000-0010-0000-0000-000011000000}" name="UD" dataDxfId="2">
      <calculatedColumnFormula>IF(AND(Practices_SubPractices[CP]=1,Practices_SubPractices[Org]="Small"),SUMIFS(Practices_SubPractices[D],Practices_SubPractices[CP],"1",Practices_SubPractices[Org],"Small"),IF(AND(Practices_SubPractices[CP]=2,Practices_SubPractices[Org]="Small"),SUMIFS(Practices_SubPractices[D],Practices_SubPractices[CP],"2",Practices_SubPractices[Org],"Small"),IF(AND(Practices_SubPractices[CP]=3,Practices_SubPractices[Org]="Small"),SUMIFS(Practices_SubPractices[D],Practices_SubPractices[CP],"3",Practices_SubPractices[Org],"Small"),IF(AND(Practices_SubPractices[CP]=4,Practices_SubPractices[Org]="Small"),SUMIFS(Practices_SubPractices[D],Practices_SubPractices[CP],"4",Practices_SubPractices[Org],"Small"),IF(AND(Practices_SubPractices[CP]=5,Practices_SubPractices[Org]="Small"),SUMIFS(Practices_SubPractices[D],Practices_SubPractices[CP],"5",Practices_SubPractices[Org],"Small"),IF(AND(Practices_SubPractices[CP]=6,Practices_SubPractices[Org]="Small"),SUMIFS(Practices_SubPractices[D],Practices_SubPractices[CP],"6",Practices_SubPractices[Org],"Small"),IF(AND(Practices_SubPractices[CP]=7,Practices_SubPractices[Org] ="Small"),SUMIFS(Practices_SubPractices[D],Practices_SubPractices[CP],"7",Practices_SubPractices[Org],"Small"),IF(AND(Practices_SubPractices[CP]=8,Practices_SubPractices[Org] ="Small"),SUMIFS(Practices_SubPractices[D],Practices_SubPractices[CP],"8",Practices_SubPractices[Org],"Small"),IF(AND(Practices_SubPractices[CP]=9,Practices_SubPractices[Org] ="Small"),SUMIFS(Practices_SubPractices[D],Practices_SubPractices[CP],"9",Practices_SubPractices[Org],"Small"),IF(AND(Practices_SubPractices[CP]=10,Practices_SubPractices[Org] ="Small"),SUMIFS(Practices_SubPractices[D],Practices_SubPractices[CP],"10",Practices_SubPractices[Org],"Small"),IF(AND(Practices_SubPractices[CP]=1,Practices_SubPractices[Org]="Medium"),SUMIFS(Practices_SubPractices[D],Practices_SubPractices[CP],"1",Practices_SubPractices[Org],"Medium"),IF(AND(Practices_SubPractices[CP]=2,Practices_SubPractices[Org]="Medium"),SUMIFS(Practices_SubPractices[D],Practices_SubPractices[CP],"2",Practices_SubPractices[Org],"Medium"),IF(AND(Practices_SubPractices[CP]=3,Practices_SubPractices[Org]="Medium"),SUMIFS(Practices_SubPractices[D],Practices_SubPractices[CP],"3",Practices_SubPractices[Org],"Medium"),IF(AND(Practices_SubPractices[CP]=4,Practices_SubPractices[Org]="Medium"),SUMIFS(Practices_SubPractices[D],Practices_SubPractices[CP],"4",Practices_SubPractices[Org],"Medium"),IF(AND(Practices_SubPractices[CP]=5,Practices_SubPractices[Org]="Medium"),SUMIFS(Practices_SubPractices[D],Practices_SubPractices[CP],"5",Practices_SubPractices[Org],"Medium"),IF(AND(Practices_SubPractices[CP]=6,Practices_SubPractices[Org]="Medium"),SUMIFS(Practices_SubPractices[D],Practices_SubPractices[CP],"6",Practices_SubPractices[Org],"Medium"),IF(AND(Practices_SubPractices[CP]=7,Practices_SubPractices[Org] ="Medium"),SUMIFS(Practices_SubPractices[D],Practices_SubPractices[CP],"7",Practices_SubPractices[Org],"Medium"),IF(AND(Practices_SubPractices[CP]=8,Practices_SubPractices[Org] ="Medium"),SUMIFS(Practices_SubPractices[D],Practices_SubPractices[CP],"8",Practices_SubPractices[Org],"Medium"),IF(AND(Practices_SubPractices[CP]=9,Practices_SubPractices[Org] ="Medium"),SUMIFS(Practices_SubPractices[D],Practices_SubPractices[CP],"9",Practices_SubPractices[Org],"Medium"),IF(AND(Practices_SubPractices[CP]=10,Practices_SubPractices[Org] ="Medium"),SUMIFS(Practices_SubPractices[D],Practices_SubPractices[CP],"10",Practices_SubPractices[Org],"Medium"),IF(AND(Practices_SubPractices[CP]=1,Practices_SubPractices[Org]="Large"),SUMIFS(Practices_SubPractices[D],Practices_SubPractices[CP],"1",Practices_SubPractices[Org],"Large"),IF(AND(Practices_SubPractices[CP]=2,Practices_SubPractices[Org]="Large"),SUMIFS(Practices_SubPractices[D],Practices_SubPractices[CP],"2",Practices_SubPractices[Org],"Large"),IF(AND(Practices_SubPractices[CP]=3,Practices_SubPractices[Org]="Large"),SUMIFS(Practices_SubPractices[D],Practices_SubPractices[CP],"3",Practices_SubPractices[Org],"Large"),IF(AND(Practices_SubPractices[CP]=4,Practices_SubPractices[Org]="Large"),SUMIFS(Practices_SubPractices[D],Practices_SubPractices[CP],"4",Practices_SubPractices[Org],"Large"),IF(AND(Practices_SubPractices[CP]=5,Practices_SubPractices[Org]="Large"),SUMIFS(Practices_SubPractices[D],Practices_SubPractices[CP],"5",Practices_SubPractices[Org],"Large"),IF(AND(Practices_SubPractices[CP]=6,Practices_SubPractices[Org]="Large"),SUMIFS(Practices_SubPractices[D],Practices_SubPractices[CP],"6",Practices_SubPractices[Org],"Large"),IF(AND(Practices_SubPractices[CP]=7,Practices_SubPractices[Org] ="Large"),SUMIFS(Practices_SubPractices[D],Practices_SubPractices[CP],"7",Practices_SubPractices[Org],"Large"),IF(AND(Practices_SubPractices[CP]=8,Practices_SubPractices[Org] ="Large"),SUMIFS(Practices_SubPractices[D],Practices_SubPractices[CP],"8",Practices_SubPractices[Org],"Large"),IF(AND(Practices_SubPractices[CP]=9,Practices_SubPractices[Org] ="Large"),SUMIFS(Practices_SubPractices[D],Practices_SubPractices[CP],"9",Practices_SubPractices[Org],"Large"),IF(AND(Practices_SubPractices[CP]=10,Practices_SubPractices[Org] ="Large"),SUMIFS(Practices_SubPractices[D],Practices_SubPractices[CP],"10",Practices_SubPractices[Org],"Large"),"TBD"))))))))))))))))))))))))))))))</calculatedColumnFormula>
    </tableColumn>
    <tableColumn id="16" xr3:uid="{00000000-0010-0000-0000-000010000000}" name="UE" dataDxfId="1">
      <calculatedColumnFormula>IF(AND(Practices_SubPractices[CP]=1,Practices_SubPractices[Org]="Small"),SUMIFS(Practices_SubPractices[E],Practices_SubPractices[CP],"1",Practices_SubPractices[Org],"Small"),IF(AND(Practices_SubPractices[CP]=2,Practices_SubPractices[Org]="Small"),SUMIFS(Practices_SubPractices[E],Practices_SubPractices[CP],"2",Practices_SubPractices[Org],"Small"),IF(AND(Practices_SubPractices[CP]=3,Practices_SubPractices[Org]="Small"),SUMIFS(Practices_SubPractices[E],Practices_SubPractices[CP],"3",Practices_SubPractices[Org],"Small"),IF(AND(Practices_SubPractices[CP]=4,Practices_SubPractices[Org]="Small"),SUMIFS(Practices_SubPractices[E],Practices_SubPractices[CP],"4",Practices_SubPractices[Org],"Small"),IF(AND(Practices_SubPractices[CP]=5,Practices_SubPractices[Org]="Small"),SUMIFS(Practices_SubPractices[E],Practices_SubPractices[CP],"5",Practices_SubPractices[Org],"Small"),IF(AND(Practices_SubPractices[CP]=6,Practices_SubPractices[Org]="Small"),SUMIFS(Practices_SubPractices[E],Practices_SubPractices[CP],"6",Practices_SubPractices[Org],"Small"),IF(AND(Practices_SubPractices[CP]=7,Practices_SubPractices[Org] ="Small"),SUMIFS(Practices_SubPractices[E],Practices_SubPractices[CP],"7",Practices_SubPractices[Org],"Small"),IF(AND(Practices_SubPractices[CP]=8,Practices_SubPractices[Org] ="Small"),SUMIFS(Practices_SubPractices[E],Practices_SubPractices[CP],"8",Practices_SubPractices[Org],"Small"),IF(AND(Practices_SubPractices[CP]=9,Practices_SubPractices[Org] ="Small"),SUMIFS(Practices_SubPractices[E],Practices_SubPractices[CP],"9",Practices_SubPractices[Org],"Small"),IF(AND(Practices_SubPractices[CP]=10,Practices_SubPractices[Org] ="Small"),SUMIFS(Practices_SubPractices[E],Practices_SubPractices[CP],"10",Practices_SubPractices[Org],"Small"),IF(AND(Practices_SubPractices[CP]=1,Practices_SubPractices[Org]="Medium"),SUMIFS(Practices_SubPractices[E],Practices_SubPractices[CP],"1",Practices_SubPractices[Org],"Medium"),IF(AND(Practices_SubPractices[CP]=2,Practices_SubPractices[Org]="Medium"),SUMIFS(Practices_SubPractices[E],Practices_SubPractices[CP],"2",Practices_SubPractices[Org],"Medium"),IF(AND(Practices_SubPractices[CP]=3,Practices_SubPractices[Org]="Medium"),SUMIFS(Practices_SubPractices[E],Practices_SubPractices[CP],"3",Practices_SubPractices[Org],"Medium"),IF(AND(Practices_SubPractices[CP]=4,Practices_SubPractices[Org]="Medium"),SUMIFS(Practices_SubPractices[E],Practices_SubPractices[CP],"4",Practices_SubPractices[Org],"Medium"),IF(AND(Practices_SubPractices[CP]=5,Practices_SubPractices[Org]="Medium"),SUMIFS(Practices_SubPractices[E],Practices_SubPractices[CP],"5",Practices_SubPractices[Org],"Medium"),IF(AND(Practices_SubPractices[CP]=6,Practices_SubPractices[Org]="Medium"),SUMIFS(Practices_SubPractices[E],Practices_SubPractices[CP],"6",Practices_SubPractices[Org],"Medium"),IF(AND(Practices_SubPractices[CP]=7,Practices_SubPractices[Org] ="Medium"),SUMIFS(Practices_SubPractices[E],Practices_SubPractices[CP],"7",Practices_SubPractices[Org],"Medium"),IF(AND(Practices_SubPractices[CP]=8,Practices_SubPractices[Org] ="Medium"),SUMIFS(Practices_SubPractices[E],Practices_SubPractices[CP],"8",Practices_SubPractices[Org],"Medium"),IF(AND(Practices_SubPractices[CP]=9,Practices_SubPractices[Org] ="Medium"),SUMIFS(Practices_SubPractices[E],Practices_SubPractices[CP],"9",Practices_SubPractices[Org],"Medium"),IF(AND(Practices_SubPractices[CP]=10,Practices_SubPractices[Org] ="Medium"),SUMIFS(Practices_SubPractices[E],Practices_SubPractices[CP],"10",Practices_SubPractices[Org],"Medium"),IF(AND(Practices_SubPractices[CP]=1,Practices_SubPractices[Org]="Large"),SUMIFS(Practices_SubPractices[E],Practices_SubPractices[CP],"1",Practices_SubPractices[Org],"Large"),IF(AND(Practices_SubPractices[CP]=2,Practices_SubPractices[Org]="Large"),SUMIFS(Practices_SubPractices[E],Practices_SubPractices[CP],"2",Practices_SubPractices[Org],"Large"),IF(AND(Practices_SubPractices[CP]=3,Practices_SubPractices[Org]="Large"),SUMIFS(Practices_SubPractices[E],Practices_SubPractices[CP],"3",Practices_SubPractices[Org],"Large"),IF(AND(Practices_SubPractices[CP]=4,Practices_SubPractices[Org]="Large"),SUMIFS(Practices_SubPractices[E],Practices_SubPractices[CP],"4",Practices_SubPractices[Org],"Large"),IF(AND(Practices_SubPractices[CP]=5,Practices_SubPractices[Org]="Large"),SUMIFS(Practices_SubPractices[E],Practices_SubPractices[CP],"5",Practices_SubPractices[Org],"Large"),IF(AND(Practices_SubPractices[CP]=6,Practices_SubPractices[Org]="Large"),SUMIFS(Practices_SubPractices[E],Practices_SubPractices[CP],"6",Practices_SubPractices[Org],"Large"),IF(AND(Practices_SubPractices[CP]=7,Practices_SubPractices[Org] ="Large"),SUMIFS(Practices_SubPractices[E],Practices_SubPractices[CP],"7",Practices_SubPractices[Org],"Large"),IF(AND(Practices_SubPractices[CP]=8,Practices_SubPractices[Org] ="Large"),SUMIFS(Practices_SubPractices[E],Practices_SubPractices[CP],"8",Practices_SubPractices[Org],"Large"),IF(AND(Practices_SubPractices[CP]=9,Practices_SubPractices[Org] ="Large"),SUMIFS(Practices_SubPractices[E],Practices_SubPractices[CP],"9",Practices_SubPractices[Org],"Large"),IF(AND(Practices_SubPractices[CP]=10,Practices_SubPractices[Org] ="Large"),SUMIFS(Practices_SubPractices[E],Practices_SubPractices[CP],"10",Practices_SubPractices[Org],"Large"),"TBD"))))))))))))))))))))))))))))))</calculatedColumnFormula>
    </tableColumn>
    <tableColumn id="15" xr3:uid="{00000000-0010-0000-0000-00000F000000}" name="NIST CSF XWALK" dataDxfId="0"/>
  </tableColumns>
  <tableStyleInfo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pageSetUpPr fitToPage="1"/>
  </sheetPr>
  <dimension ref="A1:DG42"/>
  <sheetViews>
    <sheetView tabSelected="1" workbookViewId="0">
      <selection activeCell="B13" sqref="B13:C13"/>
    </sheetView>
  </sheetViews>
  <sheetFormatPr defaultColWidth="8.81640625" defaultRowHeight="14.5" x14ac:dyDescent="0.35"/>
  <cols>
    <col min="1" max="1" width="9.453125" customWidth="1"/>
    <col min="2" max="2" width="64.81640625" customWidth="1"/>
    <col min="3" max="3" width="79.453125" customWidth="1"/>
    <col min="4" max="5" width="3" hidden="1" customWidth="1"/>
    <col min="6" max="12" width="2.81640625" hidden="1" customWidth="1"/>
    <col min="13" max="13" width="3" hidden="1" customWidth="1"/>
    <col min="14" max="14" width="12.1796875" customWidth="1"/>
    <col min="15" max="15" width="37.453125" customWidth="1"/>
    <col min="16" max="16" width="33.81640625" customWidth="1"/>
    <col min="17" max="17" width="41.453125" customWidth="1"/>
    <col min="18" max="18" width="22.1796875" customWidth="1"/>
    <col min="19" max="111" width="8.7265625" customWidth="1"/>
    <col min="112" max="16384" width="8.81640625" style="6"/>
  </cols>
  <sheetData>
    <row r="1" spans="1:3" s="6" customFormat="1" ht="15" thickBot="1" x14ac:dyDescent="0.4">
      <c r="C1" s="7"/>
    </row>
    <row r="2" spans="1:3" s="6" customFormat="1" x14ac:dyDescent="0.35">
      <c r="A2" s="94" t="s">
        <v>453</v>
      </c>
      <c r="B2" s="95"/>
      <c r="C2" s="96"/>
    </row>
    <row r="3" spans="1:3" s="6" customFormat="1" x14ac:dyDescent="0.35">
      <c r="A3" s="97"/>
      <c r="B3" s="98"/>
      <c r="C3" s="99"/>
    </row>
    <row r="4" spans="1:3" s="6" customFormat="1" x14ac:dyDescent="0.35">
      <c r="A4" s="97"/>
      <c r="B4" s="98"/>
      <c r="C4" s="99"/>
    </row>
    <row r="5" spans="1:3" s="6" customFormat="1" x14ac:dyDescent="0.35">
      <c r="A5" s="97"/>
      <c r="B5" s="98"/>
      <c r="C5" s="99"/>
    </row>
    <row r="6" spans="1:3" s="6" customFormat="1" x14ac:dyDescent="0.35">
      <c r="A6" s="97"/>
      <c r="B6" s="98"/>
      <c r="C6" s="99"/>
    </row>
    <row r="7" spans="1:3" s="6" customFormat="1" x14ac:dyDescent="0.35">
      <c r="A7" s="97"/>
      <c r="B7" s="98"/>
      <c r="C7" s="99"/>
    </row>
    <row r="8" spans="1:3" s="6" customFormat="1" ht="15" thickBot="1" x14ac:dyDescent="0.4">
      <c r="A8" s="100"/>
      <c r="B8" s="101"/>
      <c r="C8" s="102"/>
    </row>
    <row r="9" spans="1:3" s="6" customFormat="1" ht="15" thickBot="1" x14ac:dyDescent="0.4">
      <c r="C9" s="7"/>
    </row>
    <row r="10" spans="1:3" s="6" customFormat="1" ht="15" thickBot="1" x14ac:dyDescent="0.4">
      <c r="A10" s="21" t="s">
        <v>281</v>
      </c>
      <c r="B10" s="105" t="s">
        <v>53</v>
      </c>
      <c r="C10" s="106"/>
    </row>
    <row r="11" spans="1:3" s="6" customFormat="1" x14ac:dyDescent="0.35">
      <c r="A11" s="8">
        <v>1</v>
      </c>
      <c r="B11" s="103" t="s">
        <v>298</v>
      </c>
      <c r="C11" s="104"/>
    </row>
    <row r="12" spans="1:3" s="6" customFormat="1" x14ac:dyDescent="0.35">
      <c r="A12" s="8">
        <v>2</v>
      </c>
      <c r="B12" s="103" t="s">
        <v>299</v>
      </c>
      <c r="C12" s="104"/>
    </row>
    <row r="13" spans="1:3" s="6" customFormat="1" x14ac:dyDescent="0.35">
      <c r="A13" s="8">
        <v>3</v>
      </c>
      <c r="B13" s="103" t="s">
        <v>300</v>
      </c>
      <c r="C13" s="104"/>
    </row>
    <row r="14" spans="1:3" s="6" customFormat="1" x14ac:dyDescent="0.35">
      <c r="A14" s="8">
        <v>4</v>
      </c>
      <c r="B14" s="103" t="s">
        <v>301</v>
      </c>
      <c r="C14" s="104"/>
    </row>
    <row r="15" spans="1:3" s="6" customFormat="1" x14ac:dyDescent="0.35">
      <c r="A15" s="8">
        <v>5</v>
      </c>
      <c r="B15" s="103" t="s">
        <v>302</v>
      </c>
      <c r="C15" s="104"/>
    </row>
    <row r="16" spans="1:3" s="6" customFormat="1" ht="15" thickBot="1" x14ac:dyDescent="0.4">
      <c r="A16" s="9">
        <v>6</v>
      </c>
      <c r="B16" s="107" t="s">
        <v>303</v>
      </c>
      <c r="C16" s="108"/>
    </row>
    <row r="17" spans="1:17" s="6" customFormat="1" x14ac:dyDescent="0.35">
      <c r="C17" s="7"/>
    </row>
    <row r="18" spans="1:17" s="6" customFormat="1" x14ac:dyDescent="0.35">
      <c r="A18" s="3" t="s">
        <v>192</v>
      </c>
      <c r="B18" s="4"/>
      <c r="C18" s="5"/>
    </row>
    <row r="19" spans="1:17" s="6" customFormat="1" x14ac:dyDescent="0.35">
      <c r="A19" s="10" t="s">
        <v>193</v>
      </c>
      <c r="B19" s="11"/>
      <c r="C19" s="32"/>
    </row>
    <row r="20" spans="1:17" s="6" customFormat="1" x14ac:dyDescent="0.35">
      <c r="A20" s="27" t="s">
        <v>282</v>
      </c>
      <c r="B20" s="28"/>
      <c r="C20" s="29"/>
    </row>
    <row r="21" spans="1:17" s="6" customFormat="1" x14ac:dyDescent="0.35">
      <c r="A21" s="12" t="s">
        <v>265</v>
      </c>
      <c r="B21" s="13" t="s">
        <v>271</v>
      </c>
      <c r="C21" s="31"/>
    </row>
    <row r="22" spans="1:17" s="6" customFormat="1" x14ac:dyDescent="0.35">
      <c r="A22" s="12" t="s">
        <v>266</v>
      </c>
      <c r="B22" s="13" t="s">
        <v>272</v>
      </c>
      <c r="C22" s="31"/>
    </row>
    <row r="23" spans="1:17" s="6" customFormat="1" x14ac:dyDescent="0.35">
      <c r="A23" s="12" t="s">
        <v>267</v>
      </c>
      <c r="B23" s="13" t="s">
        <v>273</v>
      </c>
      <c r="C23" s="31"/>
    </row>
    <row r="24" spans="1:17" s="6" customFormat="1" x14ac:dyDescent="0.35">
      <c r="A24" s="12" t="s">
        <v>268</v>
      </c>
      <c r="B24" s="13" t="s">
        <v>274</v>
      </c>
      <c r="C24" s="31"/>
    </row>
    <row r="25" spans="1:17" s="6" customFormat="1" x14ac:dyDescent="0.35">
      <c r="A25" s="12" t="s">
        <v>212</v>
      </c>
      <c r="B25" s="13" t="s">
        <v>275</v>
      </c>
      <c r="C25" s="31"/>
    </row>
    <row r="26" spans="1:17" s="6" customFormat="1" x14ac:dyDescent="0.35">
      <c r="C26" s="7"/>
    </row>
    <row r="27" spans="1:17" s="6" customFormat="1" ht="15" thickBot="1" x14ac:dyDescent="0.4">
      <c r="D27" s="14" t="s">
        <v>290</v>
      </c>
      <c r="E27" s="14"/>
      <c r="F27" s="14"/>
      <c r="G27" s="14"/>
      <c r="H27" s="14"/>
      <c r="I27" s="89" t="s">
        <v>289</v>
      </c>
      <c r="J27" s="90"/>
      <c r="K27" s="90"/>
      <c r="L27" s="90"/>
      <c r="M27" s="91"/>
    </row>
    <row r="28" spans="1:17" s="6" customFormat="1" x14ac:dyDescent="0.35">
      <c r="A28" s="22" t="s">
        <v>291</v>
      </c>
      <c r="B28" s="23" t="s">
        <v>52</v>
      </c>
      <c r="C28" s="24" t="s">
        <v>292</v>
      </c>
      <c r="D28" s="15" t="s">
        <v>265</v>
      </c>
      <c r="E28" s="15" t="s">
        <v>266</v>
      </c>
      <c r="F28" s="15" t="s">
        <v>267</v>
      </c>
      <c r="G28" s="15" t="s">
        <v>268</v>
      </c>
      <c r="H28" s="15" t="s">
        <v>212</v>
      </c>
      <c r="I28" s="15" t="s">
        <v>265</v>
      </c>
      <c r="J28" s="15" t="s">
        <v>266</v>
      </c>
      <c r="K28" s="15" t="s">
        <v>267</v>
      </c>
      <c r="L28" s="15" t="s">
        <v>268</v>
      </c>
      <c r="M28" s="15" t="s">
        <v>212</v>
      </c>
      <c r="O28" s="109" t="s">
        <v>304</v>
      </c>
      <c r="P28" s="95"/>
      <c r="Q28" s="96"/>
    </row>
    <row r="29" spans="1:17" s="6" customFormat="1" x14ac:dyDescent="0.35">
      <c r="A29" s="16">
        <v>8</v>
      </c>
      <c r="B29" s="17" t="s">
        <v>7</v>
      </c>
      <c r="C29" s="18" t="str">
        <f t="shared" ref="C29:C38" si="0">IF(ISNA(SUM(D29:H29)),"",SUM(D29:H29))</f>
        <v/>
      </c>
      <c r="D29" s="15" t="e">
        <f t="shared" ref="D29:D38" si="1">VLOOKUP($D$28,$A$21:$C$25,3,FALSE)*I29</f>
        <v>#N/A</v>
      </c>
      <c r="E29" s="15" t="e">
        <f t="shared" ref="E29:E38" si="2">VLOOKUP($E$28,$A$21:$C$25,3,FALSE)*J29</f>
        <v>#N/A</v>
      </c>
      <c r="F29" s="15" t="e">
        <f t="shared" ref="F29:F38" si="3">VLOOKUP($F$28,$A$21:$C$25,3,FALSE)*K29</f>
        <v>#N/A</v>
      </c>
      <c r="G29" s="15" t="e">
        <f t="shared" ref="G29:G38" si="4">VLOOKUP($G$28,$A$21:$C$25,3,FALSE)*L29</f>
        <v>#N/A</v>
      </c>
      <c r="H29" s="15" t="e">
        <f t="shared" ref="H29:H38" si="5">VLOOKUP($H$28,$A$21:$C$25,3,FALSE)*M29</f>
        <v>#N/A</v>
      </c>
      <c r="I29" s="19" t="e">
        <f>VLOOKUP($A29&amp;LEFT($C$19,1),Practices_SubPractices[[#All],[OP]:[NIST CSF XWALK]],6,FALSE)</f>
        <v>#N/A</v>
      </c>
      <c r="J29" s="19" t="e">
        <f>VLOOKUP($A29&amp;LEFT($C$19,1),Practices_SubPractices[[#All],[OP]:[NIST CSF XWALK]],7,FALSE)</f>
        <v>#N/A</v>
      </c>
      <c r="K29" s="19" t="e">
        <f>VLOOKUP($A29&amp;LEFT($C$19,1),Practices_SubPractices[[#All],[OP]:[NIST CSF XWALK]],8,FALSE)</f>
        <v>#N/A</v>
      </c>
      <c r="L29" s="19" t="e">
        <f>VLOOKUP($A29&amp;LEFT($C$19,1),Practices_SubPractices[[#All],[OP]:[NIST CSF XWALK]],9,FALSE)</f>
        <v>#N/A</v>
      </c>
      <c r="M29" s="20" t="e">
        <f>VLOOKUP($A29&amp;LEFT($C$19,1),Practices_SubPractices[[#All],[OP]:[NIST CSF XWALK]],10,FALSE)</f>
        <v>#N/A</v>
      </c>
      <c r="O29" s="97"/>
      <c r="P29" s="98"/>
      <c r="Q29" s="99"/>
    </row>
    <row r="30" spans="1:17" s="6" customFormat="1" x14ac:dyDescent="0.35">
      <c r="A30" s="16">
        <v>2</v>
      </c>
      <c r="B30" s="17" t="s">
        <v>1</v>
      </c>
      <c r="C30" s="18" t="str">
        <f t="shared" si="0"/>
        <v/>
      </c>
      <c r="D30" s="15" t="e">
        <f t="shared" si="1"/>
        <v>#N/A</v>
      </c>
      <c r="E30" s="15" t="e">
        <f t="shared" si="2"/>
        <v>#N/A</v>
      </c>
      <c r="F30" s="15" t="e">
        <f t="shared" si="3"/>
        <v>#N/A</v>
      </c>
      <c r="G30" s="15" t="e">
        <f t="shared" si="4"/>
        <v>#N/A</v>
      </c>
      <c r="H30" s="15" t="e">
        <f t="shared" si="5"/>
        <v>#N/A</v>
      </c>
      <c r="I30" s="19" t="e">
        <f>VLOOKUP($A30&amp;LEFT($C$19,1),Practices_SubPractices[[#All],[OP]:[NIST CSF XWALK]],6,FALSE)</f>
        <v>#N/A</v>
      </c>
      <c r="J30" s="19" t="e">
        <f>VLOOKUP($A30&amp;LEFT($C$19,1),Practices_SubPractices[[#All],[OP]:[NIST CSF XWALK]],7,FALSE)</f>
        <v>#N/A</v>
      </c>
      <c r="K30" s="19" t="e">
        <f>VLOOKUP($A30&amp;LEFT($C$19,1),Practices_SubPractices[[#All],[OP]:[NIST CSF XWALK]],8,FALSE)</f>
        <v>#N/A</v>
      </c>
      <c r="L30" s="19" t="e">
        <f>VLOOKUP($A30&amp;LEFT($C$19,1),Practices_SubPractices[[#All],[OP]:[NIST CSF XWALK]],9,FALSE)</f>
        <v>#N/A</v>
      </c>
      <c r="M30" s="20" t="e">
        <f>VLOOKUP($A30&amp;LEFT($C$19,1),Practices_SubPractices[[#All],[OP]:[NIST CSF XWALK]],10,FALSE)</f>
        <v>#N/A</v>
      </c>
      <c r="O30" s="97"/>
      <c r="P30" s="98"/>
      <c r="Q30" s="99"/>
    </row>
    <row r="31" spans="1:17" s="6" customFormat="1" x14ac:dyDescent="0.35">
      <c r="A31" s="16">
        <v>3</v>
      </c>
      <c r="B31" s="17" t="s">
        <v>2</v>
      </c>
      <c r="C31" s="18" t="str">
        <f t="shared" si="0"/>
        <v/>
      </c>
      <c r="D31" s="15" t="e">
        <f t="shared" si="1"/>
        <v>#N/A</v>
      </c>
      <c r="E31" s="15" t="e">
        <f t="shared" si="2"/>
        <v>#N/A</v>
      </c>
      <c r="F31" s="15" t="e">
        <f t="shared" si="3"/>
        <v>#N/A</v>
      </c>
      <c r="G31" s="15" t="e">
        <f t="shared" si="4"/>
        <v>#N/A</v>
      </c>
      <c r="H31" s="15" t="e">
        <f t="shared" si="5"/>
        <v>#N/A</v>
      </c>
      <c r="I31" s="19" t="e">
        <f>VLOOKUP($A31&amp;LEFT($C$19,1),Practices_SubPractices[[#All],[OP]:[NIST CSF XWALK]],6,FALSE)</f>
        <v>#N/A</v>
      </c>
      <c r="J31" s="19" t="e">
        <f>VLOOKUP($A31&amp;LEFT($C$19,1),Practices_SubPractices[[#All],[OP]:[NIST CSF XWALK]],7,FALSE)</f>
        <v>#N/A</v>
      </c>
      <c r="K31" s="19" t="e">
        <f>VLOOKUP($A31&amp;LEFT($C$19,1),Practices_SubPractices[[#All],[OP]:[NIST CSF XWALK]],8,FALSE)</f>
        <v>#N/A</v>
      </c>
      <c r="L31" s="19" t="e">
        <f>VLOOKUP($A31&amp;LEFT($C$19,1),Practices_SubPractices[[#All],[OP]:[NIST CSF XWALK]],9,FALSE)</f>
        <v>#N/A</v>
      </c>
      <c r="M31" s="20" t="e">
        <f>VLOOKUP($A31&amp;LEFT($C$19,1),Practices_SubPractices[[#All],[OP]:[NIST CSF XWALK]],10,FALSE)</f>
        <v>#N/A</v>
      </c>
      <c r="O31" s="97"/>
      <c r="P31" s="98"/>
      <c r="Q31" s="99"/>
    </row>
    <row r="32" spans="1:17" s="6" customFormat="1" x14ac:dyDescent="0.35">
      <c r="A32" s="16">
        <v>5</v>
      </c>
      <c r="B32" s="17" t="s">
        <v>4</v>
      </c>
      <c r="C32" s="18" t="str">
        <f t="shared" si="0"/>
        <v/>
      </c>
      <c r="D32" s="15" t="e">
        <f t="shared" si="1"/>
        <v>#N/A</v>
      </c>
      <c r="E32" s="15" t="e">
        <f t="shared" si="2"/>
        <v>#N/A</v>
      </c>
      <c r="F32" s="15" t="e">
        <f t="shared" si="3"/>
        <v>#N/A</v>
      </c>
      <c r="G32" s="15" t="e">
        <f t="shared" si="4"/>
        <v>#N/A</v>
      </c>
      <c r="H32" s="15" t="e">
        <f t="shared" si="5"/>
        <v>#N/A</v>
      </c>
      <c r="I32" s="19" t="e">
        <f>VLOOKUP($A32&amp;LEFT($C$19,1),Practices_SubPractices[[#All],[OP]:[NIST CSF XWALK]],6,FALSE)</f>
        <v>#N/A</v>
      </c>
      <c r="J32" s="19" t="e">
        <f>VLOOKUP($A32&amp;LEFT($C$19,1),Practices_SubPractices[[#All],[OP]:[NIST CSF XWALK]],7,FALSE)</f>
        <v>#N/A</v>
      </c>
      <c r="K32" s="19" t="e">
        <f>VLOOKUP($A32&amp;LEFT($C$19,1),Practices_SubPractices[[#All],[OP]:[NIST CSF XWALK]],8,FALSE)</f>
        <v>#N/A</v>
      </c>
      <c r="L32" s="19" t="e">
        <f>VLOOKUP($A32&amp;LEFT($C$19,1),Practices_SubPractices[[#All],[OP]:[NIST CSF XWALK]],9,FALSE)</f>
        <v>#N/A</v>
      </c>
      <c r="M32" s="20" t="e">
        <f>VLOOKUP($A32&amp;LEFT($C$19,1),Practices_SubPractices[[#All],[OP]:[NIST CSF XWALK]],10,FALSE)</f>
        <v>#N/A</v>
      </c>
      <c r="O32" s="97"/>
      <c r="P32" s="98"/>
      <c r="Q32" s="99"/>
    </row>
    <row r="33" spans="1:111" x14ac:dyDescent="0.35">
      <c r="A33" s="16">
        <v>6</v>
      </c>
      <c r="B33" s="17" t="s">
        <v>5</v>
      </c>
      <c r="C33" s="18" t="str">
        <f t="shared" si="0"/>
        <v/>
      </c>
      <c r="D33" s="15" t="e">
        <f t="shared" si="1"/>
        <v>#N/A</v>
      </c>
      <c r="E33" s="15" t="e">
        <f t="shared" si="2"/>
        <v>#N/A</v>
      </c>
      <c r="F33" s="15" t="e">
        <f t="shared" si="3"/>
        <v>#N/A</v>
      </c>
      <c r="G33" s="15" t="e">
        <f t="shared" si="4"/>
        <v>#N/A</v>
      </c>
      <c r="H33" s="15" t="e">
        <f t="shared" si="5"/>
        <v>#N/A</v>
      </c>
      <c r="I33" s="19" t="e">
        <f>VLOOKUP($A33&amp;LEFT($C$19,1),Practices_SubPractices[[#All],[OP]:[NIST CSF XWALK]],6,FALSE)</f>
        <v>#N/A</v>
      </c>
      <c r="J33" s="19" t="e">
        <f>VLOOKUP($A33&amp;LEFT($C$19,1),Practices_SubPractices[[#All],[OP]:[NIST CSF XWALK]],7,FALSE)</f>
        <v>#N/A</v>
      </c>
      <c r="K33" s="19" t="e">
        <f>VLOOKUP($A33&amp;LEFT($C$19,1),Practices_SubPractices[[#All],[OP]:[NIST CSF XWALK]],8,FALSE)</f>
        <v>#N/A</v>
      </c>
      <c r="L33" s="19" t="e">
        <f>VLOOKUP($A33&amp;LEFT($C$19,1),Practices_SubPractices[[#All],[OP]:[NIST CSF XWALK]],9,FALSE)</f>
        <v>#N/A</v>
      </c>
      <c r="M33" s="20" t="e">
        <f>VLOOKUP($A33&amp;LEFT($C$19,1),Practices_SubPractices[[#All],[OP]:[NIST CSF XWALK]],10,FALSE)</f>
        <v>#N/A</v>
      </c>
      <c r="N33" s="6"/>
      <c r="O33" s="97"/>
      <c r="P33" s="98"/>
      <c r="Q33" s="99"/>
      <c r="R33" s="6"/>
      <c r="S33" s="6"/>
      <c r="T33" s="6"/>
      <c r="U33" s="6"/>
      <c r="V33" s="6"/>
      <c r="W33" s="6"/>
      <c r="X33" s="6"/>
      <c r="Y33" s="6"/>
      <c r="Z33" s="6"/>
      <c r="AA33" s="6"/>
      <c r="AB33" s="6"/>
      <c r="AC33" s="6"/>
      <c r="AD33" s="6"/>
      <c r="AE33" s="6"/>
      <c r="AF33" s="6"/>
      <c r="AG33" s="6"/>
      <c r="AH33" s="6"/>
      <c r="AI33" s="6"/>
      <c r="AJ33" s="6"/>
      <c r="AK33" s="6"/>
      <c r="AL33" s="6"/>
      <c r="AM33" s="6"/>
      <c r="AN33" s="6"/>
      <c r="AO33" s="6"/>
      <c r="AP33" s="6"/>
      <c r="AQ33" s="6"/>
      <c r="AR33" s="6"/>
      <c r="AS33" s="6"/>
      <c r="AT33" s="6"/>
      <c r="AU33" s="6"/>
      <c r="AV33" s="6"/>
      <c r="AW33" s="6"/>
      <c r="AX33" s="6"/>
      <c r="AY33" s="6"/>
      <c r="AZ33" s="6"/>
      <c r="BA33" s="6"/>
      <c r="BB33" s="6"/>
      <c r="BC33" s="6"/>
      <c r="BD33" s="6"/>
      <c r="BE33" s="6"/>
      <c r="BF33" s="6"/>
      <c r="BG33" s="6"/>
      <c r="BH33" s="6"/>
      <c r="BI33" s="6"/>
      <c r="BJ33" s="6"/>
      <c r="BK33" s="6"/>
      <c r="BL33" s="6"/>
      <c r="BM33" s="6"/>
      <c r="BN33" s="6"/>
      <c r="BO33" s="6"/>
      <c r="BP33" s="6"/>
      <c r="BQ33" s="6"/>
      <c r="BR33" s="6"/>
      <c r="BS33" s="6"/>
      <c r="BT33" s="6"/>
      <c r="BU33" s="6"/>
      <c r="BV33" s="6"/>
      <c r="BW33" s="6"/>
      <c r="BX33" s="6"/>
      <c r="BY33" s="6"/>
      <c r="BZ33" s="6"/>
      <c r="CA33" s="6"/>
      <c r="CB33" s="6"/>
      <c r="CC33" s="6"/>
      <c r="CD33" s="6"/>
      <c r="CE33" s="6"/>
      <c r="CF33" s="6"/>
      <c r="CG33" s="6"/>
      <c r="CH33" s="6"/>
      <c r="CI33" s="6"/>
      <c r="CJ33" s="6"/>
      <c r="CK33" s="6"/>
      <c r="CL33" s="6"/>
      <c r="CM33" s="6"/>
      <c r="CN33" s="6"/>
      <c r="CO33" s="6"/>
      <c r="CP33" s="6"/>
      <c r="CQ33" s="6"/>
      <c r="CR33" s="6"/>
      <c r="CS33" s="6"/>
      <c r="CT33" s="6"/>
      <c r="CU33" s="6"/>
      <c r="CV33" s="6"/>
      <c r="CW33" s="6"/>
      <c r="CX33" s="6"/>
      <c r="CY33" s="6"/>
      <c r="CZ33" s="6"/>
      <c r="DA33" s="6"/>
      <c r="DB33" s="6"/>
      <c r="DC33" s="6"/>
      <c r="DD33" s="6"/>
      <c r="DE33" s="6"/>
      <c r="DF33" s="6"/>
      <c r="DG33" s="6"/>
    </row>
    <row r="34" spans="1:111" x14ac:dyDescent="0.35">
      <c r="A34" s="16">
        <v>1</v>
      </c>
      <c r="B34" s="17" t="s">
        <v>0</v>
      </c>
      <c r="C34" s="18" t="str">
        <f t="shared" si="0"/>
        <v/>
      </c>
      <c r="D34" s="15" t="e">
        <f t="shared" si="1"/>
        <v>#N/A</v>
      </c>
      <c r="E34" s="15" t="e">
        <f t="shared" si="2"/>
        <v>#N/A</v>
      </c>
      <c r="F34" s="15" t="e">
        <f t="shared" si="3"/>
        <v>#N/A</v>
      </c>
      <c r="G34" s="15" t="e">
        <f t="shared" si="4"/>
        <v>#N/A</v>
      </c>
      <c r="H34" s="15" t="e">
        <f t="shared" si="5"/>
        <v>#N/A</v>
      </c>
      <c r="I34" s="19" t="e">
        <f>VLOOKUP($A34&amp;LEFT($C$19,1),Practices_SubPractices[[#All],[OP]:[NIST CSF XWALK]],6,FALSE)</f>
        <v>#N/A</v>
      </c>
      <c r="J34" s="19" t="e">
        <f>VLOOKUP($A34&amp;LEFT($C$19,1),Practices_SubPractices[[#All],[OP]:[NIST CSF XWALK]],7,FALSE)</f>
        <v>#N/A</v>
      </c>
      <c r="K34" s="19" t="e">
        <f>VLOOKUP($A34&amp;LEFT($C$19,1),Practices_SubPractices[[#All],[OP]:[NIST CSF XWALK]],8,FALSE)</f>
        <v>#N/A</v>
      </c>
      <c r="L34" s="19" t="e">
        <f>VLOOKUP($A34&amp;LEFT($C$19,1),Practices_SubPractices[[#All],[OP]:[NIST CSF XWALK]],9,FALSE)</f>
        <v>#N/A</v>
      </c>
      <c r="M34" s="20" t="e">
        <f>VLOOKUP($A34&amp;LEFT($C$19,1),Practices_SubPractices[[#All],[OP]:[NIST CSF XWALK]],10,FALSE)</f>
        <v>#N/A</v>
      </c>
      <c r="N34" s="6"/>
      <c r="O34" s="97"/>
      <c r="P34" s="98"/>
      <c r="Q34" s="99"/>
      <c r="R34" s="6"/>
      <c r="S34" s="6"/>
      <c r="T34" s="6"/>
      <c r="U34" s="6"/>
      <c r="V34" s="6"/>
      <c r="W34" s="6"/>
      <c r="X34" s="6"/>
      <c r="Y34" s="6"/>
      <c r="Z34" s="6"/>
      <c r="AA34" s="6"/>
      <c r="AB34" s="6"/>
      <c r="AC34" s="6"/>
      <c r="AD34" s="6"/>
      <c r="AE34" s="6"/>
      <c r="AF34" s="6"/>
      <c r="AG34" s="6"/>
      <c r="AH34" s="6"/>
      <c r="AI34" s="6"/>
      <c r="AJ34" s="6"/>
      <c r="AK34" s="6"/>
      <c r="AL34" s="6"/>
      <c r="AM34" s="6"/>
      <c r="AN34" s="6"/>
      <c r="AO34" s="6"/>
      <c r="AP34" s="6"/>
      <c r="AQ34" s="6"/>
      <c r="AR34" s="6"/>
      <c r="AS34" s="6"/>
      <c r="AT34" s="6"/>
      <c r="AU34" s="6"/>
      <c r="AV34" s="6"/>
      <c r="AW34" s="6"/>
      <c r="AX34" s="6"/>
      <c r="AY34" s="6"/>
      <c r="AZ34" s="6"/>
      <c r="BA34" s="6"/>
      <c r="BB34" s="6"/>
      <c r="BC34" s="6"/>
      <c r="BD34" s="6"/>
      <c r="BE34" s="6"/>
      <c r="BF34" s="6"/>
      <c r="BG34" s="6"/>
      <c r="BH34" s="6"/>
      <c r="BI34" s="6"/>
      <c r="BJ34" s="6"/>
      <c r="BK34" s="6"/>
      <c r="BL34" s="6"/>
      <c r="BM34" s="6"/>
      <c r="BN34" s="6"/>
      <c r="BO34" s="6"/>
      <c r="BP34" s="6"/>
      <c r="BQ34" s="6"/>
      <c r="BR34" s="6"/>
      <c r="BS34" s="6"/>
      <c r="BT34" s="6"/>
      <c r="BU34" s="6"/>
      <c r="BV34" s="6"/>
      <c r="BW34" s="6"/>
      <c r="BX34" s="6"/>
      <c r="BY34" s="6"/>
      <c r="BZ34" s="6"/>
      <c r="CA34" s="6"/>
      <c r="CB34" s="6"/>
      <c r="CC34" s="6"/>
      <c r="CD34" s="6"/>
      <c r="CE34" s="6"/>
      <c r="CF34" s="6"/>
      <c r="CG34" s="6"/>
      <c r="CH34" s="6"/>
      <c r="CI34" s="6"/>
      <c r="CJ34" s="6"/>
      <c r="CK34" s="6"/>
      <c r="CL34" s="6"/>
      <c r="CM34" s="6"/>
      <c r="CN34" s="6"/>
      <c r="CO34" s="6"/>
      <c r="CP34" s="6"/>
      <c r="CQ34" s="6"/>
      <c r="CR34" s="6"/>
      <c r="CS34" s="6"/>
      <c r="CT34" s="6"/>
      <c r="CU34" s="6"/>
      <c r="CV34" s="6"/>
      <c r="CW34" s="6"/>
      <c r="CX34" s="6"/>
      <c r="CY34" s="6"/>
      <c r="CZ34" s="6"/>
      <c r="DA34" s="6"/>
      <c r="DB34" s="6"/>
      <c r="DC34" s="6"/>
      <c r="DD34" s="6"/>
      <c r="DE34" s="6"/>
      <c r="DF34" s="6"/>
      <c r="DG34" s="6"/>
    </row>
    <row r="35" spans="1:111" x14ac:dyDescent="0.35">
      <c r="A35" s="16">
        <v>10</v>
      </c>
      <c r="B35" s="17" t="s">
        <v>9</v>
      </c>
      <c r="C35" s="18" t="str">
        <f t="shared" si="0"/>
        <v/>
      </c>
      <c r="D35" s="15" t="e">
        <f t="shared" si="1"/>
        <v>#N/A</v>
      </c>
      <c r="E35" s="15" t="e">
        <f t="shared" si="2"/>
        <v>#N/A</v>
      </c>
      <c r="F35" s="15" t="e">
        <f t="shared" si="3"/>
        <v>#N/A</v>
      </c>
      <c r="G35" s="15" t="e">
        <f t="shared" si="4"/>
        <v>#N/A</v>
      </c>
      <c r="H35" s="15" t="e">
        <f t="shared" si="5"/>
        <v>#N/A</v>
      </c>
      <c r="I35" s="19" t="e">
        <f>VLOOKUP($A35&amp;LEFT($C$19,1),Practices_SubPractices[[#All],[OP]:[NIST CSF XWALK]],6,FALSE)</f>
        <v>#N/A</v>
      </c>
      <c r="J35" s="19" t="e">
        <f>VLOOKUP($A35&amp;LEFT($C$19,1),Practices_SubPractices[[#All],[OP]:[NIST CSF XWALK]],7,FALSE)</f>
        <v>#N/A</v>
      </c>
      <c r="K35" s="19" t="e">
        <f>VLOOKUP($A35&amp;LEFT($C$19,1),Practices_SubPractices[[#All],[OP]:[NIST CSF XWALK]],8,FALSE)</f>
        <v>#N/A</v>
      </c>
      <c r="L35" s="19" t="e">
        <f>VLOOKUP($A35&amp;LEFT($C$19,1),Practices_SubPractices[[#All],[OP]:[NIST CSF XWALK]],9,FALSE)</f>
        <v>#N/A</v>
      </c>
      <c r="M35" s="20" t="e">
        <f>VLOOKUP($A35&amp;LEFT($C$19,1),Practices_SubPractices[[#All],[OP]:[NIST CSF XWALK]],10,FALSE)</f>
        <v>#N/A</v>
      </c>
      <c r="N35" s="6"/>
      <c r="O35" s="97"/>
      <c r="P35" s="98"/>
      <c r="Q35" s="99"/>
      <c r="R35" s="6"/>
      <c r="S35" s="6"/>
      <c r="T35" s="6"/>
      <c r="U35" s="6"/>
      <c r="V35" s="6"/>
      <c r="W35" s="6"/>
      <c r="X35" s="6"/>
      <c r="Y35" s="6"/>
      <c r="Z35" s="6"/>
      <c r="AA35" s="6"/>
      <c r="AB35" s="6"/>
      <c r="AC35" s="6"/>
      <c r="AD35" s="6"/>
      <c r="AE35" s="6"/>
      <c r="AF35" s="6"/>
      <c r="AG35" s="6"/>
      <c r="AH35" s="6"/>
      <c r="AI35" s="6"/>
      <c r="AJ35" s="6"/>
      <c r="AK35" s="6"/>
      <c r="AL35" s="6"/>
      <c r="AM35" s="6"/>
      <c r="AN35" s="6"/>
      <c r="AO35" s="6"/>
      <c r="AP35" s="6"/>
      <c r="AQ35" s="6"/>
      <c r="AR35" s="6"/>
      <c r="AS35" s="6"/>
      <c r="AT35" s="6"/>
      <c r="AU35" s="6"/>
      <c r="AV35" s="6"/>
      <c r="AW35" s="6"/>
      <c r="AX35" s="6"/>
      <c r="AY35" s="6"/>
      <c r="AZ35" s="6"/>
      <c r="BA35" s="6"/>
      <c r="BB35" s="6"/>
      <c r="BC35" s="6"/>
      <c r="BD35" s="6"/>
      <c r="BE35" s="6"/>
      <c r="BF35" s="6"/>
      <c r="BG35" s="6"/>
      <c r="BH35" s="6"/>
      <c r="BI35" s="6"/>
      <c r="BJ35" s="6"/>
      <c r="BK35" s="6"/>
      <c r="BL35" s="6"/>
      <c r="BM35" s="6"/>
      <c r="BN35" s="6"/>
      <c r="BO35" s="6"/>
      <c r="BP35" s="6"/>
      <c r="BQ35" s="6"/>
      <c r="BR35" s="6"/>
      <c r="BS35" s="6"/>
      <c r="BT35" s="6"/>
      <c r="BU35" s="6"/>
      <c r="BV35" s="6"/>
      <c r="BW35" s="6"/>
      <c r="BX35" s="6"/>
      <c r="BY35" s="6"/>
      <c r="BZ35" s="6"/>
      <c r="CA35" s="6"/>
      <c r="CB35" s="6"/>
      <c r="CC35" s="6"/>
      <c r="CD35" s="6"/>
      <c r="CE35" s="6"/>
      <c r="CF35" s="6"/>
      <c r="CG35" s="6"/>
      <c r="CH35" s="6"/>
      <c r="CI35" s="6"/>
      <c r="CJ35" s="6"/>
      <c r="CK35" s="6"/>
      <c r="CL35" s="6"/>
      <c r="CM35" s="6"/>
      <c r="CN35" s="6"/>
      <c r="CO35" s="6"/>
      <c r="CP35" s="6"/>
      <c r="CQ35" s="6"/>
      <c r="CR35" s="6"/>
      <c r="CS35" s="6"/>
      <c r="CT35" s="6"/>
      <c r="CU35" s="6"/>
      <c r="CV35" s="6"/>
      <c r="CW35" s="6"/>
      <c r="CX35" s="6"/>
      <c r="CY35" s="6"/>
      <c r="CZ35" s="6"/>
      <c r="DA35" s="6"/>
      <c r="DB35" s="6"/>
      <c r="DC35" s="6"/>
      <c r="DD35" s="6"/>
      <c r="DE35" s="6"/>
      <c r="DF35" s="6"/>
      <c r="DG35" s="6"/>
    </row>
    <row r="36" spans="1:111" x14ac:dyDescent="0.35">
      <c r="A36" s="16">
        <v>4</v>
      </c>
      <c r="B36" s="17" t="s">
        <v>3</v>
      </c>
      <c r="C36" s="18" t="str">
        <f t="shared" si="0"/>
        <v/>
      </c>
      <c r="D36" s="15" t="e">
        <f t="shared" si="1"/>
        <v>#N/A</v>
      </c>
      <c r="E36" s="15" t="e">
        <f t="shared" si="2"/>
        <v>#N/A</v>
      </c>
      <c r="F36" s="15" t="e">
        <f t="shared" si="3"/>
        <v>#N/A</v>
      </c>
      <c r="G36" s="15" t="e">
        <f t="shared" si="4"/>
        <v>#N/A</v>
      </c>
      <c r="H36" s="15" t="e">
        <f t="shared" si="5"/>
        <v>#N/A</v>
      </c>
      <c r="I36" s="19" t="e">
        <f>VLOOKUP($A36&amp;LEFT($C$19,1),Practices_SubPractices[[#All],[OP]:[NIST CSF XWALK]],6,FALSE)</f>
        <v>#N/A</v>
      </c>
      <c r="J36" s="19" t="e">
        <f>VLOOKUP($A36&amp;LEFT($C$19,1),Practices_SubPractices[[#All],[OP]:[NIST CSF XWALK]],7,FALSE)</f>
        <v>#N/A</v>
      </c>
      <c r="K36" s="19" t="e">
        <f>VLOOKUP($A36&amp;LEFT($C$19,1),Practices_SubPractices[[#All],[OP]:[NIST CSF XWALK]],8,FALSE)</f>
        <v>#N/A</v>
      </c>
      <c r="L36" s="19" t="e">
        <f>VLOOKUP($A36&amp;LEFT($C$19,1),Practices_SubPractices[[#All],[OP]:[NIST CSF XWALK]],9,FALSE)</f>
        <v>#N/A</v>
      </c>
      <c r="M36" s="20" t="e">
        <f>VLOOKUP($A36&amp;LEFT($C$19,1),Practices_SubPractices[[#All],[OP]:[NIST CSF XWALK]],10,FALSE)</f>
        <v>#N/A</v>
      </c>
      <c r="N36" s="6"/>
      <c r="O36" s="97"/>
      <c r="P36" s="98"/>
      <c r="Q36" s="99"/>
      <c r="R36" s="6"/>
      <c r="S36" s="6"/>
      <c r="T36" s="6"/>
      <c r="U36" s="6"/>
      <c r="V36" s="6"/>
      <c r="W36" s="6"/>
      <c r="X36" s="6"/>
      <c r="Y36" s="6"/>
      <c r="Z36" s="6"/>
      <c r="AA36" s="6"/>
      <c r="AB36" s="6"/>
      <c r="AC36" s="6"/>
      <c r="AD36" s="6"/>
      <c r="AE36" s="6"/>
      <c r="AF36" s="6"/>
      <c r="AG36" s="6"/>
      <c r="AH36" s="6"/>
      <c r="AI36" s="6"/>
      <c r="AJ36" s="6"/>
      <c r="AK36" s="6"/>
      <c r="AL36" s="6"/>
      <c r="AM36" s="6"/>
      <c r="AN36" s="6"/>
      <c r="AO36" s="6"/>
      <c r="AP36" s="6"/>
      <c r="AQ36" s="6"/>
      <c r="AR36" s="6"/>
      <c r="AS36" s="6"/>
      <c r="AT36" s="6"/>
      <c r="AU36" s="6"/>
      <c r="AV36" s="6"/>
      <c r="AW36" s="6"/>
      <c r="AX36" s="6"/>
      <c r="AY36" s="6"/>
      <c r="AZ36" s="6"/>
      <c r="BA36" s="6"/>
      <c r="BB36" s="6"/>
      <c r="BC36" s="6"/>
      <c r="BD36" s="6"/>
      <c r="BE36" s="6"/>
      <c r="BF36" s="6"/>
      <c r="BG36" s="6"/>
      <c r="BH36" s="6"/>
      <c r="BI36" s="6"/>
      <c r="BJ36" s="6"/>
      <c r="BK36" s="6"/>
      <c r="BL36" s="6"/>
      <c r="BM36" s="6"/>
      <c r="BN36" s="6"/>
      <c r="BO36" s="6"/>
      <c r="BP36" s="6"/>
      <c r="BQ36" s="6"/>
      <c r="BR36" s="6"/>
      <c r="BS36" s="6"/>
      <c r="BT36" s="6"/>
      <c r="BU36" s="6"/>
      <c r="BV36" s="6"/>
      <c r="BW36" s="6"/>
      <c r="BX36" s="6"/>
      <c r="BY36" s="6"/>
      <c r="BZ36" s="6"/>
      <c r="CA36" s="6"/>
      <c r="CB36" s="6"/>
      <c r="CC36" s="6"/>
      <c r="CD36" s="6"/>
      <c r="CE36" s="6"/>
      <c r="CF36" s="6"/>
      <c r="CG36" s="6"/>
      <c r="CH36" s="6"/>
      <c r="CI36" s="6"/>
      <c r="CJ36" s="6"/>
      <c r="CK36" s="6"/>
      <c r="CL36" s="6"/>
      <c r="CM36" s="6"/>
      <c r="CN36" s="6"/>
      <c r="CO36" s="6"/>
      <c r="CP36" s="6"/>
      <c r="CQ36" s="6"/>
      <c r="CR36" s="6"/>
      <c r="CS36" s="6"/>
      <c r="CT36" s="6"/>
      <c r="CU36" s="6"/>
      <c r="CV36" s="6"/>
      <c r="CW36" s="6"/>
      <c r="CX36" s="6"/>
      <c r="CY36" s="6"/>
      <c r="CZ36" s="6"/>
      <c r="DA36" s="6"/>
      <c r="DB36" s="6"/>
      <c r="DC36" s="6"/>
      <c r="DD36" s="6"/>
      <c r="DE36" s="6"/>
      <c r="DF36" s="6"/>
      <c r="DG36" s="6"/>
    </row>
    <row r="37" spans="1:111" x14ac:dyDescent="0.35">
      <c r="A37" s="16">
        <v>7</v>
      </c>
      <c r="B37" s="17" t="s">
        <v>6</v>
      </c>
      <c r="C37" s="18" t="str">
        <f t="shared" si="0"/>
        <v/>
      </c>
      <c r="D37" s="15" t="e">
        <f t="shared" si="1"/>
        <v>#N/A</v>
      </c>
      <c r="E37" s="15" t="e">
        <f t="shared" si="2"/>
        <v>#N/A</v>
      </c>
      <c r="F37" s="15" t="e">
        <f t="shared" si="3"/>
        <v>#N/A</v>
      </c>
      <c r="G37" s="15" t="e">
        <f t="shared" si="4"/>
        <v>#N/A</v>
      </c>
      <c r="H37" s="15" t="e">
        <f t="shared" si="5"/>
        <v>#N/A</v>
      </c>
      <c r="I37" s="19" t="e">
        <f>VLOOKUP($A37&amp;LEFT($C$19,1),Practices_SubPractices[[#All],[OP]:[NIST CSF XWALK]],6,FALSE)</f>
        <v>#N/A</v>
      </c>
      <c r="J37" s="19" t="e">
        <f>VLOOKUP($A37&amp;LEFT($C$19,1),Practices_SubPractices[[#All],[OP]:[NIST CSF XWALK]],7,FALSE)</f>
        <v>#N/A</v>
      </c>
      <c r="K37" s="19" t="e">
        <f>VLOOKUP($A37&amp;LEFT($C$19,1),Practices_SubPractices[[#All],[OP]:[NIST CSF XWALK]],8,FALSE)</f>
        <v>#N/A</v>
      </c>
      <c r="L37" s="19" t="e">
        <f>VLOOKUP($A37&amp;LEFT($C$19,1),Practices_SubPractices[[#All],[OP]:[NIST CSF XWALK]],9,FALSE)</f>
        <v>#N/A</v>
      </c>
      <c r="M37" s="20" t="e">
        <f>VLOOKUP($A37&amp;LEFT($C$19,1),Practices_SubPractices[[#All],[OP]:[NIST CSF XWALK]],10,FALSE)</f>
        <v>#N/A</v>
      </c>
      <c r="N37" s="6"/>
      <c r="O37" s="97"/>
      <c r="P37" s="98"/>
      <c r="Q37" s="99"/>
      <c r="R37" s="6"/>
      <c r="S37" s="6"/>
      <c r="T37" s="6"/>
      <c r="U37" s="6"/>
      <c r="V37" s="6"/>
      <c r="W37" s="6"/>
      <c r="X37" s="6"/>
      <c r="Y37" s="6"/>
      <c r="Z37" s="6"/>
      <c r="AA37" s="6"/>
      <c r="AB37" s="6"/>
      <c r="AC37" s="6"/>
      <c r="AD37" s="6"/>
      <c r="AE37" s="6"/>
      <c r="AF37" s="6"/>
      <c r="AG37" s="6"/>
      <c r="AH37" s="6"/>
      <c r="AI37" s="6"/>
      <c r="AJ37" s="6"/>
      <c r="AK37" s="6"/>
      <c r="AL37" s="6"/>
      <c r="AM37" s="6"/>
      <c r="AN37" s="6"/>
      <c r="AO37" s="6"/>
      <c r="AP37" s="6"/>
      <c r="AQ37" s="6"/>
      <c r="AR37" s="6"/>
      <c r="AS37" s="6"/>
      <c r="AT37" s="6"/>
      <c r="AU37" s="6"/>
      <c r="AV37" s="6"/>
      <c r="AW37" s="6"/>
      <c r="AX37" s="6"/>
      <c r="AY37" s="6"/>
      <c r="AZ37" s="6"/>
      <c r="BA37" s="6"/>
      <c r="BB37" s="6"/>
      <c r="BC37" s="6"/>
      <c r="BD37" s="6"/>
      <c r="BE37" s="6"/>
      <c r="BF37" s="6"/>
      <c r="BG37" s="6"/>
      <c r="BH37" s="6"/>
      <c r="BI37" s="6"/>
      <c r="BJ37" s="6"/>
      <c r="BK37" s="6"/>
      <c r="BL37" s="6"/>
      <c r="BM37" s="6"/>
      <c r="BN37" s="6"/>
      <c r="BO37" s="6"/>
      <c r="BP37" s="6"/>
      <c r="BQ37" s="6"/>
      <c r="BR37" s="6"/>
      <c r="BS37" s="6"/>
      <c r="BT37" s="6"/>
      <c r="BU37" s="6"/>
      <c r="BV37" s="6"/>
      <c r="BW37" s="6"/>
      <c r="BX37" s="6"/>
      <c r="BY37" s="6"/>
      <c r="BZ37" s="6"/>
      <c r="CA37" s="6"/>
      <c r="CB37" s="6"/>
      <c r="CC37" s="6"/>
      <c r="CD37" s="6"/>
      <c r="CE37" s="6"/>
      <c r="CF37" s="6"/>
      <c r="CG37" s="6"/>
      <c r="CH37" s="6"/>
      <c r="CI37" s="6"/>
      <c r="CJ37" s="6"/>
      <c r="CK37" s="6"/>
      <c r="CL37" s="6"/>
      <c r="CM37" s="6"/>
      <c r="CN37" s="6"/>
      <c r="CO37" s="6"/>
      <c r="CP37" s="6"/>
      <c r="CQ37" s="6"/>
      <c r="CR37" s="6"/>
      <c r="CS37" s="6"/>
      <c r="CT37" s="6"/>
      <c r="CU37" s="6"/>
      <c r="CV37" s="6"/>
      <c r="CW37" s="6"/>
      <c r="CX37" s="6"/>
      <c r="CY37" s="6"/>
      <c r="CZ37" s="6"/>
      <c r="DA37" s="6"/>
      <c r="DB37" s="6"/>
      <c r="DC37" s="6"/>
      <c r="DD37" s="6"/>
      <c r="DE37" s="6"/>
      <c r="DF37" s="6"/>
      <c r="DG37" s="6"/>
    </row>
    <row r="38" spans="1:111" ht="15" thickBot="1" x14ac:dyDescent="0.4">
      <c r="A38" s="16">
        <v>9</v>
      </c>
      <c r="B38" s="17" t="s">
        <v>8</v>
      </c>
      <c r="C38" s="18" t="str">
        <f t="shared" si="0"/>
        <v/>
      </c>
      <c r="D38" s="15" t="e">
        <f t="shared" si="1"/>
        <v>#N/A</v>
      </c>
      <c r="E38" s="15" t="e">
        <f t="shared" si="2"/>
        <v>#N/A</v>
      </c>
      <c r="F38" s="15" t="e">
        <f t="shared" si="3"/>
        <v>#N/A</v>
      </c>
      <c r="G38" s="15" t="e">
        <f t="shared" si="4"/>
        <v>#N/A</v>
      </c>
      <c r="H38" s="15" t="e">
        <f t="shared" si="5"/>
        <v>#N/A</v>
      </c>
      <c r="I38" s="20" t="e">
        <f>VLOOKUP($A38&amp;LEFT($C$19,1),Practices_SubPractices[[#All],[OP]:[NIST CSF XWALK]],6,FALSE)</f>
        <v>#N/A</v>
      </c>
      <c r="J38" s="20" t="e">
        <f>VLOOKUP($A38&amp;LEFT($C$19,1),Practices_SubPractices[[#All],[OP]:[NIST CSF XWALK]],7,FALSE)</f>
        <v>#N/A</v>
      </c>
      <c r="K38" s="20" t="e">
        <f>VLOOKUP($A38&amp;LEFT($C$19,1),Practices_SubPractices[[#All],[OP]:[NIST CSF XWALK]],8,FALSE)</f>
        <v>#N/A</v>
      </c>
      <c r="L38" s="20" t="e">
        <f>VLOOKUP($A38&amp;LEFT($C$19,1),Practices_SubPractices[[#All],[OP]:[NIST CSF XWALK]],9,FALSE)</f>
        <v>#N/A</v>
      </c>
      <c r="M38" s="20" t="e">
        <f>VLOOKUP($A38&amp;LEFT($C$19,1),Practices_SubPractices[[#All],[OP]:[NIST CSF XWALK]],10,FALSE)</f>
        <v>#N/A</v>
      </c>
      <c r="N38" s="6"/>
      <c r="O38" s="100"/>
      <c r="P38" s="101"/>
      <c r="Q38" s="102"/>
      <c r="R38" s="6"/>
      <c r="S38" s="6"/>
      <c r="T38" s="6"/>
      <c r="U38" s="6"/>
      <c r="V38" s="6"/>
      <c r="W38" s="6"/>
      <c r="X38" s="6"/>
      <c r="Y38" s="6"/>
      <c r="Z38" s="6"/>
      <c r="AA38" s="6"/>
      <c r="AB38" s="6"/>
      <c r="AC38" s="6"/>
      <c r="AD38" s="6"/>
      <c r="AE38" s="6"/>
      <c r="AF38" s="6"/>
      <c r="AG38" s="6"/>
      <c r="AH38" s="6"/>
      <c r="AI38" s="6"/>
      <c r="AJ38" s="6"/>
      <c r="AK38" s="6"/>
      <c r="AL38" s="6"/>
      <c r="AM38" s="6"/>
      <c r="AN38" s="6"/>
      <c r="AO38" s="6"/>
      <c r="AP38" s="6"/>
      <c r="AQ38" s="6"/>
      <c r="AR38" s="6"/>
      <c r="AS38" s="6"/>
      <c r="AT38" s="6"/>
      <c r="AU38" s="6"/>
      <c r="AV38" s="6"/>
      <c r="AW38" s="6"/>
      <c r="AX38" s="6"/>
      <c r="AY38" s="6"/>
      <c r="AZ38" s="6"/>
      <c r="BA38" s="6"/>
      <c r="BB38" s="6"/>
      <c r="BC38" s="6"/>
      <c r="BD38" s="6"/>
      <c r="BE38" s="6"/>
      <c r="BF38" s="6"/>
      <c r="BG38" s="6"/>
      <c r="BH38" s="6"/>
      <c r="BI38" s="6"/>
      <c r="BJ38" s="6"/>
      <c r="BK38" s="6"/>
      <c r="BL38" s="6"/>
      <c r="BM38" s="6"/>
      <c r="BN38" s="6"/>
      <c r="BO38" s="6"/>
      <c r="BP38" s="6"/>
      <c r="BQ38" s="6"/>
      <c r="BR38" s="6"/>
      <c r="BS38" s="6"/>
      <c r="BT38" s="6"/>
      <c r="BU38" s="6"/>
      <c r="BV38" s="6"/>
      <c r="BW38" s="6"/>
      <c r="BX38" s="6"/>
      <c r="BY38" s="6"/>
      <c r="BZ38" s="6"/>
      <c r="CA38" s="6"/>
      <c r="CB38" s="6"/>
      <c r="CC38" s="6"/>
      <c r="CD38" s="6"/>
      <c r="CE38" s="6"/>
      <c r="CF38" s="6"/>
      <c r="CG38" s="6"/>
      <c r="CH38" s="6"/>
      <c r="CI38" s="6"/>
      <c r="CJ38" s="6"/>
      <c r="CK38" s="6"/>
      <c r="CL38" s="6"/>
      <c r="CM38" s="6"/>
      <c r="CN38" s="6"/>
      <c r="CO38" s="6"/>
      <c r="CP38" s="6"/>
      <c r="CQ38" s="6"/>
      <c r="CR38" s="6"/>
      <c r="CS38" s="6"/>
      <c r="CT38" s="6"/>
      <c r="CU38" s="6"/>
      <c r="CV38" s="6"/>
      <c r="CW38" s="6"/>
      <c r="CX38" s="6"/>
      <c r="CY38" s="6"/>
      <c r="CZ38" s="6"/>
      <c r="DA38" s="6"/>
      <c r="DB38" s="6"/>
      <c r="DC38" s="6"/>
      <c r="DD38" s="6"/>
      <c r="DE38" s="6"/>
      <c r="DF38" s="6"/>
      <c r="DG38" s="6"/>
    </row>
    <row r="39" spans="1:111" x14ac:dyDescent="0.35">
      <c r="A39" s="7"/>
      <c r="B39" s="6"/>
      <c r="C39" s="7"/>
      <c r="D39" s="6"/>
      <c r="E39" s="6"/>
      <c r="F39" s="6"/>
      <c r="G39" s="6"/>
      <c r="H39" s="6"/>
      <c r="I39" s="6"/>
      <c r="J39" s="6"/>
      <c r="K39" s="6"/>
      <c r="L39" s="6"/>
      <c r="M39" s="6"/>
      <c r="N39" s="6"/>
      <c r="O39" s="6"/>
      <c r="P39" s="6"/>
      <c r="Q39" s="6"/>
      <c r="R39" s="6"/>
      <c r="S39" s="6"/>
      <c r="T39" s="6"/>
      <c r="U39" s="6"/>
      <c r="V39" s="6"/>
      <c r="W39" s="6"/>
      <c r="X39" s="6"/>
      <c r="Y39" s="6"/>
      <c r="Z39" s="6"/>
      <c r="AA39" s="6"/>
      <c r="AB39" s="6"/>
      <c r="AC39" s="6"/>
      <c r="AD39" s="6"/>
      <c r="AE39" s="6"/>
      <c r="AF39" s="6"/>
      <c r="AG39" s="6"/>
      <c r="AH39" s="6"/>
      <c r="AI39" s="6"/>
      <c r="AJ39" s="6"/>
      <c r="AK39" s="6"/>
      <c r="AL39" s="6"/>
      <c r="AM39" s="6"/>
      <c r="AN39" s="6"/>
      <c r="AO39" s="6"/>
      <c r="AP39" s="6"/>
      <c r="AQ39" s="6"/>
      <c r="AR39" s="6"/>
      <c r="AS39" s="6"/>
      <c r="AT39" s="6"/>
      <c r="AU39" s="6"/>
      <c r="AV39" s="6"/>
      <c r="AW39" s="6"/>
      <c r="AX39" s="6"/>
      <c r="AY39" s="6"/>
      <c r="AZ39" s="6"/>
      <c r="BA39" s="6"/>
      <c r="BB39" s="6"/>
      <c r="BC39" s="6"/>
      <c r="BD39" s="6"/>
      <c r="BE39" s="6"/>
      <c r="BF39" s="6"/>
      <c r="BG39" s="6"/>
      <c r="BH39" s="6"/>
      <c r="BI39" s="6"/>
      <c r="BJ39" s="6"/>
      <c r="BK39" s="6"/>
      <c r="BL39" s="6"/>
      <c r="BM39" s="6"/>
      <c r="BN39" s="6"/>
      <c r="BO39" s="6"/>
      <c r="BP39" s="6"/>
      <c r="BQ39" s="6"/>
      <c r="BR39" s="6"/>
      <c r="BS39" s="6"/>
      <c r="BT39" s="6"/>
      <c r="BU39" s="6"/>
      <c r="BV39" s="6"/>
      <c r="BW39" s="6"/>
      <c r="BX39" s="6"/>
      <c r="BY39" s="6"/>
      <c r="BZ39" s="6"/>
      <c r="CA39" s="6"/>
      <c r="CB39" s="6"/>
      <c r="CC39" s="6"/>
      <c r="CD39" s="6"/>
      <c r="CE39" s="6"/>
      <c r="CF39" s="6"/>
      <c r="CG39" s="6"/>
      <c r="CH39" s="6"/>
      <c r="CI39" s="6"/>
      <c r="CJ39" s="6"/>
      <c r="CK39" s="6"/>
      <c r="CL39" s="6"/>
      <c r="CM39" s="6"/>
      <c r="CN39" s="6"/>
      <c r="CO39" s="6"/>
      <c r="CP39" s="6"/>
      <c r="CQ39" s="6"/>
      <c r="CR39" s="6"/>
      <c r="CS39" s="6"/>
      <c r="CT39" s="6"/>
      <c r="CU39" s="6"/>
      <c r="CV39" s="6"/>
      <c r="CW39" s="6"/>
      <c r="CX39" s="6"/>
      <c r="CY39" s="6"/>
      <c r="CZ39" s="6"/>
      <c r="DA39" s="6"/>
      <c r="DB39" s="6"/>
      <c r="DC39" s="6"/>
      <c r="DD39" s="6"/>
      <c r="DE39" s="6"/>
      <c r="DF39" s="6"/>
      <c r="DG39" s="6"/>
    </row>
    <row r="40" spans="1:111" x14ac:dyDescent="0.35">
      <c r="A40" s="93" t="s">
        <v>305</v>
      </c>
      <c r="B40" s="93"/>
      <c r="C40" s="93"/>
      <c r="D40" s="6"/>
      <c r="E40" s="6"/>
      <c r="F40" s="6"/>
      <c r="G40" s="6"/>
      <c r="H40" s="6"/>
      <c r="I40" s="6"/>
      <c r="J40" s="6"/>
      <c r="K40" s="6"/>
      <c r="L40" s="6"/>
      <c r="M40" s="6"/>
      <c r="N40" s="92" t="s">
        <v>293</v>
      </c>
      <c r="O40" s="92"/>
      <c r="P40" s="92"/>
      <c r="Q40" s="92"/>
      <c r="R40" s="6"/>
      <c r="S40" s="6"/>
      <c r="T40" s="6"/>
      <c r="U40" s="6"/>
      <c r="V40" s="6"/>
      <c r="W40" s="6"/>
      <c r="X40" s="6"/>
      <c r="Y40" s="6"/>
      <c r="Z40" s="6"/>
      <c r="AA40" s="6"/>
      <c r="AB40" s="6"/>
      <c r="AC40" s="6"/>
      <c r="AD40" s="6"/>
      <c r="AE40" s="6"/>
      <c r="AF40" s="6"/>
      <c r="AG40" s="6"/>
      <c r="AH40" s="6"/>
      <c r="AI40" s="6"/>
      <c r="AJ40" s="6"/>
      <c r="AK40" s="6"/>
      <c r="AL40" s="6"/>
      <c r="AM40" s="6"/>
      <c r="AN40" s="6"/>
      <c r="AO40" s="6"/>
      <c r="AP40" s="6"/>
      <c r="AQ40" s="6"/>
      <c r="AR40" s="6"/>
      <c r="AS40" s="6"/>
      <c r="AT40" s="6"/>
      <c r="AU40" s="6"/>
      <c r="AV40" s="6"/>
      <c r="AW40" s="6"/>
      <c r="AX40" s="6"/>
      <c r="AY40" s="6"/>
      <c r="AZ40" s="6"/>
      <c r="BA40" s="6"/>
      <c r="BB40" s="6"/>
      <c r="BC40" s="6"/>
      <c r="BD40" s="6"/>
      <c r="BE40" s="6"/>
      <c r="BF40" s="6"/>
      <c r="BG40" s="6"/>
      <c r="BH40" s="6"/>
      <c r="BI40" s="6"/>
      <c r="BJ40" s="6"/>
      <c r="BK40" s="6"/>
      <c r="BL40" s="6"/>
      <c r="BM40" s="6"/>
      <c r="BN40" s="6"/>
      <c r="BO40" s="6"/>
      <c r="BP40" s="6"/>
      <c r="BQ40" s="6"/>
      <c r="BR40" s="6"/>
      <c r="BS40" s="6"/>
      <c r="BT40" s="6"/>
      <c r="BU40" s="6"/>
      <c r="BV40" s="6"/>
      <c r="BW40" s="6"/>
      <c r="BX40" s="6"/>
      <c r="BY40" s="6"/>
      <c r="BZ40" s="6"/>
      <c r="CA40" s="6"/>
      <c r="CB40" s="6"/>
      <c r="CC40" s="6"/>
      <c r="CD40" s="6"/>
      <c r="CE40" s="6"/>
      <c r="CF40" s="6"/>
      <c r="CG40" s="6"/>
      <c r="CH40" s="6"/>
      <c r="CI40" s="6"/>
      <c r="CJ40" s="6"/>
      <c r="CK40" s="6"/>
      <c r="CL40" s="6"/>
      <c r="CM40" s="6"/>
      <c r="CN40" s="6"/>
      <c r="CO40" s="6"/>
      <c r="CP40" s="6"/>
      <c r="CQ40" s="6"/>
      <c r="CR40" s="6"/>
      <c r="CS40" s="6"/>
      <c r="CT40" s="6"/>
      <c r="CU40" s="6"/>
      <c r="CV40" s="6"/>
      <c r="CW40" s="6"/>
      <c r="CX40" s="6"/>
      <c r="CY40" s="6"/>
      <c r="CZ40" s="6"/>
      <c r="DA40" s="6"/>
      <c r="DB40" s="6"/>
      <c r="DC40" s="6"/>
      <c r="DD40" s="6"/>
      <c r="DE40" s="6"/>
      <c r="DF40" s="6"/>
      <c r="DG40" s="6"/>
    </row>
    <row r="41" spans="1:111" x14ac:dyDescent="0.35">
      <c r="A41" s="25" t="s">
        <v>49</v>
      </c>
      <c r="B41" s="25" t="s">
        <v>306</v>
      </c>
      <c r="C41" s="25" t="s">
        <v>51</v>
      </c>
      <c r="D41" s="26"/>
      <c r="E41" s="26"/>
      <c r="F41" s="26"/>
      <c r="G41" s="26"/>
      <c r="H41" s="26"/>
      <c r="I41" s="26"/>
      <c r="J41" s="26"/>
      <c r="K41" s="26"/>
      <c r="L41" s="26"/>
      <c r="M41" s="26"/>
      <c r="N41" s="30" t="s">
        <v>294</v>
      </c>
      <c r="O41" s="30" t="s">
        <v>295</v>
      </c>
      <c r="P41" s="30" t="s">
        <v>296</v>
      </c>
      <c r="Q41" s="30" t="s">
        <v>297</v>
      </c>
      <c r="R41" s="6"/>
      <c r="S41" s="6"/>
      <c r="T41" s="6"/>
      <c r="U41" s="6"/>
      <c r="V41" s="6"/>
      <c r="W41" s="6"/>
      <c r="X41" s="6"/>
      <c r="Y41" s="6"/>
      <c r="Z41" s="6"/>
      <c r="AA41" s="6"/>
      <c r="AB41" s="6"/>
      <c r="AC41" s="6"/>
      <c r="AD41" s="6"/>
      <c r="AE41" s="6"/>
      <c r="AF41" s="6"/>
      <c r="AG41" s="6"/>
      <c r="AH41" s="6"/>
      <c r="AI41" s="6"/>
      <c r="AJ41" s="6"/>
      <c r="AK41" s="6"/>
      <c r="AL41" s="6"/>
      <c r="AM41" s="6"/>
      <c r="AN41" s="6"/>
      <c r="AO41" s="6"/>
      <c r="AP41" s="6"/>
      <c r="AQ41" s="6"/>
      <c r="AR41" s="6"/>
      <c r="AS41" s="6"/>
      <c r="AT41" s="6"/>
      <c r="AU41" s="6"/>
      <c r="AV41" s="6"/>
      <c r="AW41" s="6"/>
      <c r="AX41" s="6"/>
      <c r="AY41" s="6"/>
      <c r="AZ41" s="6"/>
      <c r="BA41" s="6"/>
      <c r="BB41" s="6"/>
      <c r="BC41" s="6"/>
      <c r="BD41" s="6"/>
      <c r="BE41" s="6"/>
      <c r="BF41" s="6"/>
      <c r="BG41" s="6"/>
      <c r="BH41" s="6"/>
      <c r="BI41" s="6"/>
      <c r="BJ41" s="6"/>
      <c r="BK41" s="6"/>
      <c r="BL41" s="6"/>
      <c r="BM41" s="6"/>
      <c r="BN41" s="6"/>
      <c r="BO41" s="6"/>
      <c r="BP41" s="6"/>
      <c r="BQ41" s="6"/>
      <c r="BR41" s="6"/>
      <c r="BS41" s="6"/>
      <c r="BT41" s="6"/>
      <c r="BU41" s="6"/>
      <c r="BV41" s="6"/>
      <c r="BW41" s="6"/>
      <c r="BX41" s="6"/>
      <c r="BY41" s="6"/>
      <c r="BZ41" s="6"/>
      <c r="CA41" s="6"/>
      <c r="CB41" s="6"/>
      <c r="CC41" s="6"/>
      <c r="CD41" s="6"/>
      <c r="CE41" s="6"/>
      <c r="CF41" s="6"/>
      <c r="CG41" s="6"/>
      <c r="CH41" s="6"/>
      <c r="CI41" s="6"/>
      <c r="CJ41" s="6"/>
      <c r="CK41" s="6"/>
      <c r="CL41" s="6"/>
      <c r="CM41" s="6"/>
      <c r="CN41" s="6"/>
      <c r="CO41" s="6"/>
      <c r="CP41" s="6"/>
      <c r="CQ41" s="6"/>
      <c r="CR41" s="6"/>
      <c r="CS41" s="6"/>
      <c r="CT41" s="6"/>
      <c r="CU41" s="6"/>
      <c r="CV41" s="6"/>
      <c r="CW41" s="6"/>
      <c r="CX41" s="6"/>
      <c r="CY41" s="6"/>
      <c r="CZ41" s="6"/>
      <c r="DA41" s="6"/>
      <c r="DB41" s="6"/>
      <c r="DC41" s="6"/>
      <c r="DD41" s="6"/>
      <c r="DE41" s="6"/>
      <c r="DF41" s="6"/>
      <c r="DG41" s="6"/>
    </row>
    <row r="42" spans="1:111" x14ac:dyDescent="0.35">
      <c r="A42" s="49"/>
      <c r="B42" s="49"/>
      <c r="C42" s="49"/>
    </row>
  </sheetData>
  <sortState xmlns:xlrd2="http://schemas.microsoft.com/office/spreadsheetml/2017/richdata2" ref="A29:M38">
    <sortCondition descending="1" ref="C30"/>
  </sortState>
  <mergeCells count="12">
    <mergeCell ref="I27:M27"/>
    <mergeCell ref="N40:Q40"/>
    <mergeCell ref="A40:C40"/>
    <mergeCell ref="A2:C8"/>
    <mergeCell ref="B11:C11"/>
    <mergeCell ref="B10:C10"/>
    <mergeCell ref="B12:C12"/>
    <mergeCell ref="B13:C13"/>
    <mergeCell ref="B14:C14"/>
    <mergeCell ref="B15:C15"/>
    <mergeCell ref="B16:C16"/>
    <mergeCell ref="O28:Q38"/>
  </mergeCells>
  <dataValidations count="1">
    <dataValidation type="list" allowBlank="1" showInputMessage="1" showErrorMessage="1" sqref="C19" xr:uid="{00000000-0002-0000-0000-000000000000}">
      <formula1>"Small, Medium, Large"</formula1>
    </dataValidation>
  </dataValidations>
  <pageMargins left="0.25" right="0.25" top="0.75" bottom="0.75" header="0.3" footer="0.3"/>
  <pageSetup scale="48" fitToHeight="0" orientation="landscape" horizontalDpi="1200" verticalDpi="1200" r:id="rId1"/>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000-000001000000}">
          <x14:formula1>
            <xm:f>'Threat &amp; Practices Chart'!$F$4:$F$8</xm:f>
          </x14:formula1>
          <xm:sqref>C21:C25</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U135"/>
  <sheetViews>
    <sheetView topLeftCell="A117" workbookViewId="0">
      <selection activeCell="S16" sqref="S16"/>
    </sheetView>
  </sheetViews>
  <sheetFormatPr defaultRowHeight="14.5" x14ac:dyDescent="0.35"/>
  <cols>
    <col min="1" max="1" width="9.1796875" bestFit="1" customWidth="1"/>
    <col min="2" max="2" width="5.453125" bestFit="1" customWidth="1"/>
    <col min="3" max="3" width="6.1796875" bestFit="1" customWidth="1"/>
    <col min="4" max="4" width="6.1796875" customWidth="1"/>
    <col min="5" max="5" width="5" customWidth="1"/>
    <col min="6" max="6" width="8.1796875" style="1" customWidth="1"/>
    <col min="7" max="7" width="60.453125" customWidth="1"/>
    <col min="8" max="8" width="75.81640625" customWidth="1"/>
    <col min="9" max="12" width="6.54296875" bestFit="1" customWidth="1"/>
    <col min="13" max="13" width="6.453125" bestFit="1" customWidth="1"/>
    <col min="14" max="18" width="16.453125" hidden="1" customWidth="1"/>
    <col min="19" max="19" width="39.1796875" customWidth="1"/>
    <col min="20" max="20" width="4.453125" customWidth="1"/>
    <col min="21" max="21" width="12.54296875" bestFit="1" customWidth="1"/>
  </cols>
  <sheetData>
    <row r="1" spans="1:21" s="47" customFormat="1" x14ac:dyDescent="0.35"/>
    <row r="2" spans="1:21" s="47" customFormat="1" ht="14.5" customHeight="1" x14ac:dyDescent="0.35">
      <c r="B2" s="62" t="s">
        <v>374</v>
      </c>
      <c r="C2" s="2"/>
      <c r="D2"/>
      <c r="E2"/>
      <c r="F2"/>
      <c r="G2"/>
      <c r="H2"/>
      <c r="I2" s="54" t="s">
        <v>372</v>
      </c>
      <c r="J2" s="55" t="s">
        <v>270</v>
      </c>
      <c r="K2" s="56"/>
      <c r="L2" s="56"/>
      <c r="M2" s="56"/>
      <c r="N2" s="56"/>
      <c r="O2" s="56"/>
      <c r="P2" s="56"/>
      <c r="Q2" s="56"/>
      <c r="R2" s="56"/>
      <c r="S2" s="57"/>
      <c r="U2" s="63" t="s">
        <v>386</v>
      </c>
    </row>
    <row r="3" spans="1:21" s="47" customFormat="1" ht="14.5" customHeight="1" x14ac:dyDescent="0.35">
      <c r="B3" s="49" t="s">
        <v>375</v>
      </c>
      <c r="C3" s="49" t="s">
        <v>376</v>
      </c>
      <c r="H3" s="53"/>
      <c r="I3" s="52" t="s">
        <v>265</v>
      </c>
      <c r="J3" s="111" t="s">
        <v>271</v>
      </c>
      <c r="K3" s="112"/>
      <c r="L3" s="112"/>
      <c r="M3" s="112"/>
      <c r="N3" s="112"/>
      <c r="O3" s="112"/>
      <c r="P3" s="112"/>
      <c r="Q3" s="112"/>
      <c r="R3" s="112"/>
      <c r="S3" s="113"/>
      <c r="U3" s="48">
        <v>1</v>
      </c>
    </row>
    <row r="4" spans="1:21" s="47" customFormat="1" ht="14.5" customHeight="1" x14ac:dyDescent="0.35">
      <c r="B4" s="49" t="s">
        <v>377</v>
      </c>
      <c r="C4" s="49" t="s">
        <v>378</v>
      </c>
      <c r="H4" s="53"/>
      <c r="I4" s="52" t="s">
        <v>266</v>
      </c>
      <c r="J4" s="111" t="s">
        <v>272</v>
      </c>
      <c r="K4" s="112"/>
      <c r="L4" s="112"/>
      <c r="M4" s="112"/>
      <c r="N4" s="112"/>
      <c r="O4" s="112"/>
      <c r="P4" s="112"/>
      <c r="Q4" s="112"/>
      <c r="R4" s="112"/>
      <c r="S4" s="113"/>
      <c r="U4" s="48">
        <v>2</v>
      </c>
    </row>
    <row r="5" spans="1:21" s="47" customFormat="1" ht="14.5" customHeight="1" x14ac:dyDescent="0.35">
      <c r="B5" s="49" t="s">
        <v>379</v>
      </c>
      <c r="C5" s="49" t="s">
        <v>380</v>
      </c>
      <c r="H5" s="53"/>
      <c r="I5" s="52" t="s">
        <v>267</v>
      </c>
      <c r="J5" s="111" t="s">
        <v>273</v>
      </c>
      <c r="K5" s="112"/>
      <c r="L5" s="112"/>
      <c r="M5" s="112"/>
      <c r="N5" s="112"/>
      <c r="O5" s="112"/>
      <c r="P5" s="112"/>
      <c r="Q5" s="112"/>
      <c r="R5" s="112"/>
      <c r="S5" s="113"/>
      <c r="U5" s="48">
        <v>3</v>
      </c>
    </row>
    <row r="6" spans="1:21" s="47" customFormat="1" ht="14.5" customHeight="1" x14ac:dyDescent="0.35">
      <c r="B6" s="49" t="s">
        <v>381</v>
      </c>
      <c r="C6" s="49" t="s">
        <v>382</v>
      </c>
      <c r="H6" s="53"/>
      <c r="I6" s="52" t="s">
        <v>268</v>
      </c>
      <c r="J6" s="58" t="s">
        <v>274</v>
      </c>
      <c r="K6" s="59"/>
      <c r="L6" s="59"/>
      <c r="M6" s="59"/>
      <c r="N6" s="59"/>
      <c r="O6" s="59"/>
      <c r="P6" s="59"/>
      <c r="Q6" s="59"/>
      <c r="R6" s="59"/>
      <c r="S6" s="60"/>
      <c r="U6" s="48">
        <v>4</v>
      </c>
    </row>
    <row r="7" spans="1:21" s="47" customFormat="1" ht="14.5" customHeight="1" x14ac:dyDescent="0.35">
      <c r="B7" s="49" t="s">
        <v>383</v>
      </c>
      <c r="C7" s="49" t="s">
        <v>384</v>
      </c>
      <c r="H7" s="53"/>
      <c r="I7" s="52" t="s">
        <v>212</v>
      </c>
      <c r="J7" s="58" t="s">
        <v>275</v>
      </c>
      <c r="K7" s="59"/>
      <c r="L7" s="59"/>
      <c r="M7" s="59"/>
      <c r="N7" s="59"/>
      <c r="O7" s="59"/>
      <c r="P7" s="59"/>
      <c r="Q7" s="59"/>
      <c r="R7" s="59"/>
      <c r="S7" s="60"/>
      <c r="U7" s="48">
        <v>5</v>
      </c>
    </row>
    <row r="8" spans="1:21" s="47" customFormat="1" x14ac:dyDescent="0.35">
      <c r="B8" s="49"/>
      <c r="C8" s="49" t="s">
        <v>385</v>
      </c>
      <c r="H8" s="53"/>
      <c r="I8" s="49"/>
      <c r="J8" s="49"/>
      <c r="K8" s="49"/>
      <c r="L8" s="49"/>
      <c r="M8" s="49"/>
      <c r="N8" s="49"/>
      <c r="O8" s="49"/>
      <c r="P8" s="49"/>
      <c r="Q8" s="49"/>
      <c r="R8" s="49"/>
      <c r="S8" s="49"/>
    </row>
    <row r="9" spans="1:21" x14ac:dyDescent="0.35">
      <c r="I9" s="110" t="s">
        <v>373</v>
      </c>
      <c r="J9" s="110"/>
      <c r="K9" s="110"/>
      <c r="L9" s="110"/>
      <c r="M9" s="110"/>
      <c r="N9" s="110"/>
      <c r="O9" s="110"/>
      <c r="P9" s="110"/>
      <c r="Q9" s="110"/>
      <c r="R9" s="110"/>
      <c r="S9" s="110"/>
    </row>
    <row r="10" spans="1:21" x14ac:dyDescent="0.35">
      <c r="A10" s="69" t="s">
        <v>280</v>
      </c>
      <c r="B10" s="70" t="s">
        <v>276</v>
      </c>
      <c r="C10" s="71" t="s">
        <v>277</v>
      </c>
      <c r="D10" s="71" t="s">
        <v>288</v>
      </c>
      <c r="E10" s="71" t="s">
        <v>278</v>
      </c>
      <c r="F10" s="71" t="s">
        <v>49</v>
      </c>
      <c r="G10" s="71" t="s">
        <v>50</v>
      </c>
      <c r="H10" s="71" t="s">
        <v>51</v>
      </c>
      <c r="I10" s="72" t="s">
        <v>265</v>
      </c>
      <c r="J10" s="72" t="s">
        <v>266</v>
      </c>
      <c r="K10" s="72" t="s">
        <v>267</v>
      </c>
      <c r="L10" s="72" t="s">
        <v>268</v>
      </c>
      <c r="M10" s="72" t="s">
        <v>212</v>
      </c>
      <c r="N10" s="72" t="s">
        <v>283</v>
      </c>
      <c r="O10" s="72" t="s">
        <v>284</v>
      </c>
      <c r="P10" s="72" t="s">
        <v>285</v>
      </c>
      <c r="Q10" s="72" t="s">
        <v>286</v>
      </c>
      <c r="R10" s="72" t="s">
        <v>287</v>
      </c>
      <c r="S10" s="71" t="s">
        <v>177</v>
      </c>
    </row>
    <row r="11" spans="1:21" ht="14.5" customHeight="1" x14ac:dyDescent="0.35">
      <c r="A11" s="73">
        <v>1</v>
      </c>
      <c r="B11" s="73">
        <v>1</v>
      </c>
      <c r="C11" s="73" t="s">
        <v>10</v>
      </c>
      <c r="D11" s="73" t="str">
        <f>Practices_SubPractices[[#This Row],[CP]]&amp;LEFT(Practices_SubPractices[[#This Row],[Org]],1)</f>
        <v>1S</v>
      </c>
      <c r="E11" s="73" t="s">
        <v>265</v>
      </c>
      <c r="F11" s="74" t="s">
        <v>13</v>
      </c>
      <c r="G11" s="74" t="s">
        <v>364</v>
      </c>
      <c r="H11" s="74" t="s">
        <v>178</v>
      </c>
      <c r="I11" s="75">
        <v>2</v>
      </c>
      <c r="J11" s="75">
        <v>2</v>
      </c>
      <c r="K11" s="75">
        <v>0</v>
      </c>
      <c r="L11" s="75">
        <v>1</v>
      </c>
      <c r="M11" s="75">
        <v>0</v>
      </c>
      <c r="N11" s="76"/>
      <c r="O11" s="77">
        <f>IF(AND(Practices_SubPractices[CP]=1,Practices_SubPractices[Org]="Small"),SUMIFS(Practices_SubPractices[B],Practices_SubPractices[CP],"1",Practices_SubPractices[Org],"Small"),IF(AND(Practices_SubPractices[CP]=2,Practices_SubPractices[Org]="Small"),SUMIFS(Practices_SubPractices[B],Practices_SubPractices[CP],"2",Practices_SubPractices[Org],"Small"),IF(AND(Practices_SubPractices[CP]=3,Practices_SubPractices[Org]="Small"),SUMIFS(Practices_SubPractices[B],Practices_SubPractices[CP],"3",Practices_SubPractices[Org],"Small"),IF(AND(Practices_SubPractices[CP]=4,Practices_SubPractices[Org]="Small"),SUMIFS(Practices_SubPractices[B],Practices_SubPractices[CP],"4",Practices_SubPractices[Org],"Small"),IF(AND(Practices_SubPractices[CP]=5,Practices_SubPractices[Org]="Small"),SUMIFS(Practices_SubPractices[B],Practices_SubPractices[CP],"5",Practices_SubPractices[Org],"Small"),IF(AND(Practices_SubPractices[CP]=6,Practices_SubPractices[Org]="Small"),SUMIFS(Practices_SubPractices[B],Practices_SubPractices[CP],"6",Practices_SubPractices[Org],"Small"),IF(AND(Practices_SubPractices[CP]=7,Practices_SubPractices[Org] ="Small"),SUMIFS(Practices_SubPractices[B],Practices_SubPractices[CP],"7",Practices_SubPractices[Org],"Small"),IF(AND(Practices_SubPractices[CP]=8,Practices_SubPractices[Org] ="Small"),SUMIFS(Practices_SubPractices[B],Practices_SubPractices[CP],"8",Practices_SubPractices[Org],"Small"),IF(AND(Practices_SubPractices[CP]=9,Practices_SubPractices[Org] ="Small"),SUMIFS(Practices_SubPractices[B],Practices_SubPractices[CP],"9",Practices_SubPractices[Org],"Small"),IF(AND(Practices_SubPractices[CP]=10,Practices_SubPractices[Org] ="Small"),SUMIFS(Practices_SubPractices[B],Practices_SubPractices[CP],"10",Practices_SubPractices[Org],"Small"),IF(AND(Practices_SubPractices[CP]=1,Practices_SubPractices[Org]="Medium"),SUMIFS(Practices_SubPractices[B],Practices_SubPractices[CP],"1",Practices_SubPractices[Org],"Medium"),IF(AND(Practices_SubPractices[CP]=2,Practices_SubPractices[Org]="Medium"),SUMIFS(Practices_SubPractices[B],Practices_SubPractices[CP],"2",Practices_SubPractices[Org],"Medium"),IF(AND(Practices_SubPractices[CP]=3,Practices_SubPractices[Org]="Medium"),SUMIFS(Practices_SubPractices[B],Practices_SubPractices[CP],"3",Practices_SubPractices[Org],"Medium"),IF(AND(Practices_SubPractices[CP]=4,Practices_SubPractices[Org]="Medium"),SUMIFS(Practices_SubPractices[B],Practices_SubPractices[CP],"4",Practices_SubPractices[Org],"Medium"),IF(AND(Practices_SubPractices[CP]=5,Practices_SubPractices[Org]="Medium"),SUMIFS(Practices_SubPractices[B],Practices_SubPractices[CP],"5",Practices_SubPractices[Org],"Medium"),IF(AND(Practices_SubPractices[CP]=6,Practices_SubPractices[Org]="Medium"),SUMIFS(Practices_SubPractices[B],Practices_SubPractices[CP],"6",Practices_SubPractices[Org],"Medium"),IF(AND(Practices_SubPractices[CP]=7,Practices_SubPractices[Org] ="Medium"),SUMIFS(Practices_SubPractices[B],Practices_SubPractices[CP],"7",Practices_SubPractices[Org],"Medium"),IF(AND(Practices_SubPractices[CP]=8,Practices_SubPractices[Org] ="Medium"),SUMIFS(Practices_SubPractices[B],Practices_SubPractices[CP],"8",Practices_SubPractices[Org],"Medium"),IF(AND(Practices_SubPractices[CP]=9,Practices_SubPractices[Org] ="Medium"),SUMIFS(Practices_SubPractices[B],Practices_SubPractices[CP],"9",Practices_SubPractices[Org],"Medium"),IF(AND(Practices_SubPractices[CP]=10,Practices_SubPractices[Org] ="Medium"),SUMIFS(Practices_SubPractices[B],Practices_SubPractices[CP],"10",Practices_SubPractices[Org],"Medium"),IF(AND(Practices_SubPractices[CP]=1,Practices_SubPractices[Org]="Large"),SUMIFS(Practices_SubPractices[B],Practices_SubPractices[CP],"1",Practices_SubPractices[Org],"Large"),IF(AND(Practices_SubPractices[CP]=2,Practices_SubPractices[Org]="Large"),SUMIFS(Practices_SubPractices[B],Practices_SubPractices[CP],"2",Practices_SubPractices[Org],"Large"),IF(AND(Practices_SubPractices[CP]=3,Practices_SubPractices[Org]="Large"),SUMIFS(Practices_SubPractices[B],Practices_SubPractices[CP],"3",Practices_SubPractices[Org],"Large"),IF(AND(Practices_SubPractices[CP]=4,Practices_SubPractices[Org]="Large"),SUMIFS(Practices_SubPractices[B],Practices_SubPractices[CP],"4",Practices_SubPractices[Org],"Large"),IF(AND(Practices_SubPractices[CP]=5,Practices_SubPractices[Org]="Large"),SUMIFS(Practices_SubPractices[B],Practices_SubPractices[CP],"5",Practices_SubPractices[Org],"Large"),IF(AND(Practices_SubPractices[CP]=6,Practices_SubPractices[Org]="Large"),SUMIFS(Practices_SubPractices[B],Practices_SubPractices[CP],"6",Practices_SubPractices[Org],"Large"),IF(AND(Practices_SubPractices[CP]=7,Practices_SubPractices[Org] ="Large"),SUMIFS(Practices_SubPractices[B],Practices_SubPractices[CP],"7",Practices_SubPractices[Org],"Large"),IF(AND(Practices_SubPractices[CP]=8,Practices_SubPractices[Org] ="Large"),SUMIFS(Practices_SubPractices[B],Practices_SubPractices[CP],"8",Practices_SubPractices[Org],"Large"),IF(AND(Practices_SubPractices[CP]=9,Practices_SubPractices[Org] ="Large"),SUMIFS(Practices_SubPractices[B],Practices_SubPractices[CP],"9",Practices_SubPractices[Org],"Large"),IF(AND(Practices_SubPractices[CP]=10,Practices_SubPractices[Org] ="Large"),SUMIFS(Practices_SubPractices[B],Practices_SubPractices[CP],"10",Practices_SubPractices[Org],"Large"),"TBD"))))))))))))))))))))))))))))))</f>
        <v>6</v>
      </c>
      <c r="P11" s="77">
        <f>IF(AND(Practices_SubPractices[CP]=1,Practices_SubPractices[Org]="Small"),SUMIFS(Practices_SubPractices[C],Practices_SubPractices[CP],"1",Practices_SubPractices[Org],"Small"),IF(AND(Practices_SubPractices[CP]=2,Practices_SubPractices[Org]="Small"),SUMIFS(Practices_SubPractices[C],Practices_SubPractices[CP],"2",Practices_SubPractices[Org],"Small"),IF(AND(Practices_SubPractices[CP]=3,Practices_SubPractices[Org]="Small"),SUMIFS(Practices_SubPractices[C],Practices_SubPractices[CP],"3",Practices_SubPractices[Org],"Small"),IF(AND(Practices_SubPractices[CP]=4,Practices_SubPractices[Org]="Small"),SUMIFS(Practices_SubPractices[C],Practices_SubPractices[CP],"4",Practices_SubPractices[Org],"Small"),IF(AND(Practices_SubPractices[CP]=5,Practices_SubPractices[Org]="Small"),SUMIFS(Practices_SubPractices[C],Practices_SubPractices[CP],"5",Practices_SubPractices[Org],"Small"),IF(AND(Practices_SubPractices[CP]=6,Practices_SubPractices[Org]="Small"),SUMIFS(Practices_SubPractices[C],Practices_SubPractices[CP],"6",Practices_SubPractices[Org],"Small"),IF(AND(Practices_SubPractices[CP]=7,Practices_SubPractices[Org] ="Small"),SUMIFS(Practices_SubPractices[C],Practices_SubPractices[CP],"7",Practices_SubPractices[Org],"Small"),IF(AND(Practices_SubPractices[CP]=8,Practices_SubPractices[Org] ="Small"),SUMIFS(Practices_SubPractices[C],Practices_SubPractices[CP],"8",Practices_SubPractices[Org],"Small"),IF(AND(Practices_SubPractices[CP]=9,Practices_SubPractices[Org] ="Small"),SUMIFS(Practices_SubPractices[C],Practices_SubPractices[CP],"9",Practices_SubPractices[Org],"Small"),IF(AND(Practices_SubPractices[CP]=10,Practices_SubPractices[Org] ="Small"),SUMIFS(Practices_SubPractices[C],Practices_SubPractices[CP],"10",Practices_SubPractices[Org],"Small"),IF(AND(Practices_SubPractices[CP]=1,Practices_SubPractices[Org]="Medium"),SUMIFS(Practices_SubPractices[C],Practices_SubPractices[CP],"1",Practices_SubPractices[Org],"Medium"),IF(AND(Practices_SubPractices[CP]=2,Practices_SubPractices[Org]="Medium"),SUMIFS(Practices_SubPractices[C],Practices_SubPractices[CP],"2",Practices_SubPractices[Org],"Medium"),IF(AND(Practices_SubPractices[CP]=3,Practices_SubPractices[Org]="Medium"),SUMIFS(Practices_SubPractices[C],Practices_SubPractices[CP],"3",Practices_SubPractices[Org],"Medium"),IF(AND(Practices_SubPractices[CP]=4,Practices_SubPractices[Org]="Medium"),SUMIFS(Practices_SubPractices[C],Practices_SubPractices[CP],"4",Practices_SubPractices[Org],"Medium"),IF(AND(Practices_SubPractices[CP]=5,Practices_SubPractices[Org]="Medium"),SUMIFS(Practices_SubPractices[C],Practices_SubPractices[CP],"5",Practices_SubPractices[Org],"Medium"),IF(AND(Practices_SubPractices[CP]=6,Practices_SubPractices[Org]="Medium"),SUMIFS(Practices_SubPractices[C],Practices_SubPractices[CP],"6",Practices_SubPractices[Org],"Medium"),IF(AND(Practices_SubPractices[CP]=7,Practices_SubPractices[Org] ="Medium"),SUMIFS(Practices_SubPractices[C],Practices_SubPractices[CP],"7",Practices_SubPractices[Org],"Medium"),IF(AND(Practices_SubPractices[CP]=8,Practices_SubPractices[Org] ="Medium"),SUMIFS(Practices_SubPractices[C],Practices_SubPractices[CP],"8",Practices_SubPractices[Org],"Medium"),IF(AND(Practices_SubPractices[CP]=9,Practices_SubPractices[Org] ="Medium"),SUMIFS(Practices_SubPractices[C],Practices_SubPractices[CP],"9",Practices_SubPractices[Org],"Medium"),IF(AND(Practices_SubPractices[CP]=10,Practices_SubPractices[Org] ="Medium"),SUMIFS(Practices_SubPractices[C],Practices_SubPractices[CP],"10",Practices_SubPractices[Org],"Medium"),IF(AND(Practices_SubPractices[CP]=1,Practices_SubPractices[Org]="Large"),SUMIFS(Practices_SubPractices[C],Practices_SubPractices[CP],"1",Practices_SubPractices[Org],"Large"),IF(AND(Practices_SubPractices[CP]=2,Practices_SubPractices[Org]="Large"),SUMIFS(Practices_SubPractices[C],Practices_SubPractices[CP],"2",Practices_SubPractices[Org],"Large"),IF(AND(Practices_SubPractices[CP]=3,Practices_SubPractices[Org]="Large"),SUMIFS(Practices_SubPractices[C],Practices_SubPractices[CP],"3",Practices_SubPractices[Org],"Large"),IF(AND(Practices_SubPractices[CP]=4,Practices_SubPractices[Org]="Large"),SUMIFS(Practices_SubPractices[C],Practices_SubPractices[CP],"4",Practices_SubPractices[Org],"Large"),IF(AND(Practices_SubPractices[CP]=5,Practices_SubPractices[Org]="Large"),SUMIFS(Practices_SubPractices[C],Practices_SubPractices[CP],"5",Practices_SubPractices[Org],"Large"),IF(AND(Practices_SubPractices[CP]=6,Practices_SubPractices[Org]="Large"),SUMIFS(Practices_SubPractices[C],Practices_SubPractices[CP],"6",Practices_SubPractices[Org],"Large"),IF(AND(Practices_SubPractices[CP]=7,Practices_SubPractices[Org] ="Large"),SUMIFS(Practices_SubPractices[C],Practices_SubPractices[CP],"7",Practices_SubPractices[Org],"Large"),IF(AND(Practices_SubPractices[CP]=8,Practices_SubPractices[Org] ="Large"),SUMIFS(Practices_SubPractices[C],Practices_SubPractices[CP],"8",Practices_SubPractices[Org],"Large"),IF(AND(Practices_SubPractices[CP]=9,Practices_SubPractices[Org] ="Large"),SUMIFS(Practices_SubPractices[C],Practices_SubPractices[CP],"9",Practices_SubPractices[Org],"Large"),IF(AND(Practices_SubPractices[CP]=10,Practices_SubPractices[Org] ="Large"),SUMIFS(Practices_SubPractices[C],Practices_SubPractices[CP],"10",Practices_SubPractices[Org],"Large"),"TBD"))))))))))))))))))))))))))))))</f>
        <v>0</v>
      </c>
      <c r="Q11" s="77">
        <f>IF(AND(Practices_SubPractices[CP]=1,Practices_SubPractices[Org]="Small"),SUMIFS(Practices_SubPractices[D],Practices_SubPractices[CP],"1",Practices_SubPractices[Org],"Small"),IF(AND(Practices_SubPractices[CP]=2,Practices_SubPractices[Org]="Small"),SUMIFS(Practices_SubPractices[D],Practices_SubPractices[CP],"2",Practices_SubPractices[Org],"Small"),IF(AND(Practices_SubPractices[CP]=3,Practices_SubPractices[Org]="Small"),SUMIFS(Practices_SubPractices[D],Practices_SubPractices[CP],"3",Practices_SubPractices[Org],"Small"),IF(AND(Practices_SubPractices[CP]=4,Practices_SubPractices[Org]="Small"),SUMIFS(Practices_SubPractices[D],Practices_SubPractices[CP],"4",Practices_SubPractices[Org],"Small"),IF(AND(Practices_SubPractices[CP]=5,Practices_SubPractices[Org]="Small"),SUMIFS(Practices_SubPractices[D],Practices_SubPractices[CP],"5",Practices_SubPractices[Org],"Small"),IF(AND(Practices_SubPractices[CP]=6,Practices_SubPractices[Org]="Small"),SUMIFS(Practices_SubPractices[D],Practices_SubPractices[CP],"6",Practices_SubPractices[Org],"Small"),IF(AND(Practices_SubPractices[CP]=7,Practices_SubPractices[Org] ="Small"),SUMIFS(Practices_SubPractices[D],Practices_SubPractices[CP],"7",Practices_SubPractices[Org],"Small"),IF(AND(Practices_SubPractices[CP]=8,Practices_SubPractices[Org] ="Small"),SUMIFS(Practices_SubPractices[D],Practices_SubPractices[CP],"8",Practices_SubPractices[Org],"Small"),IF(AND(Practices_SubPractices[CP]=9,Practices_SubPractices[Org] ="Small"),SUMIFS(Practices_SubPractices[D],Practices_SubPractices[CP],"9",Practices_SubPractices[Org],"Small"),IF(AND(Practices_SubPractices[CP]=10,Practices_SubPractices[Org] ="Small"),SUMIFS(Practices_SubPractices[D],Practices_SubPractices[CP],"10",Practices_SubPractices[Org],"Small"),IF(AND(Practices_SubPractices[CP]=1,Practices_SubPractices[Org]="Medium"),SUMIFS(Practices_SubPractices[D],Practices_SubPractices[CP],"1",Practices_SubPractices[Org],"Medium"),IF(AND(Practices_SubPractices[CP]=2,Practices_SubPractices[Org]="Medium"),SUMIFS(Practices_SubPractices[D],Practices_SubPractices[CP],"2",Practices_SubPractices[Org],"Medium"),IF(AND(Practices_SubPractices[CP]=3,Practices_SubPractices[Org]="Medium"),SUMIFS(Practices_SubPractices[D],Practices_SubPractices[CP],"3",Practices_SubPractices[Org],"Medium"),IF(AND(Practices_SubPractices[CP]=4,Practices_SubPractices[Org]="Medium"),SUMIFS(Practices_SubPractices[D],Practices_SubPractices[CP],"4",Practices_SubPractices[Org],"Medium"),IF(AND(Practices_SubPractices[CP]=5,Practices_SubPractices[Org]="Medium"),SUMIFS(Practices_SubPractices[D],Practices_SubPractices[CP],"5",Practices_SubPractices[Org],"Medium"),IF(AND(Practices_SubPractices[CP]=6,Practices_SubPractices[Org]="Medium"),SUMIFS(Practices_SubPractices[D],Practices_SubPractices[CP],"6",Practices_SubPractices[Org],"Medium"),IF(AND(Practices_SubPractices[CP]=7,Practices_SubPractices[Org] ="Medium"),SUMIFS(Practices_SubPractices[D],Practices_SubPractices[CP],"7",Practices_SubPractices[Org],"Medium"),IF(AND(Practices_SubPractices[CP]=8,Practices_SubPractices[Org] ="Medium"),SUMIFS(Practices_SubPractices[D],Practices_SubPractices[CP],"8",Practices_SubPractices[Org],"Medium"),IF(AND(Practices_SubPractices[CP]=9,Practices_SubPractices[Org] ="Medium"),SUMIFS(Practices_SubPractices[D],Practices_SubPractices[CP],"9",Practices_SubPractices[Org],"Medium"),IF(AND(Practices_SubPractices[CP]=10,Practices_SubPractices[Org] ="Medium"),SUMIFS(Practices_SubPractices[D],Practices_SubPractices[CP],"10",Practices_SubPractices[Org],"Medium"),IF(AND(Practices_SubPractices[CP]=1,Practices_SubPractices[Org]="Large"),SUMIFS(Practices_SubPractices[D],Practices_SubPractices[CP],"1",Practices_SubPractices[Org],"Large"),IF(AND(Practices_SubPractices[CP]=2,Practices_SubPractices[Org]="Large"),SUMIFS(Practices_SubPractices[D],Practices_SubPractices[CP],"2",Practices_SubPractices[Org],"Large"),IF(AND(Practices_SubPractices[CP]=3,Practices_SubPractices[Org]="Large"),SUMIFS(Practices_SubPractices[D],Practices_SubPractices[CP],"3",Practices_SubPractices[Org],"Large"),IF(AND(Practices_SubPractices[CP]=4,Practices_SubPractices[Org]="Large"),SUMIFS(Practices_SubPractices[D],Practices_SubPractices[CP],"4",Practices_SubPractices[Org],"Large"),IF(AND(Practices_SubPractices[CP]=5,Practices_SubPractices[Org]="Large"),SUMIFS(Practices_SubPractices[D],Practices_SubPractices[CP],"5",Practices_SubPractices[Org],"Large"),IF(AND(Practices_SubPractices[CP]=6,Practices_SubPractices[Org]="Large"),SUMIFS(Practices_SubPractices[D],Practices_SubPractices[CP],"6",Practices_SubPractices[Org],"Large"),IF(AND(Practices_SubPractices[CP]=7,Practices_SubPractices[Org] ="Large"),SUMIFS(Practices_SubPractices[D],Practices_SubPractices[CP],"7",Practices_SubPractices[Org],"Large"),IF(AND(Practices_SubPractices[CP]=8,Practices_SubPractices[Org] ="Large"),SUMIFS(Practices_SubPractices[D],Practices_SubPractices[CP],"8",Practices_SubPractices[Org],"Large"),IF(AND(Practices_SubPractices[CP]=9,Practices_SubPractices[Org] ="Large"),SUMIFS(Practices_SubPractices[D],Practices_SubPractices[CP],"9",Practices_SubPractices[Org],"Large"),IF(AND(Practices_SubPractices[CP]=10,Practices_SubPractices[Org] ="Large"),SUMIFS(Practices_SubPractices[D],Practices_SubPractices[CP],"10",Practices_SubPractices[Org],"Large"),"TBD"))))))))))))))))))))))))))))))</f>
        <v>3</v>
      </c>
      <c r="R11" s="77">
        <f>IF(AND(Practices_SubPractices[CP]=1,Practices_SubPractices[Org]="Small"),SUMIFS(Practices_SubPractices[E],Practices_SubPractices[CP],"1",Practices_SubPractices[Org],"Small"),IF(AND(Practices_SubPractices[CP]=2,Practices_SubPractices[Org]="Small"),SUMIFS(Practices_SubPractices[E],Practices_SubPractices[CP],"2",Practices_SubPractices[Org],"Small"),IF(AND(Practices_SubPractices[CP]=3,Practices_SubPractices[Org]="Small"),SUMIFS(Practices_SubPractices[E],Practices_SubPractices[CP],"3",Practices_SubPractices[Org],"Small"),IF(AND(Practices_SubPractices[CP]=4,Practices_SubPractices[Org]="Small"),SUMIFS(Practices_SubPractices[E],Practices_SubPractices[CP],"4",Practices_SubPractices[Org],"Small"),IF(AND(Practices_SubPractices[CP]=5,Practices_SubPractices[Org]="Small"),SUMIFS(Practices_SubPractices[E],Practices_SubPractices[CP],"5",Practices_SubPractices[Org],"Small"),IF(AND(Practices_SubPractices[CP]=6,Practices_SubPractices[Org]="Small"),SUMIFS(Practices_SubPractices[E],Practices_SubPractices[CP],"6",Practices_SubPractices[Org],"Small"),IF(AND(Practices_SubPractices[CP]=7,Practices_SubPractices[Org] ="Small"),SUMIFS(Practices_SubPractices[E],Practices_SubPractices[CP],"7",Practices_SubPractices[Org],"Small"),IF(AND(Practices_SubPractices[CP]=8,Practices_SubPractices[Org] ="Small"),SUMIFS(Practices_SubPractices[E],Practices_SubPractices[CP],"8",Practices_SubPractices[Org],"Small"),IF(AND(Practices_SubPractices[CP]=9,Practices_SubPractices[Org] ="Small"),SUMIFS(Practices_SubPractices[E],Practices_SubPractices[CP],"9",Practices_SubPractices[Org],"Small"),IF(AND(Practices_SubPractices[CP]=10,Practices_SubPractices[Org] ="Small"),SUMIFS(Practices_SubPractices[E],Practices_SubPractices[CP],"10",Practices_SubPractices[Org],"Small"),IF(AND(Practices_SubPractices[CP]=1,Practices_SubPractices[Org]="Medium"),SUMIFS(Practices_SubPractices[E],Practices_SubPractices[CP],"1",Practices_SubPractices[Org],"Medium"),IF(AND(Practices_SubPractices[CP]=2,Practices_SubPractices[Org]="Medium"),SUMIFS(Practices_SubPractices[E],Practices_SubPractices[CP],"2",Practices_SubPractices[Org],"Medium"),IF(AND(Practices_SubPractices[CP]=3,Practices_SubPractices[Org]="Medium"),SUMIFS(Practices_SubPractices[E],Practices_SubPractices[CP],"3",Practices_SubPractices[Org],"Medium"),IF(AND(Practices_SubPractices[CP]=4,Practices_SubPractices[Org]="Medium"),SUMIFS(Practices_SubPractices[E],Practices_SubPractices[CP],"4",Practices_SubPractices[Org],"Medium"),IF(AND(Practices_SubPractices[CP]=5,Practices_SubPractices[Org]="Medium"),SUMIFS(Practices_SubPractices[E],Practices_SubPractices[CP],"5",Practices_SubPractices[Org],"Medium"),IF(AND(Practices_SubPractices[CP]=6,Practices_SubPractices[Org]="Medium"),SUMIFS(Practices_SubPractices[E],Practices_SubPractices[CP],"6",Practices_SubPractices[Org],"Medium"),IF(AND(Practices_SubPractices[CP]=7,Practices_SubPractices[Org] ="Medium"),SUMIFS(Practices_SubPractices[E],Practices_SubPractices[CP],"7",Practices_SubPractices[Org],"Medium"),IF(AND(Practices_SubPractices[CP]=8,Practices_SubPractices[Org] ="Medium"),SUMIFS(Practices_SubPractices[E],Practices_SubPractices[CP],"8",Practices_SubPractices[Org],"Medium"),IF(AND(Practices_SubPractices[CP]=9,Practices_SubPractices[Org] ="Medium"),SUMIFS(Practices_SubPractices[E],Practices_SubPractices[CP],"9",Practices_SubPractices[Org],"Medium"),IF(AND(Practices_SubPractices[CP]=10,Practices_SubPractices[Org] ="Medium"),SUMIFS(Practices_SubPractices[E],Practices_SubPractices[CP],"10",Practices_SubPractices[Org],"Medium"),IF(AND(Practices_SubPractices[CP]=1,Practices_SubPractices[Org]="Large"),SUMIFS(Practices_SubPractices[E],Practices_SubPractices[CP],"1",Practices_SubPractices[Org],"Large"),IF(AND(Practices_SubPractices[CP]=2,Practices_SubPractices[Org]="Large"),SUMIFS(Practices_SubPractices[E],Practices_SubPractices[CP],"2",Practices_SubPractices[Org],"Large"),IF(AND(Practices_SubPractices[CP]=3,Practices_SubPractices[Org]="Large"),SUMIFS(Practices_SubPractices[E],Practices_SubPractices[CP],"3",Practices_SubPractices[Org],"Large"),IF(AND(Practices_SubPractices[CP]=4,Practices_SubPractices[Org]="Large"),SUMIFS(Practices_SubPractices[E],Practices_SubPractices[CP],"4",Practices_SubPractices[Org],"Large"),IF(AND(Practices_SubPractices[CP]=5,Practices_SubPractices[Org]="Large"),SUMIFS(Practices_SubPractices[E],Practices_SubPractices[CP],"5",Practices_SubPractices[Org],"Large"),IF(AND(Practices_SubPractices[CP]=6,Practices_SubPractices[Org]="Large"),SUMIFS(Practices_SubPractices[E],Practices_SubPractices[CP],"6",Practices_SubPractices[Org],"Large"),IF(AND(Practices_SubPractices[CP]=7,Practices_SubPractices[Org] ="Large"),SUMIFS(Practices_SubPractices[E],Practices_SubPractices[CP],"7",Practices_SubPractices[Org],"Large"),IF(AND(Practices_SubPractices[CP]=8,Practices_SubPractices[Org] ="Large"),SUMIFS(Practices_SubPractices[E],Practices_SubPractices[CP],"8",Practices_SubPractices[Org],"Large"),IF(AND(Practices_SubPractices[CP]=9,Practices_SubPractices[Org] ="Large"),SUMIFS(Practices_SubPractices[E],Practices_SubPractices[CP],"9",Practices_SubPractices[Org],"Large"),IF(AND(Practices_SubPractices[CP]=10,Practices_SubPractices[Org] ="Large"),SUMIFS(Practices_SubPractices[E],Practices_SubPractices[CP],"10",Practices_SubPractices[Org],"Large"),"TBD"))))))))))))))))))))))))))))))</f>
        <v>0</v>
      </c>
      <c r="S11" s="84" t="s">
        <v>387</v>
      </c>
    </row>
    <row r="12" spans="1:21" ht="14.5" customHeight="1" x14ac:dyDescent="0.35">
      <c r="A12" s="73">
        <v>2</v>
      </c>
      <c r="B12" s="73">
        <v>1</v>
      </c>
      <c r="C12" s="73" t="s">
        <v>10</v>
      </c>
      <c r="D12" s="73" t="str">
        <f>Practices_SubPractices[[#This Row],[CP]]&amp;LEFT(Practices_SubPractices[[#This Row],[Org]],1)</f>
        <v>1S</v>
      </c>
      <c r="E12" s="73" t="s">
        <v>266</v>
      </c>
      <c r="F12" s="74" t="s">
        <v>20</v>
      </c>
      <c r="G12" s="74" t="s">
        <v>21</v>
      </c>
      <c r="H12" s="74" t="s">
        <v>180</v>
      </c>
      <c r="I12" s="75">
        <v>2</v>
      </c>
      <c r="J12" s="75">
        <v>2</v>
      </c>
      <c r="K12" s="75">
        <v>0</v>
      </c>
      <c r="L12" s="75">
        <v>1</v>
      </c>
      <c r="M12" s="75">
        <v>0</v>
      </c>
      <c r="N12" s="76"/>
      <c r="O12" s="77">
        <f>IF(AND(Practices_SubPractices[CP]=1,Practices_SubPractices[Org]="Small"),SUMIFS(Practices_SubPractices[B],Practices_SubPractices[CP],"1",Practices_SubPractices[Org],"Small"),IF(AND(Practices_SubPractices[CP]=2,Practices_SubPractices[Org]="Small"),SUMIFS(Practices_SubPractices[B],Practices_SubPractices[CP],"2",Practices_SubPractices[Org],"Small"),IF(AND(Practices_SubPractices[CP]=3,Practices_SubPractices[Org]="Small"),SUMIFS(Practices_SubPractices[B],Practices_SubPractices[CP],"3",Practices_SubPractices[Org],"Small"),IF(AND(Practices_SubPractices[CP]=4,Practices_SubPractices[Org]="Small"),SUMIFS(Practices_SubPractices[B],Practices_SubPractices[CP],"4",Practices_SubPractices[Org],"Small"),IF(AND(Practices_SubPractices[CP]=5,Practices_SubPractices[Org]="Small"),SUMIFS(Practices_SubPractices[B],Practices_SubPractices[CP],"5",Practices_SubPractices[Org],"Small"),IF(AND(Practices_SubPractices[CP]=6,Practices_SubPractices[Org]="Small"),SUMIFS(Practices_SubPractices[B],Practices_SubPractices[CP],"6",Practices_SubPractices[Org],"Small"),IF(AND(Practices_SubPractices[CP]=7,Practices_SubPractices[Org] ="Small"),SUMIFS(Practices_SubPractices[B],Practices_SubPractices[CP],"7",Practices_SubPractices[Org],"Small"),IF(AND(Practices_SubPractices[CP]=8,Practices_SubPractices[Org] ="Small"),SUMIFS(Practices_SubPractices[B],Practices_SubPractices[CP],"8",Practices_SubPractices[Org],"Small"),IF(AND(Practices_SubPractices[CP]=9,Practices_SubPractices[Org] ="Small"),SUMIFS(Practices_SubPractices[B],Practices_SubPractices[CP],"9",Practices_SubPractices[Org],"Small"),IF(AND(Practices_SubPractices[CP]=10,Practices_SubPractices[Org] ="Small"),SUMIFS(Practices_SubPractices[B],Practices_SubPractices[CP],"10",Practices_SubPractices[Org],"Small"),IF(AND(Practices_SubPractices[CP]=1,Practices_SubPractices[Org]="Medium"),SUMIFS(Practices_SubPractices[B],Practices_SubPractices[CP],"1",Practices_SubPractices[Org],"Medium"),IF(AND(Practices_SubPractices[CP]=2,Practices_SubPractices[Org]="Medium"),SUMIFS(Practices_SubPractices[B],Practices_SubPractices[CP],"2",Practices_SubPractices[Org],"Medium"),IF(AND(Practices_SubPractices[CP]=3,Practices_SubPractices[Org]="Medium"),SUMIFS(Practices_SubPractices[B],Practices_SubPractices[CP],"3",Practices_SubPractices[Org],"Medium"),IF(AND(Practices_SubPractices[CP]=4,Practices_SubPractices[Org]="Medium"),SUMIFS(Practices_SubPractices[B],Practices_SubPractices[CP],"4",Practices_SubPractices[Org],"Medium"),IF(AND(Practices_SubPractices[CP]=5,Practices_SubPractices[Org]="Medium"),SUMIFS(Practices_SubPractices[B],Practices_SubPractices[CP],"5",Practices_SubPractices[Org],"Medium"),IF(AND(Practices_SubPractices[CP]=6,Practices_SubPractices[Org]="Medium"),SUMIFS(Practices_SubPractices[B],Practices_SubPractices[CP],"6",Practices_SubPractices[Org],"Medium"),IF(AND(Practices_SubPractices[CP]=7,Practices_SubPractices[Org] ="Medium"),SUMIFS(Practices_SubPractices[B],Practices_SubPractices[CP],"7",Practices_SubPractices[Org],"Medium"),IF(AND(Practices_SubPractices[CP]=8,Practices_SubPractices[Org] ="Medium"),SUMIFS(Practices_SubPractices[B],Practices_SubPractices[CP],"8",Practices_SubPractices[Org],"Medium"),IF(AND(Practices_SubPractices[CP]=9,Practices_SubPractices[Org] ="Medium"),SUMIFS(Practices_SubPractices[B],Practices_SubPractices[CP],"9",Practices_SubPractices[Org],"Medium"),IF(AND(Practices_SubPractices[CP]=10,Practices_SubPractices[Org] ="Medium"),SUMIFS(Practices_SubPractices[B],Practices_SubPractices[CP],"10",Practices_SubPractices[Org],"Medium"),IF(AND(Practices_SubPractices[CP]=1,Practices_SubPractices[Org]="Large"),SUMIFS(Practices_SubPractices[B],Practices_SubPractices[CP],"1",Practices_SubPractices[Org],"Large"),IF(AND(Practices_SubPractices[CP]=2,Practices_SubPractices[Org]="Large"),SUMIFS(Practices_SubPractices[B],Practices_SubPractices[CP],"2",Practices_SubPractices[Org],"Large"),IF(AND(Practices_SubPractices[CP]=3,Practices_SubPractices[Org]="Large"),SUMIFS(Practices_SubPractices[B],Practices_SubPractices[CP],"3",Practices_SubPractices[Org],"Large"),IF(AND(Practices_SubPractices[CP]=4,Practices_SubPractices[Org]="Large"),SUMIFS(Practices_SubPractices[B],Practices_SubPractices[CP],"4",Practices_SubPractices[Org],"Large"),IF(AND(Practices_SubPractices[CP]=5,Practices_SubPractices[Org]="Large"),SUMIFS(Practices_SubPractices[B],Practices_SubPractices[CP],"5",Practices_SubPractices[Org],"Large"),IF(AND(Practices_SubPractices[CP]=6,Practices_SubPractices[Org]="Large"),SUMIFS(Practices_SubPractices[B],Practices_SubPractices[CP],"6",Practices_SubPractices[Org],"Large"),IF(AND(Practices_SubPractices[CP]=7,Practices_SubPractices[Org] ="Large"),SUMIFS(Practices_SubPractices[B],Practices_SubPractices[CP],"7",Practices_SubPractices[Org],"Large"),IF(AND(Practices_SubPractices[CP]=8,Practices_SubPractices[Org] ="Large"),SUMIFS(Practices_SubPractices[B],Practices_SubPractices[CP],"8",Practices_SubPractices[Org],"Large"),IF(AND(Practices_SubPractices[CP]=9,Practices_SubPractices[Org] ="Large"),SUMIFS(Practices_SubPractices[B],Practices_SubPractices[CP],"9",Practices_SubPractices[Org],"Large"),IF(AND(Practices_SubPractices[CP]=10,Practices_SubPractices[Org] ="Large"),SUMIFS(Practices_SubPractices[B],Practices_SubPractices[CP],"10",Practices_SubPractices[Org],"Large"),"TBD"))))))))))))))))))))))))))))))</f>
        <v>6</v>
      </c>
      <c r="P12" s="77">
        <f>IF(AND(Practices_SubPractices[CP]=1,Practices_SubPractices[Org]="Small"),SUMIFS(Practices_SubPractices[C],Practices_SubPractices[CP],"1",Practices_SubPractices[Org],"Small"),IF(AND(Practices_SubPractices[CP]=2,Practices_SubPractices[Org]="Small"),SUMIFS(Practices_SubPractices[C],Practices_SubPractices[CP],"2",Practices_SubPractices[Org],"Small"),IF(AND(Practices_SubPractices[CP]=3,Practices_SubPractices[Org]="Small"),SUMIFS(Practices_SubPractices[C],Practices_SubPractices[CP],"3",Practices_SubPractices[Org],"Small"),IF(AND(Practices_SubPractices[CP]=4,Practices_SubPractices[Org]="Small"),SUMIFS(Practices_SubPractices[C],Practices_SubPractices[CP],"4",Practices_SubPractices[Org],"Small"),IF(AND(Practices_SubPractices[CP]=5,Practices_SubPractices[Org]="Small"),SUMIFS(Practices_SubPractices[C],Practices_SubPractices[CP],"5",Practices_SubPractices[Org],"Small"),IF(AND(Practices_SubPractices[CP]=6,Practices_SubPractices[Org]="Small"),SUMIFS(Practices_SubPractices[C],Practices_SubPractices[CP],"6",Practices_SubPractices[Org],"Small"),IF(AND(Practices_SubPractices[CP]=7,Practices_SubPractices[Org] ="Small"),SUMIFS(Practices_SubPractices[C],Practices_SubPractices[CP],"7",Practices_SubPractices[Org],"Small"),IF(AND(Practices_SubPractices[CP]=8,Practices_SubPractices[Org] ="Small"),SUMIFS(Practices_SubPractices[C],Practices_SubPractices[CP],"8",Practices_SubPractices[Org],"Small"),IF(AND(Practices_SubPractices[CP]=9,Practices_SubPractices[Org] ="Small"),SUMIFS(Practices_SubPractices[C],Practices_SubPractices[CP],"9",Practices_SubPractices[Org],"Small"),IF(AND(Practices_SubPractices[CP]=10,Practices_SubPractices[Org] ="Small"),SUMIFS(Practices_SubPractices[C],Practices_SubPractices[CP],"10",Practices_SubPractices[Org],"Small"),IF(AND(Practices_SubPractices[CP]=1,Practices_SubPractices[Org]="Medium"),SUMIFS(Practices_SubPractices[C],Practices_SubPractices[CP],"1",Practices_SubPractices[Org],"Medium"),IF(AND(Practices_SubPractices[CP]=2,Practices_SubPractices[Org]="Medium"),SUMIFS(Practices_SubPractices[C],Practices_SubPractices[CP],"2",Practices_SubPractices[Org],"Medium"),IF(AND(Practices_SubPractices[CP]=3,Practices_SubPractices[Org]="Medium"),SUMIFS(Practices_SubPractices[C],Practices_SubPractices[CP],"3",Practices_SubPractices[Org],"Medium"),IF(AND(Practices_SubPractices[CP]=4,Practices_SubPractices[Org]="Medium"),SUMIFS(Practices_SubPractices[C],Practices_SubPractices[CP],"4",Practices_SubPractices[Org],"Medium"),IF(AND(Practices_SubPractices[CP]=5,Practices_SubPractices[Org]="Medium"),SUMIFS(Practices_SubPractices[C],Practices_SubPractices[CP],"5",Practices_SubPractices[Org],"Medium"),IF(AND(Practices_SubPractices[CP]=6,Practices_SubPractices[Org]="Medium"),SUMIFS(Practices_SubPractices[C],Practices_SubPractices[CP],"6",Practices_SubPractices[Org],"Medium"),IF(AND(Practices_SubPractices[CP]=7,Practices_SubPractices[Org] ="Medium"),SUMIFS(Practices_SubPractices[C],Practices_SubPractices[CP],"7",Practices_SubPractices[Org],"Medium"),IF(AND(Practices_SubPractices[CP]=8,Practices_SubPractices[Org] ="Medium"),SUMIFS(Practices_SubPractices[C],Practices_SubPractices[CP],"8",Practices_SubPractices[Org],"Medium"),IF(AND(Practices_SubPractices[CP]=9,Practices_SubPractices[Org] ="Medium"),SUMIFS(Practices_SubPractices[C],Practices_SubPractices[CP],"9",Practices_SubPractices[Org],"Medium"),IF(AND(Practices_SubPractices[CP]=10,Practices_SubPractices[Org] ="Medium"),SUMIFS(Practices_SubPractices[C],Practices_SubPractices[CP],"10",Practices_SubPractices[Org],"Medium"),IF(AND(Practices_SubPractices[CP]=1,Practices_SubPractices[Org]="Large"),SUMIFS(Practices_SubPractices[C],Practices_SubPractices[CP],"1",Practices_SubPractices[Org],"Large"),IF(AND(Practices_SubPractices[CP]=2,Practices_SubPractices[Org]="Large"),SUMIFS(Practices_SubPractices[C],Practices_SubPractices[CP],"2",Practices_SubPractices[Org],"Large"),IF(AND(Practices_SubPractices[CP]=3,Practices_SubPractices[Org]="Large"),SUMIFS(Practices_SubPractices[C],Practices_SubPractices[CP],"3",Practices_SubPractices[Org],"Large"),IF(AND(Practices_SubPractices[CP]=4,Practices_SubPractices[Org]="Large"),SUMIFS(Practices_SubPractices[C],Practices_SubPractices[CP],"4",Practices_SubPractices[Org],"Large"),IF(AND(Practices_SubPractices[CP]=5,Practices_SubPractices[Org]="Large"),SUMIFS(Practices_SubPractices[C],Practices_SubPractices[CP],"5",Practices_SubPractices[Org],"Large"),IF(AND(Practices_SubPractices[CP]=6,Practices_SubPractices[Org]="Large"),SUMIFS(Practices_SubPractices[C],Practices_SubPractices[CP],"6",Practices_SubPractices[Org],"Large"),IF(AND(Practices_SubPractices[CP]=7,Practices_SubPractices[Org] ="Large"),SUMIFS(Practices_SubPractices[C],Practices_SubPractices[CP],"7",Practices_SubPractices[Org],"Large"),IF(AND(Practices_SubPractices[CP]=8,Practices_SubPractices[Org] ="Large"),SUMIFS(Practices_SubPractices[C],Practices_SubPractices[CP],"8",Practices_SubPractices[Org],"Large"),IF(AND(Practices_SubPractices[CP]=9,Practices_SubPractices[Org] ="Large"),SUMIFS(Practices_SubPractices[C],Practices_SubPractices[CP],"9",Practices_SubPractices[Org],"Large"),IF(AND(Practices_SubPractices[CP]=10,Practices_SubPractices[Org] ="Large"),SUMIFS(Practices_SubPractices[C],Practices_SubPractices[CP],"10",Practices_SubPractices[Org],"Large"),"TBD"))))))))))))))))))))))))))))))</f>
        <v>0</v>
      </c>
      <c r="Q12" s="77">
        <f>IF(AND(Practices_SubPractices[CP]=1,Practices_SubPractices[Org]="Small"),SUMIFS(Practices_SubPractices[D],Practices_SubPractices[CP],"1",Practices_SubPractices[Org],"Small"),IF(AND(Practices_SubPractices[CP]=2,Practices_SubPractices[Org]="Small"),SUMIFS(Practices_SubPractices[D],Practices_SubPractices[CP],"2",Practices_SubPractices[Org],"Small"),IF(AND(Practices_SubPractices[CP]=3,Practices_SubPractices[Org]="Small"),SUMIFS(Practices_SubPractices[D],Practices_SubPractices[CP],"3",Practices_SubPractices[Org],"Small"),IF(AND(Practices_SubPractices[CP]=4,Practices_SubPractices[Org]="Small"),SUMIFS(Practices_SubPractices[D],Practices_SubPractices[CP],"4",Practices_SubPractices[Org],"Small"),IF(AND(Practices_SubPractices[CP]=5,Practices_SubPractices[Org]="Small"),SUMIFS(Practices_SubPractices[D],Practices_SubPractices[CP],"5",Practices_SubPractices[Org],"Small"),IF(AND(Practices_SubPractices[CP]=6,Practices_SubPractices[Org]="Small"),SUMIFS(Practices_SubPractices[D],Practices_SubPractices[CP],"6",Practices_SubPractices[Org],"Small"),IF(AND(Practices_SubPractices[CP]=7,Practices_SubPractices[Org] ="Small"),SUMIFS(Practices_SubPractices[D],Practices_SubPractices[CP],"7",Practices_SubPractices[Org],"Small"),IF(AND(Practices_SubPractices[CP]=8,Practices_SubPractices[Org] ="Small"),SUMIFS(Practices_SubPractices[D],Practices_SubPractices[CP],"8",Practices_SubPractices[Org],"Small"),IF(AND(Practices_SubPractices[CP]=9,Practices_SubPractices[Org] ="Small"),SUMIFS(Practices_SubPractices[D],Practices_SubPractices[CP],"9",Practices_SubPractices[Org],"Small"),IF(AND(Practices_SubPractices[CP]=10,Practices_SubPractices[Org] ="Small"),SUMIFS(Practices_SubPractices[D],Practices_SubPractices[CP],"10",Practices_SubPractices[Org],"Small"),IF(AND(Practices_SubPractices[CP]=1,Practices_SubPractices[Org]="Medium"),SUMIFS(Practices_SubPractices[D],Practices_SubPractices[CP],"1",Practices_SubPractices[Org],"Medium"),IF(AND(Practices_SubPractices[CP]=2,Practices_SubPractices[Org]="Medium"),SUMIFS(Practices_SubPractices[D],Practices_SubPractices[CP],"2",Practices_SubPractices[Org],"Medium"),IF(AND(Practices_SubPractices[CP]=3,Practices_SubPractices[Org]="Medium"),SUMIFS(Practices_SubPractices[D],Practices_SubPractices[CP],"3",Practices_SubPractices[Org],"Medium"),IF(AND(Practices_SubPractices[CP]=4,Practices_SubPractices[Org]="Medium"),SUMIFS(Practices_SubPractices[D],Practices_SubPractices[CP],"4",Practices_SubPractices[Org],"Medium"),IF(AND(Practices_SubPractices[CP]=5,Practices_SubPractices[Org]="Medium"),SUMIFS(Practices_SubPractices[D],Practices_SubPractices[CP],"5",Practices_SubPractices[Org],"Medium"),IF(AND(Practices_SubPractices[CP]=6,Practices_SubPractices[Org]="Medium"),SUMIFS(Practices_SubPractices[D],Practices_SubPractices[CP],"6",Practices_SubPractices[Org],"Medium"),IF(AND(Practices_SubPractices[CP]=7,Practices_SubPractices[Org] ="Medium"),SUMIFS(Practices_SubPractices[D],Practices_SubPractices[CP],"7",Practices_SubPractices[Org],"Medium"),IF(AND(Practices_SubPractices[CP]=8,Practices_SubPractices[Org] ="Medium"),SUMIFS(Practices_SubPractices[D],Practices_SubPractices[CP],"8",Practices_SubPractices[Org],"Medium"),IF(AND(Practices_SubPractices[CP]=9,Practices_SubPractices[Org] ="Medium"),SUMIFS(Practices_SubPractices[D],Practices_SubPractices[CP],"9",Practices_SubPractices[Org],"Medium"),IF(AND(Practices_SubPractices[CP]=10,Practices_SubPractices[Org] ="Medium"),SUMIFS(Practices_SubPractices[D],Practices_SubPractices[CP],"10",Practices_SubPractices[Org],"Medium"),IF(AND(Practices_SubPractices[CP]=1,Practices_SubPractices[Org]="Large"),SUMIFS(Practices_SubPractices[D],Practices_SubPractices[CP],"1",Practices_SubPractices[Org],"Large"),IF(AND(Practices_SubPractices[CP]=2,Practices_SubPractices[Org]="Large"),SUMIFS(Practices_SubPractices[D],Practices_SubPractices[CP],"2",Practices_SubPractices[Org],"Large"),IF(AND(Practices_SubPractices[CP]=3,Practices_SubPractices[Org]="Large"),SUMIFS(Practices_SubPractices[D],Practices_SubPractices[CP],"3",Practices_SubPractices[Org],"Large"),IF(AND(Practices_SubPractices[CP]=4,Practices_SubPractices[Org]="Large"),SUMIFS(Practices_SubPractices[D],Practices_SubPractices[CP],"4",Practices_SubPractices[Org],"Large"),IF(AND(Practices_SubPractices[CP]=5,Practices_SubPractices[Org]="Large"),SUMIFS(Practices_SubPractices[D],Practices_SubPractices[CP],"5",Practices_SubPractices[Org],"Large"),IF(AND(Practices_SubPractices[CP]=6,Practices_SubPractices[Org]="Large"),SUMIFS(Practices_SubPractices[D],Practices_SubPractices[CP],"6",Practices_SubPractices[Org],"Large"),IF(AND(Practices_SubPractices[CP]=7,Practices_SubPractices[Org] ="Large"),SUMIFS(Practices_SubPractices[D],Practices_SubPractices[CP],"7",Practices_SubPractices[Org],"Large"),IF(AND(Practices_SubPractices[CP]=8,Practices_SubPractices[Org] ="Large"),SUMIFS(Practices_SubPractices[D],Practices_SubPractices[CP],"8",Practices_SubPractices[Org],"Large"),IF(AND(Practices_SubPractices[CP]=9,Practices_SubPractices[Org] ="Large"),SUMIFS(Practices_SubPractices[D],Practices_SubPractices[CP],"9",Practices_SubPractices[Org],"Large"),IF(AND(Practices_SubPractices[CP]=10,Practices_SubPractices[Org] ="Large"),SUMIFS(Practices_SubPractices[D],Practices_SubPractices[CP],"10",Practices_SubPractices[Org],"Large"),"TBD"))))))))))))))))))))))))))))))</f>
        <v>3</v>
      </c>
      <c r="R12" s="77">
        <f>IF(AND(Practices_SubPractices[CP]=1,Practices_SubPractices[Org]="Small"),SUMIFS(Practices_SubPractices[E],Practices_SubPractices[CP],"1",Practices_SubPractices[Org],"Small"),IF(AND(Practices_SubPractices[CP]=2,Practices_SubPractices[Org]="Small"),SUMIFS(Practices_SubPractices[E],Practices_SubPractices[CP],"2",Practices_SubPractices[Org],"Small"),IF(AND(Practices_SubPractices[CP]=3,Practices_SubPractices[Org]="Small"),SUMIFS(Practices_SubPractices[E],Practices_SubPractices[CP],"3",Practices_SubPractices[Org],"Small"),IF(AND(Practices_SubPractices[CP]=4,Practices_SubPractices[Org]="Small"),SUMIFS(Practices_SubPractices[E],Practices_SubPractices[CP],"4",Practices_SubPractices[Org],"Small"),IF(AND(Practices_SubPractices[CP]=5,Practices_SubPractices[Org]="Small"),SUMIFS(Practices_SubPractices[E],Practices_SubPractices[CP],"5",Practices_SubPractices[Org],"Small"),IF(AND(Practices_SubPractices[CP]=6,Practices_SubPractices[Org]="Small"),SUMIFS(Practices_SubPractices[E],Practices_SubPractices[CP],"6",Practices_SubPractices[Org],"Small"),IF(AND(Practices_SubPractices[CP]=7,Practices_SubPractices[Org] ="Small"),SUMIFS(Practices_SubPractices[E],Practices_SubPractices[CP],"7",Practices_SubPractices[Org],"Small"),IF(AND(Practices_SubPractices[CP]=8,Practices_SubPractices[Org] ="Small"),SUMIFS(Practices_SubPractices[E],Practices_SubPractices[CP],"8",Practices_SubPractices[Org],"Small"),IF(AND(Practices_SubPractices[CP]=9,Practices_SubPractices[Org] ="Small"),SUMIFS(Practices_SubPractices[E],Practices_SubPractices[CP],"9",Practices_SubPractices[Org],"Small"),IF(AND(Practices_SubPractices[CP]=10,Practices_SubPractices[Org] ="Small"),SUMIFS(Practices_SubPractices[E],Practices_SubPractices[CP],"10",Practices_SubPractices[Org],"Small"),IF(AND(Practices_SubPractices[CP]=1,Practices_SubPractices[Org]="Medium"),SUMIFS(Practices_SubPractices[E],Practices_SubPractices[CP],"1",Practices_SubPractices[Org],"Medium"),IF(AND(Practices_SubPractices[CP]=2,Practices_SubPractices[Org]="Medium"),SUMIFS(Practices_SubPractices[E],Practices_SubPractices[CP],"2",Practices_SubPractices[Org],"Medium"),IF(AND(Practices_SubPractices[CP]=3,Practices_SubPractices[Org]="Medium"),SUMIFS(Practices_SubPractices[E],Practices_SubPractices[CP],"3",Practices_SubPractices[Org],"Medium"),IF(AND(Practices_SubPractices[CP]=4,Practices_SubPractices[Org]="Medium"),SUMIFS(Practices_SubPractices[E],Practices_SubPractices[CP],"4",Practices_SubPractices[Org],"Medium"),IF(AND(Practices_SubPractices[CP]=5,Practices_SubPractices[Org]="Medium"),SUMIFS(Practices_SubPractices[E],Practices_SubPractices[CP],"5",Practices_SubPractices[Org],"Medium"),IF(AND(Practices_SubPractices[CP]=6,Practices_SubPractices[Org]="Medium"),SUMIFS(Practices_SubPractices[E],Practices_SubPractices[CP],"6",Practices_SubPractices[Org],"Medium"),IF(AND(Practices_SubPractices[CP]=7,Practices_SubPractices[Org] ="Medium"),SUMIFS(Practices_SubPractices[E],Practices_SubPractices[CP],"7",Practices_SubPractices[Org],"Medium"),IF(AND(Practices_SubPractices[CP]=8,Practices_SubPractices[Org] ="Medium"),SUMIFS(Practices_SubPractices[E],Practices_SubPractices[CP],"8",Practices_SubPractices[Org],"Medium"),IF(AND(Practices_SubPractices[CP]=9,Practices_SubPractices[Org] ="Medium"),SUMIFS(Practices_SubPractices[E],Practices_SubPractices[CP],"9",Practices_SubPractices[Org],"Medium"),IF(AND(Practices_SubPractices[CP]=10,Practices_SubPractices[Org] ="Medium"),SUMIFS(Practices_SubPractices[E],Practices_SubPractices[CP],"10",Practices_SubPractices[Org],"Medium"),IF(AND(Practices_SubPractices[CP]=1,Practices_SubPractices[Org]="Large"),SUMIFS(Practices_SubPractices[E],Practices_SubPractices[CP],"1",Practices_SubPractices[Org],"Large"),IF(AND(Practices_SubPractices[CP]=2,Practices_SubPractices[Org]="Large"),SUMIFS(Practices_SubPractices[E],Practices_SubPractices[CP],"2",Practices_SubPractices[Org],"Large"),IF(AND(Practices_SubPractices[CP]=3,Practices_SubPractices[Org]="Large"),SUMIFS(Practices_SubPractices[E],Practices_SubPractices[CP],"3",Practices_SubPractices[Org],"Large"),IF(AND(Practices_SubPractices[CP]=4,Practices_SubPractices[Org]="Large"),SUMIFS(Practices_SubPractices[E],Practices_SubPractices[CP],"4",Practices_SubPractices[Org],"Large"),IF(AND(Practices_SubPractices[CP]=5,Practices_SubPractices[Org]="Large"),SUMIFS(Practices_SubPractices[E],Practices_SubPractices[CP],"5",Practices_SubPractices[Org],"Large"),IF(AND(Practices_SubPractices[CP]=6,Practices_SubPractices[Org]="Large"),SUMIFS(Practices_SubPractices[E],Practices_SubPractices[CP],"6",Practices_SubPractices[Org],"Large"),IF(AND(Practices_SubPractices[CP]=7,Practices_SubPractices[Org] ="Large"),SUMIFS(Practices_SubPractices[E],Practices_SubPractices[CP],"7",Practices_SubPractices[Org],"Large"),IF(AND(Practices_SubPractices[CP]=8,Practices_SubPractices[Org] ="Large"),SUMIFS(Practices_SubPractices[E],Practices_SubPractices[CP],"8",Practices_SubPractices[Org],"Large"),IF(AND(Practices_SubPractices[CP]=9,Practices_SubPractices[Org] ="Large"),SUMIFS(Practices_SubPractices[E],Practices_SubPractices[CP],"9",Practices_SubPractices[Org],"Large"),IF(AND(Practices_SubPractices[CP]=10,Practices_SubPractices[Org] ="Large"),SUMIFS(Practices_SubPractices[E],Practices_SubPractices[CP],"10",Practices_SubPractices[Org],"Large"),"TBD"))))))))))))))))))))))))))))))</f>
        <v>0</v>
      </c>
      <c r="S12" s="84" t="s">
        <v>388</v>
      </c>
    </row>
    <row r="13" spans="1:21" ht="14.5" customHeight="1" x14ac:dyDescent="0.35">
      <c r="A13" s="73">
        <v>3</v>
      </c>
      <c r="B13" s="73">
        <v>1</v>
      </c>
      <c r="C13" s="73" t="s">
        <v>10</v>
      </c>
      <c r="D13" s="73" t="str">
        <f>Practices_SubPractices[[#This Row],[CP]]&amp;LEFT(Practices_SubPractices[[#This Row],[Org]],1)</f>
        <v>1S</v>
      </c>
      <c r="E13" s="73" t="s">
        <v>267</v>
      </c>
      <c r="F13" s="74" t="s">
        <v>22</v>
      </c>
      <c r="G13" s="74" t="s">
        <v>23</v>
      </c>
      <c r="H13" s="74" t="s">
        <v>181</v>
      </c>
      <c r="I13" s="75">
        <v>2</v>
      </c>
      <c r="J13" s="75">
        <v>2</v>
      </c>
      <c r="K13" s="75">
        <v>0</v>
      </c>
      <c r="L13" s="75">
        <v>1</v>
      </c>
      <c r="M13" s="75">
        <v>0</v>
      </c>
      <c r="N13" s="76"/>
      <c r="O13" s="77">
        <f>IF(AND(Practices_SubPractices[CP]=1,Practices_SubPractices[Org]="Small"),SUMIFS(Practices_SubPractices[B],Practices_SubPractices[CP],"1",Practices_SubPractices[Org],"Small"),IF(AND(Practices_SubPractices[CP]=2,Practices_SubPractices[Org]="Small"),SUMIFS(Practices_SubPractices[B],Practices_SubPractices[CP],"2",Practices_SubPractices[Org],"Small"),IF(AND(Practices_SubPractices[CP]=3,Practices_SubPractices[Org]="Small"),SUMIFS(Practices_SubPractices[B],Practices_SubPractices[CP],"3",Practices_SubPractices[Org],"Small"),IF(AND(Practices_SubPractices[CP]=4,Practices_SubPractices[Org]="Small"),SUMIFS(Practices_SubPractices[B],Practices_SubPractices[CP],"4",Practices_SubPractices[Org],"Small"),IF(AND(Practices_SubPractices[CP]=5,Practices_SubPractices[Org]="Small"),SUMIFS(Practices_SubPractices[B],Practices_SubPractices[CP],"5",Practices_SubPractices[Org],"Small"),IF(AND(Practices_SubPractices[CP]=6,Practices_SubPractices[Org]="Small"),SUMIFS(Practices_SubPractices[B],Practices_SubPractices[CP],"6",Practices_SubPractices[Org],"Small"),IF(AND(Practices_SubPractices[CP]=7,Practices_SubPractices[Org] ="Small"),SUMIFS(Practices_SubPractices[B],Practices_SubPractices[CP],"7",Practices_SubPractices[Org],"Small"),IF(AND(Practices_SubPractices[CP]=8,Practices_SubPractices[Org] ="Small"),SUMIFS(Practices_SubPractices[B],Practices_SubPractices[CP],"8",Practices_SubPractices[Org],"Small"),IF(AND(Practices_SubPractices[CP]=9,Practices_SubPractices[Org] ="Small"),SUMIFS(Practices_SubPractices[B],Practices_SubPractices[CP],"9",Practices_SubPractices[Org],"Small"),IF(AND(Practices_SubPractices[CP]=10,Practices_SubPractices[Org] ="Small"),SUMIFS(Practices_SubPractices[B],Practices_SubPractices[CP],"10",Practices_SubPractices[Org],"Small"),IF(AND(Practices_SubPractices[CP]=1,Practices_SubPractices[Org]="Medium"),SUMIFS(Practices_SubPractices[B],Practices_SubPractices[CP],"1",Practices_SubPractices[Org],"Medium"),IF(AND(Practices_SubPractices[CP]=2,Practices_SubPractices[Org]="Medium"),SUMIFS(Practices_SubPractices[B],Practices_SubPractices[CP],"2",Practices_SubPractices[Org],"Medium"),IF(AND(Practices_SubPractices[CP]=3,Practices_SubPractices[Org]="Medium"),SUMIFS(Practices_SubPractices[B],Practices_SubPractices[CP],"3",Practices_SubPractices[Org],"Medium"),IF(AND(Practices_SubPractices[CP]=4,Practices_SubPractices[Org]="Medium"),SUMIFS(Practices_SubPractices[B],Practices_SubPractices[CP],"4",Practices_SubPractices[Org],"Medium"),IF(AND(Practices_SubPractices[CP]=5,Practices_SubPractices[Org]="Medium"),SUMIFS(Practices_SubPractices[B],Practices_SubPractices[CP],"5",Practices_SubPractices[Org],"Medium"),IF(AND(Practices_SubPractices[CP]=6,Practices_SubPractices[Org]="Medium"),SUMIFS(Practices_SubPractices[B],Practices_SubPractices[CP],"6",Practices_SubPractices[Org],"Medium"),IF(AND(Practices_SubPractices[CP]=7,Practices_SubPractices[Org] ="Medium"),SUMIFS(Practices_SubPractices[B],Practices_SubPractices[CP],"7",Practices_SubPractices[Org],"Medium"),IF(AND(Practices_SubPractices[CP]=8,Practices_SubPractices[Org] ="Medium"),SUMIFS(Practices_SubPractices[B],Practices_SubPractices[CP],"8",Practices_SubPractices[Org],"Medium"),IF(AND(Practices_SubPractices[CP]=9,Practices_SubPractices[Org] ="Medium"),SUMIFS(Practices_SubPractices[B],Practices_SubPractices[CP],"9",Practices_SubPractices[Org],"Medium"),IF(AND(Practices_SubPractices[CP]=10,Practices_SubPractices[Org] ="Medium"),SUMIFS(Practices_SubPractices[B],Practices_SubPractices[CP],"10",Practices_SubPractices[Org],"Medium"),IF(AND(Practices_SubPractices[CP]=1,Practices_SubPractices[Org]="Large"),SUMIFS(Practices_SubPractices[B],Practices_SubPractices[CP],"1",Practices_SubPractices[Org],"Large"),IF(AND(Practices_SubPractices[CP]=2,Practices_SubPractices[Org]="Large"),SUMIFS(Practices_SubPractices[B],Practices_SubPractices[CP],"2",Practices_SubPractices[Org],"Large"),IF(AND(Practices_SubPractices[CP]=3,Practices_SubPractices[Org]="Large"),SUMIFS(Practices_SubPractices[B],Practices_SubPractices[CP],"3",Practices_SubPractices[Org],"Large"),IF(AND(Practices_SubPractices[CP]=4,Practices_SubPractices[Org]="Large"),SUMIFS(Practices_SubPractices[B],Practices_SubPractices[CP],"4",Practices_SubPractices[Org],"Large"),IF(AND(Practices_SubPractices[CP]=5,Practices_SubPractices[Org]="Large"),SUMIFS(Practices_SubPractices[B],Practices_SubPractices[CP],"5",Practices_SubPractices[Org],"Large"),IF(AND(Practices_SubPractices[CP]=6,Practices_SubPractices[Org]="Large"),SUMIFS(Practices_SubPractices[B],Practices_SubPractices[CP],"6",Practices_SubPractices[Org],"Large"),IF(AND(Practices_SubPractices[CP]=7,Practices_SubPractices[Org] ="Large"),SUMIFS(Practices_SubPractices[B],Practices_SubPractices[CP],"7",Practices_SubPractices[Org],"Large"),IF(AND(Practices_SubPractices[CP]=8,Practices_SubPractices[Org] ="Large"),SUMIFS(Practices_SubPractices[B],Practices_SubPractices[CP],"8",Practices_SubPractices[Org],"Large"),IF(AND(Practices_SubPractices[CP]=9,Practices_SubPractices[Org] ="Large"),SUMIFS(Practices_SubPractices[B],Practices_SubPractices[CP],"9",Practices_SubPractices[Org],"Large"),IF(AND(Practices_SubPractices[CP]=10,Practices_SubPractices[Org] ="Large"),SUMIFS(Practices_SubPractices[B],Practices_SubPractices[CP],"10",Practices_SubPractices[Org],"Large"),"TBD"))))))))))))))))))))))))))))))</f>
        <v>6</v>
      </c>
      <c r="P13" s="77">
        <f>IF(AND(Practices_SubPractices[CP]=1,Practices_SubPractices[Org]="Small"),SUMIFS(Practices_SubPractices[C],Practices_SubPractices[CP],"1",Practices_SubPractices[Org],"Small"),IF(AND(Practices_SubPractices[CP]=2,Practices_SubPractices[Org]="Small"),SUMIFS(Practices_SubPractices[C],Practices_SubPractices[CP],"2",Practices_SubPractices[Org],"Small"),IF(AND(Practices_SubPractices[CP]=3,Practices_SubPractices[Org]="Small"),SUMIFS(Practices_SubPractices[C],Practices_SubPractices[CP],"3",Practices_SubPractices[Org],"Small"),IF(AND(Practices_SubPractices[CP]=4,Practices_SubPractices[Org]="Small"),SUMIFS(Practices_SubPractices[C],Practices_SubPractices[CP],"4",Practices_SubPractices[Org],"Small"),IF(AND(Practices_SubPractices[CP]=5,Practices_SubPractices[Org]="Small"),SUMIFS(Practices_SubPractices[C],Practices_SubPractices[CP],"5",Practices_SubPractices[Org],"Small"),IF(AND(Practices_SubPractices[CP]=6,Practices_SubPractices[Org]="Small"),SUMIFS(Practices_SubPractices[C],Practices_SubPractices[CP],"6",Practices_SubPractices[Org],"Small"),IF(AND(Practices_SubPractices[CP]=7,Practices_SubPractices[Org] ="Small"),SUMIFS(Practices_SubPractices[C],Practices_SubPractices[CP],"7",Practices_SubPractices[Org],"Small"),IF(AND(Practices_SubPractices[CP]=8,Practices_SubPractices[Org] ="Small"),SUMIFS(Practices_SubPractices[C],Practices_SubPractices[CP],"8",Practices_SubPractices[Org],"Small"),IF(AND(Practices_SubPractices[CP]=9,Practices_SubPractices[Org] ="Small"),SUMIFS(Practices_SubPractices[C],Practices_SubPractices[CP],"9",Practices_SubPractices[Org],"Small"),IF(AND(Practices_SubPractices[CP]=10,Practices_SubPractices[Org] ="Small"),SUMIFS(Practices_SubPractices[C],Practices_SubPractices[CP],"10",Practices_SubPractices[Org],"Small"),IF(AND(Practices_SubPractices[CP]=1,Practices_SubPractices[Org]="Medium"),SUMIFS(Practices_SubPractices[C],Practices_SubPractices[CP],"1",Practices_SubPractices[Org],"Medium"),IF(AND(Practices_SubPractices[CP]=2,Practices_SubPractices[Org]="Medium"),SUMIFS(Practices_SubPractices[C],Practices_SubPractices[CP],"2",Practices_SubPractices[Org],"Medium"),IF(AND(Practices_SubPractices[CP]=3,Practices_SubPractices[Org]="Medium"),SUMIFS(Practices_SubPractices[C],Practices_SubPractices[CP],"3",Practices_SubPractices[Org],"Medium"),IF(AND(Practices_SubPractices[CP]=4,Practices_SubPractices[Org]="Medium"),SUMIFS(Practices_SubPractices[C],Practices_SubPractices[CP],"4",Practices_SubPractices[Org],"Medium"),IF(AND(Practices_SubPractices[CP]=5,Practices_SubPractices[Org]="Medium"),SUMIFS(Practices_SubPractices[C],Practices_SubPractices[CP],"5",Practices_SubPractices[Org],"Medium"),IF(AND(Practices_SubPractices[CP]=6,Practices_SubPractices[Org]="Medium"),SUMIFS(Practices_SubPractices[C],Practices_SubPractices[CP],"6",Practices_SubPractices[Org],"Medium"),IF(AND(Practices_SubPractices[CP]=7,Practices_SubPractices[Org] ="Medium"),SUMIFS(Practices_SubPractices[C],Practices_SubPractices[CP],"7",Practices_SubPractices[Org],"Medium"),IF(AND(Practices_SubPractices[CP]=8,Practices_SubPractices[Org] ="Medium"),SUMIFS(Practices_SubPractices[C],Practices_SubPractices[CP],"8",Practices_SubPractices[Org],"Medium"),IF(AND(Practices_SubPractices[CP]=9,Practices_SubPractices[Org] ="Medium"),SUMIFS(Practices_SubPractices[C],Practices_SubPractices[CP],"9",Practices_SubPractices[Org],"Medium"),IF(AND(Practices_SubPractices[CP]=10,Practices_SubPractices[Org] ="Medium"),SUMIFS(Practices_SubPractices[C],Practices_SubPractices[CP],"10",Practices_SubPractices[Org],"Medium"),IF(AND(Practices_SubPractices[CP]=1,Practices_SubPractices[Org]="Large"),SUMIFS(Practices_SubPractices[C],Practices_SubPractices[CP],"1",Practices_SubPractices[Org],"Large"),IF(AND(Practices_SubPractices[CP]=2,Practices_SubPractices[Org]="Large"),SUMIFS(Practices_SubPractices[C],Practices_SubPractices[CP],"2",Practices_SubPractices[Org],"Large"),IF(AND(Practices_SubPractices[CP]=3,Practices_SubPractices[Org]="Large"),SUMIFS(Practices_SubPractices[C],Practices_SubPractices[CP],"3",Practices_SubPractices[Org],"Large"),IF(AND(Practices_SubPractices[CP]=4,Practices_SubPractices[Org]="Large"),SUMIFS(Practices_SubPractices[C],Practices_SubPractices[CP],"4",Practices_SubPractices[Org],"Large"),IF(AND(Practices_SubPractices[CP]=5,Practices_SubPractices[Org]="Large"),SUMIFS(Practices_SubPractices[C],Practices_SubPractices[CP],"5",Practices_SubPractices[Org],"Large"),IF(AND(Practices_SubPractices[CP]=6,Practices_SubPractices[Org]="Large"),SUMIFS(Practices_SubPractices[C],Practices_SubPractices[CP],"6",Practices_SubPractices[Org],"Large"),IF(AND(Practices_SubPractices[CP]=7,Practices_SubPractices[Org] ="Large"),SUMIFS(Practices_SubPractices[C],Practices_SubPractices[CP],"7",Practices_SubPractices[Org],"Large"),IF(AND(Practices_SubPractices[CP]=8,Practices_SubPractices[Org] ="Large"),SUMIFS(Practices_SubPractices[C],Practices_SubPractices[CP],"8",Practices_SubPractices[Org],"Large"),IF(AND(Practices_SubPractices[CP]=9,Practices_SubPractices[Org] ="Large"),SUMIFS(Practices_SubPractices[C],Practices_SubPractices[CP],"9",Practices_SubPractices[Org],"Large"),IF(AND(Practices_SubPractices[CP]=10,Practices_SubPractices[Org] ="Large"),SUMIFS(Practices_SubPractices[C],Practices_SubPractices[CP],"10",Practices_SubPractices[Org],"Large"),"TBD"))))))))))))))))))))))))))))))</f>
        <v>0</v>
      </c>
      <c r="Q13" s="77">
        <f>IF(AND(Practices_SubPractices[CP]=1,Practices_SubPractices[Org]="Small"),SUMIFS(Practices_SubPractices[D],Practices_SubPractices[CP],"1",Practices_SubPractices[Org],"Small"),IF(AND(Practices_SubPractices[CP]=2,Practices_SubPractices[Org]="Small"),SUMIFS(Practices_SubPractices[D],Practices_SubPractices[CP],"2",Practices_SubPractices[Org],"Small"),IF(AND(Practices_SubPractices[CP]=3,Practices_SubPractices[Org]="Small"),SUMIFS(Practices_SubPractices[D],Practices_SubPractices[CP],"3",Practices_SubPractices[Org],"Small"),IF(AND(Practices_SubPractices[CP]=4,Practices_SubPractices[Org]="Small"),SUMIFS(Practices_SubPractices[D],Practices_SubPractices[CP],"4",Practices_SubPractices[Org],"Small"),IF(AND(Practices_SubPractices[CP]=5,Practices_SubPractices[Org]="Small"),SUMIFS(Practices_SubPractices[D],Practices_SubPractices[CP],"5",Practices_SubPractices[Org],"Small"),IF(AND(Practices_SubPractices[CP]=6,Practices_SubPractices[Org]="Small"),SUMIFS(Practices_SubPractices[D],Practices_SubPractices[CP],"6",Practices_SubPractices[Org],"Small"),IF(AND(Practices_SubPractices[CP]=7,Practices_SubPractices[Org] ="Small"),SUMIFS(Practices_SubPractices[D],Practices_SubPractices[CP],"7",Practices_SubPractices[Org],"Small"),IF(AND(Practices_SubPractices[CP]=8,Practices_SubPractices[Org] ="Small"),SUMIFS(Practices_SubPractices[D],Practices_SubPractices[CP],"8",Practices_SubPractices[Org],"Small"),IF(AND(Practices_SubPractices[CP]=9,Practices_SubPractices[Org] ="Small"),SUMIFS(Practices_SubPractices[D],Practices_SubPractices[CP],"9",Practices_SubPractices[Org],"Small"),IF(AND(Practices_SubPractices[CP]=10,Practices_SubPractices[Org] ="Small"),SUMIFS(Practices_SubPractices[D],Practices_SubPractices[CP],"10",Practices_SubPractices[Org],"Small"),IF(AND(Practices_SubPractices[CP]=1,Practices_SubPractices[Org]="Medium"),SUMIFS(Practices_SubPractices[D],Practices_SubPractices[CP],"1",Practices_SubPractices[Org],"Medium"),IF(AND(Practices_SubPractices[CP]=2,Practices_SubPractices[Org]="Medium"),SUMIFS(Practices_SubPractices[D],Practices_SubPractices[CP],"2",Practices_SubPractices[Org],"Medium"),IF(AND(Practices_SubPractices[CP]=3,Practices_SubPractices[Org]="Medium"),SUMIFS(Practices_SubPractices[D],Practices_SubPractices[CP],"3",Practices_SubPractices[Org],"Medium"),IF(AND(Practices_SubPractices[CP]=4,Practices_SubPractices[Org]="Medium"),SUMIFS(Practices_SubPractices[D],Practices_SubPractices[CP],"4",Practices_SubPractices[Org],"Medium"),IF(AND(Practices_SubPractices[CP]=5,Practices_SubPractices[Org]="Medium"),SUMIFS(Practices_SubPractices[D],Practices_SubPractices[CP],"5",Practices_SubPractices[Org],"Medium"),IF(AND(Practices_SubPractices[CP]=6,Practices_SubPractices[Org]="Medium"),SUMIFS(Practices_SubPractices[D],Practices_SubPractices[CP],"6",Practices_SubPractices[Org],"Medium"),IF(AND(Practices_SubPractices[CP]=7,Practices_SubPractices[Org] ="Medium"),SUMIFS(Practices_SubPractices[D],Practices_SubPractices[CP],"7",Practices_SubPractices[Org],"Medium"),IF(AND(Practices_SubPractices[CP]=8,Practices_SubPractices[Org] ="Medium"),SUMIFS(Practices_SubPractices[D],Practices_SubPractices[CP],"8",Practices_SubPractices[Org],"Medium"),IF(AND(Practices_SubPractices[CP]=9,Practices_SubPractices[Org] ="Medium"),SUMIFS(Practices_SubPractices[D],Practices_SubPractices[CP],"9",Practices_SubPractices[Org],"Medium"),IF(AND(Practices_SubPractices[CP]=10,Practices_SubPractices[Org] ="Medium"),SUMIFS(Practices_SubPractices[D],Practices_SubPractices[CP],"10",Practices_SubPractices[Org],"Medium"),IF(AND(Practices_SubPractices[CP]=1,Practices_SubPractices[Org]="Large"),SUMIFS(Practices_SubPractices[D],Practices_SubPractices[CP],"1",Practices_SubPractices[Org],"Large"),IF(AND(Practices_SubPractices[CP]=2,Practices_SubPractices[Org]="Large"),SUMIFS(Practices_SubPractices[D],Practices_SubPractices[CP],"2",Practices_SubPractices[Org],"Large"),IF(AND(Practices_SubPractices[CP]=3,Practices_SubPractices[Org]="Large"),SUMIFS(Practices_SubPractices[D],Practices_SubPractices[CP],"3",Practices_SubPractices[Org],"Large"),IF(AND(Practices_SubPractices[CP]=4,Practices_SubPractices[Org]="Large"),SUMIFS(Practices_SubPractices[D],Practices_SubPractices[CP],"4",Practices_SubPractices[Org],"Large"),IF(AND(Practices_SubPractices[CP]=5,Practices_SubPractices[Org]="Large"),SUMIFS(Practices_SubPractices[D],Practices_SubPractices[CP],"5",Practices_SubPractices[Org],"Large"),IF(AND(Practices_SubPractices[CP]=6,Practices_SubPractices[Org]="Large"),SUMIFS(Practices_SubPractices[D],Practices_SubPractices[CP],"6",Practices_SubPractices[Org],"Large"),IF(AND(Practices_SubPractices[CP]=7,Practices_SubPractices[Org] ="Large"),SUMIFS(Practices_SubPractices[D],Practices_SubPractices[CP],"7",Practices_SubPractices[Org],"Large"),IF(AND(Practices_SubPractices[CP]=8,Practices_SubPractices[Org] ="Large"),SUMIFS(Practices_SubPractices[D],Practices_SubPractices[CP],"8",Practices_SubPractices[Org],"Large"),IF(AND(Practices_SubPractices[CP]=9,Practices_SubPractices[Org] ="Large"),SUMIFS(Practices_SubPractices[D],Practices_SubPractices[CP],"9",Practices_SubPractices[Org],"Large"),IF(AND(Practices_SubPractices[CP]=10,Practices_SubPractices[Org] ="Large"),SUMIFS(Practices_SubPractices[D],Practices_SubPractices[CP],"10",Practices_SubPractices[Org],"Large"),"TBD"))))))))))))))))))))))))))))))</f>
        <v>3</v>
      </c>
      <c r="R13" s="77">
        <f>IF(AND(Practices_SubPractices[CP]=1,Practices_SubPractices[Org]="Small"),SUMIFS(Practices_SubPractices[E],Practices_SubPractices[CP],"1",Practices_SubPractices[Org],"Small"),IF(AND(Practices_SubPractices[CP]=2,Practices_SubPractices[Org]="Small"),SUMIFS(Practices_SubPractices[E],Practices_SubPractices[CP],"2",Practices_SubPractices[Org],"Small"),IF(AND(Practices_SubPractices[CP]=3,Practices_SubPractices[Org]="Small"),SUMIFS(Practices_SubPractices[E],Practices_SubPractices[CP],"3",Practices_SubPractices[Org],"Small"),IF(AND(Practices_SubPractices[CP]=4,Practices_SubPractices[Org]="Small"),SUMIFS(Practices_SubPractices[E],Practices_SubPractices[CP],"4",Practices_SubPractices[Org],"Small"),IF(AND(Practices_SubPractices[CP]=5,Practices_SubPractices[Org]="Small"),SUMIFS(Practices_SubPractices[E],Practices_SubPractices[CP],"5",Practices_SubPractices[Org],"Small"),IF(AND(Practices_SubPractices[CP]=6,Practices_SubPractices[Org]="Small"),SUMIFS(Practices_SubPractices[E],Practices_SubPractices[CP],"6",Practices_SubPractices[Org],"Small"),IF(AND(Practices_SubPractices[CP]=7,Practices_SubPractices[Org] ="Small"),SUMIFS(Practices_SubPractices[E],Practices_SubPractices[CP],"7",Practices_SubPractices[Org],"Small"),IF(AND(Practices_SubPractices[CP]=8,Practices_SubPractices[Org] ="Small"),SUMIFS(Practices_SubPractices[E],Practices_SubPractices[CP],"8",Practices_SubPractices[Org],"Small"),IF(AND(Practices_SubPractices[CP]=9,Practices_SubPractices[Org] ="Small"),SUMIFS(Practices_SubPractices[E],Practices_SubPractices[CP],"9",Practices_SubPractices[Org],"Small"),IF(AND(Practices_SubPractices[CP]=10,Practices_SubPractices[Org] ="Small"),SUMIFS(Practices_SubPractices[E],Practices_SubPractices[CP],"10",Practices_SubPractices[Org],"Small"),IF(AND(Practices_SubPractices[CP]=1,Practices_SubPractices[Org]="Medium"),SUMIFS(Practices_SubPractices[E],Practices_SubPractices[CP],"1",Practices_SubPractices[Org],"Medium"),IF(AND(Practices_SubPractices[CP]=2,Practices_SubPractices[Org]="Medium"),SUMIFS(Practices_SubPractices[E],Practices_SubPractices[CP],"2",Practices_SubPractices[Org],"Medium"),IF(AND(Practices_SubPractices[CP]=3,Practices_SubPractices[Org]="Medium"),SUMIFS(Practices_SubPractices[E],Practices_SubPractices[CP],"3",Practices_SubPractices[Org],"Medium"),IF(AND(Practices_SubPractices[CP]=4,Practices_SubPractices[Org]="Medium"),SUMIFS(Practices_SubPractices[E],Practices_SubPractices[CP],"4",Practices_SubPractices[Org],"Medium"),IF(AND(Practices_SubPractices[CP]=5,Practices_SubPractices[Org]="Medium"),SUMIFS(Practices_SubPractices[E],Practices_SubPractices[CP],"5",Practices_SubPractices[Org],"Medium"),IF(AND(Practices_SubPractices[CP]=6,Practices_SubPractices[Org]="Medium"),SUMIFS(Practices_SubPractices[E],Practices_SubPractices[CP],"6",Practices_SubPractices[Org],"Medium"),IF(AND(Practices_SubPractices[CP]=7,Practices_SubPractices[Org] ="Medium"),SUMIFS(Practices_SubPractices[E],Practices_SubPractices[CP],"7",Practices_SubPractices[Org],"Medium"),IF(AND(Practices_SubPractices[CP]=8,Practices_SubPractices[Org] ="Medium"),SUMIFS(Practices_SubPractices[E],Practices_SubPractices[CP],"8",Practices_SubPractices[Org],"Medium"),IF(AND(Practices_SubPractices[CP]=9,Practices_SubPractices[Org] ="Medium"),SUMIFS(Practices_SubPractices[E],Practices_SubPractices[CP],"9",Practices_SubPractices[Org],"Medium"),IF(AND(Practices_SubPractices[CP]=10,Practices_SubPractices[Org] ="Medium"),SUMIFS(Practices_SubPractices[E],Practices_SubPractices[CP],"10",Practices_SubPractices[Org],"Medium"),IF(AND(Practices_SubPractices[CP]=1,Practices_SubPractices[Org]="Large"),SUMIFS(Practices_SubPractices[E],Practices_SubPractices[CP],"1",Practices_SubPractices[Org],"Large"),IF(AND(Practices_SubPractices[CP]=2,Practices_SubPractices[Org]="Large"),SUMIFS(Practices_SubPractices[E],Practices_SubPractices[CP],"2",Practices_SubPractices[Org],"Large"),IF(AND(Practices_SubPractices[CP]=3,Practices_SubPractices[Org]="Large"),SUMIFS(Practices_SubPractices[E],Practices_SubPractices[CP],"3",Practices_SubPractices[Org],"Large"),IF(AND(Practices_SubPractices[CP]=4,Practices_SubPractices[Org]="Large"),SUMIFS(Practices_SubPractices[E],Practices_SubPractices[CP],"4",Practices_SubPractices[Org],"Large"),IF(AND(Practices_SubPractices[CP]=5,Practices_SubPractices[Org]="Large"),SUMIFS(Practices_SubPractices[E],Practices_SubPractices[CP],"5",Practices_SubPractices[Org],"Large"),IF(AND(Practices_SubPractices[CP]=6,Practices_SubPractices[Org]="Large"),SUMIFS(Practices_SubPractices[E],Practices_SubPractices[CP],"6",Practices_SubPractices[Org],"Large"),IF(AND(Practices_SubPractices[CP]=7,Practices_SubPractices[Org] ="Large"),SUMIFS(Practices_SubPractices[E],Practices_SubPractices[CP],"7",Practices_SubPractices[Org],"Large"),IF(AND(Practices_SubPractices[CP]=8,Practices_SubPractices[Org] ="Large"),SUMIFS(Practices_SubPractices[E],Practices_SubPractices[CP],"8",Practices_SubPractices[Org],"Large"),IF(AND(Practices_SubPractices[CP]=9,Practices_SubPractices[Org] ="Large"),SUMIFS(Practices_SubPractices[E],Practices_SubPractices[CP],"9",Practices_SubPractices[Org],"Large"),IF(AND(Practices_SubPractices[CP]=10,Practices_SubPractices[Org] ="Large"),SUMIFS(Practices_SubPractices[E],Practices_SubPractices[CP],"10",Practices_SubPractices[Org],"Large"),"TBD"))))))))))))))))))))))))))))))</f>
        <v>0</v>
      </c>
      <c r="S13" s="84" t="s">
        <v>389</v>
      </c>
    </row>
    <row r="14" spans="1:21" ht="14.5" customHeight="1" x14ac:dyDescent="0.35">
      <c r="A14" s="73">
        <v>4</v>
      </c>
      <c r="B14" s="73">
        <v>2</v>
      </c>
      <c r="C14" s="73" t="s">
        <v>10</v>
      </c>
      <c r="D14" s="73" t="str">
        <f>Practices_SubPractices[[#This Row],[CP]]&amp;LEFT(Practices_SubPractices[[#This Row],[Org]],1)</f>
        <v>2S</v>
      </c>
      <c r="E14" s="73" t="s">
        <v>265</v>
      </c>
      <c r="F14" s="74" t="s">
        <v>14</v>
      </c>
      <c r="G14" s="74" t="s">
        <v>24</v>
      </c>
      <c r="H14" s="74" t="s">
        <v>179</v>
      </c>
      <c r="I14" s="75">
        <v>0</v>
      </c>
      <c r="J14" s="75">
        <v>2</v>
      </c>
      <c r="K14" s="75">
        <v>2</v>
      </c>
      <c r="L14" s="75">
        <v>1</v>
      </c>
      <c r="M14" s="75">
        <v>1</v>
      </c>
      <c r="N14" s="76"/>
      <c r="O14" s="77">
        <f>IF(AND(Practices_SubPractices[CP]=1,Practices_SubPractices[Org]="Small"),SUMIFS(Practices_SubPractices[B],Practices_SubPractices[CP],"1",Practices_SubPractices[Org],"Small"),IF(AND(Practices_SubPractices[CP]=2,Practices_SubPractices[Org]="Small"),SUMIFS(Practices_SubPractices[B],Practices_SubPractices[CP],"2",Practices_SubPractices[Org],"Small"),IF(AND(Practices_SubPractices[CP]=3,Practices_SubPractices[Org]="Small"),SUMIFS(Practices_SubPractices[B],Practices_SubPractices[CP],"3",Practices_SubPractices[Org],"Small"),IF(AND(Practices_SubPractices[CP]=4,Practices_SubPractices[Org]="Small"),SUMIFS(Practices_SubPractices[B],Practices_SubPractices[CP],"4",Practices_SubPractices[Org],"Small"),IF(AND(Practices_SubPractices[CP]=5,Practices_SubPractices[Org]="Small"),SUMIFS(Practices_SubPractices[B],Practices_SubPractices[CP],"5",Practices_SubPractices[Org],"Small"),IF(AND(Practices_SubPractices[CP]=6,Practices_SubPractices[Org]="Small"),SUMIFS(Practices_SubPractices[B],Practices_SubPractices[CP],"6",Practices_SubPractices[Org],"Small"),IF(AND(Practices_SubPractices[CP]=7,Practices_SubPractices[Org] ="Small"),SUMIFS(Practices_SubPractices[B],Practices_SubPractices[CP],"7",Practices_SubPractices[Org],"Small"),IF(AND(Practices_SubPractices[CP]=8,Practices_SubPractices[Org] ="Small"),SUMIFS(Practices_SubPractices[B],Practices_SubPractices[CP],"8",Practices_SubPractices[Org],"Small"),IF(AND(Practices_SubPractices[CP]=9,Practices_SubPractices[Org] ="Small"),SUMIFS(Practices_SubPractices[B],Practices_SubPractices[CP],"9",Practices_SubPractices[Org],"Small"),IF(AND(Practices_SubPractices[CP]=10,Practices_SubPractices[Org] ="Small"),SUMIFS(Practices_SubPractices[B],Practices_SubPractices[CP],"10",Practices_SubPractices[Org],"Small"),IF(AND(Practices_SubPractices[CP]=1,Practices_SubPractices[Org]="Medium"),SUMIFS(Practices_SubPractices[B],Practices_SubPractices[CP],"1",Practices_SubPractices[Org],"Medium"),IF(AND(Practices_SubPractices[CP]=2,Practices_SubPractices[Org]="Medium"),SUMIFS(Practices_SubPractices[B],Practices_SubPractices[CP],"2",Practices_SubPractices[Org],"Medium"),IF(AND(Practices_SubPractices[CP]=3,Practices_SubPractices[Org]="Medium"),SUMIFS(Practices_SubPractices[B],Practices_SubPractices[CP],"3",Practices_SubPractices[Org],"Medium"),IF(AND(Practices_SubPractices[CP]=4,Practices_SubPractices[Org]="Medium"),SUMIFS(Practices_SubPractices[B],Practices_SubPractices[CP],"4",Practices_SubPractices[Org],"Medium"),IF(AND(Practices_SubPractices[CP]=5,Practices_SubPractices[Org]="Medium"),SUMIFS(Practices_SubPractices[B],Practices_SubPractices[CP],"5",Practices_SubPractices[Org],"Medium"),IF(AND(Practices_SubPractices[CP]=6,Practices_SubPractices[Org]="Medium"),SUMIFS(Practices_SubPractices[B],Practices_SubPractices[CP],"6",Practices_SubPractices[Org],"Medium"),IF(AND(Practices_SubPractices[CP]=7,Practices_SubPractices[Org] ="Medium"),SUMIFS(Practices_SubPractices[B],Practices_SubPractices[CP],"7",Practices_SubPractices[Org],"Medium"),IF(AND(Practices_SubPractices[CP]=8,Practices_SubPractices[Org] ="Medium"),SUMIFS(Practices_SubPractices[B],Practices_SubPractices[CP],"8",Practices_SubPractices[Org],"Medium"),IF(AND(Practices_SubPractices[CP]=9,Practices_SubPractices[Org] ="Medium"),SUMIFS(Practices_SubPractices[B],Practices_SubPractices[CP],"9",Practices_SubPractices[Org],"Medium"),IF(AND(Practices_SubPractices[CP]=10,Practices_SubPractices[Org] ="Medium"),SUMIFS(Practices_SubPractices[B],Practices_SubPractices[CP],"10",Practices_SubPractices[Org],"Medium"),IF(AND(Practices_SubPractices[CP]=1,Practices_SubPractices[Org]="Large"),SUMIFS(Practices_SubPractices[B],Practices_SubPractices[CP],"1",Practices_SubPractices[Org],"Large"),IF(AND(Practices_SubPractices[CP]=2,Practices_SubPractices[Org]="Large"),SUMIFS(Practices_SubPractices[B],Practices_SubPractices[CP],"2",Practices_SubPractices[Org],"Large"),IF(AND(Practices_SubPractices[CP]=3,Practices_SubPractices[Org]="Large"),SUMIFS(Practices_SubPractices[B],Practices_SubPractices[CP],"3",Practices_SubPractices[Org],"Large"),IF(AND(Practices_SubPractices[CP]=4,Practices_SubPractices[Org]="Large"),SUMIFS(Practices_SubPractices[B],Practices_SubPractices[CP],"4",Practices_SubPractices[Org],"Large"),IF(AND(Practices_SubPractices[CP]=5,Practices_SubPractices[Org]="Large"),SUMIFS(Practices_SubPractices[B],Practices_SubPractices[CP],"5",Practices_SubPractices[Org],"Large"),IF(AND(Practices_SubPractices[CP]=6,Practices_SubPractices[Org]="Large"),SUMIFS(Practices_SubPractices[B],Practices_SubPractices[CP],"6",Practices_SubPractices[Org],"Large"),IF(AND(Practices_SubPractices[CP]=7,Practices_SubPractices[Org] ="Large"),SUMIFS(Practices_SubPractices[B],Practices_SubPractices[CP],"7",Practices_SubPractices[Org],"Large"),IF(AND(Practices_SubPractices[CP]=8,Practices_SubPractices[Org] ="Large"),SUMIFS(Practices_SubPractices[B],Practices_SubPractices[CP],"8",Practices_SubPractices[Org],"Large"),IF(AND(Practices_SubPractices[CP]=9,Practices_SubPractices[Org] ="Large"),SUMIFS(Practices_SubPractices[B],Practices_SubPractices[CP],"9",Practices_SubPractices[Org],"Large"),IF(AND(Practices_SubPractices[CP]=10,Practices_SubPractices[Org] ="Large"),SUMIFS(Practices_SubPractices[B],Practices_SubPractices[CP],"10",Practices_SubPractices[Org],"Large"),"TBD"))))))))))))))))))))))))))))))</f>
        <v>2</v>
      </c>
      <c r="P14" s="77">
        <f>IF(AND(Practices_SubPractices[CP]=1,Practices_SubPractices[Org]="Small"),SUMIFS(Practices_SubPractices[C],Practices_SubPractices[CP],"1",Practices_SubPractices[Org],"Small"),IF(AND(Practices_SubPractices[CP]=2,Practices_SubPractices[Org]="Small"),SUMIFS(Practices_SubPractices[C],Practices_SubPractices[CP],"2",Practices_SubPractices[Org],"Small"),IF(AND(Practices_SubPractices[CP]=3,Practices_SubPractices[Org]="Small"),SUMIFS(Practices_SubPractices[C],Practices_SubPractices[CP],"3",Practices_SubPractices[Org],"Small"),IF(AND(Practices_SubPractices[CP]=4,Practices_SubPractices[Org]="Small"),SUMIFS(Practices_SubPractices[C],Practices_SubPractices[CP],"4",Practices_SubPractices[Org],"Small"),IF(AND(Practices_SubPractices[CP]=5,Practices_SubPractices[Org]="Small"),SUMIFS(Practices_SubPractices[C],Practices_SubPractices[CP],"5",Practices_SubPractices[Org],"Small"),IF(AND(Practices_SubPractices[CP]=6,Practices_SubPractices[Org]="Small"),SUMIFS(Practices_SubPractices[C],Practices_SubPractices[CP],"6",Practices_SubPractices[Org],"Small"),IF(AND(Practices_SubPractices[CP]=7,Practices_SubPractices[Org] ="Small"),SUMIFS(Practices_SubPractices[C],Practices_SubPractices[CP],"7",Practices_SubPractices[Org],"Small"),IF(AND(Practices_SubPractices[CP]=8,Practices_SubPractices[Org] ="Small"),SUMIFS(Practices_SubPractices[C],Practices_SubPractices[CP],"8",Practices_SubPractices[Org],"Small"),IF(AND(Practices_SubPractices[CP]=9,Practices_SubPractices[Org] ="Small"),SUMIFS(Practices_SubPractices[C],Practices_SubPractices[CP],"9",Practices_SubPractices[Org],"Small"),IF(AND(Practices_SubPractices[CP]=10,Practices_SubPractices[Org] ="Small"),SUMIFS(Practices_SubPractices[C],Practices_SubPractices[CP],"10",Practices_SubPractices[Org],"Small"),IF(AND(Practices_SubPractices[CP]=1,Practices_SubPractices[Org]="Medium"),SUMIFS(Practices_SubPractices[C],Practices_SubPractices[CP],"1",Practices_SubPractices[Org],"Medium"),IF(AND(Practices_SubPractices[CP]=2,Practices_SubPractices[Org]="Medium"),SUMIFS(Practices_SubPractices[C],Practices_SubPractices[CP],"2",Practices_SubPractices[Org],"Medium"),IF(AND(Practices_SubPractices[CP]=3,Practices_SubPractices[Org]="Medium"),SUMIFS(Practices_SubPractices[C],Practices_SubPractices[CP],"3",Practices_SubPractices[Org],"Medium"),IF(AND(Practices_SubPractices[CP]=4,Practices_SubPractices[Org]="Medium"),SUMIFS(Practices_SubPractices[C],Practices_SubPractices[CP],"4",Practices_SubPractices[Org],"Medium"),IF(AND(Practices_SubPractices[CP]=5,Practices_SubPractices[Org]="Medium"),SUMIFS(Practices_SubPractices[C],Practices_SubPractices[CP],"5",Practices_SubPractices[Org],"Medium"),IF(AND(Practices_SubPractices[CP]=6,Practices_SubPractices[Org]="Medium"),SUMIFS(Practices_SubPractices[C],Practices_SubPractices[CP],"6",Practices_SubPractices[Org],"Medium"),IF(AND(Practices_SubPractices[CP]=7,Practices_SubPractices[Org] ="Medium"),SUMIFS(Practices_SubPractices[C],Practices_SubPractices[CP],"7",Practices_SubPractices[Org],"Medium"),IF(AND(Practices_SubPractices[CP]=8,Practices_SubPractices[Org] ="Medium"),SUMIFS(Practices_SubPractices[C],Practices_SubPractices[CP],"8",Practices_SubPractices[Org],"Medium"),IF(AND(Practices_SubPractices[CP]=9,Practices_SubPractices[Org] ="Medium"),SUMIFS(Practices_SubPractices[C],Practices_SubPractices[CP],"9",Practices_SubPractices[Org],"Medium"),IF(AND(Practices_SubPractices[CP]=10,Practices_SubPractices[Org] ="Medium"),SUMIFS(Practices_SubPractices[C],Practices_SubPractices[CP],"10",Practices_SubPractices[Org],"Medium"),IF(AND(Practices_SubPractices[CP]=1,Practices_SubPractices[Org]="Large"),SUMIFS(Practices_SubPractices[C],Practices_SubPractices[CP],"1",Practices_SubPractices[Org],"Large"),IF(AND(Practices_SubPractices[CP]=2,Practices_SubPractices[Org]="Large"),SUMIFS(Practices_SubPractices[C],Practices_SubPractices[CP],"2",Practices_SubPractices[Org],"Large"),IF(AND(Practices_SubPractices[CP]=3,Practices_SubPractices[Org]="Large"),SUMIFS(Practices_SubPractices[C],Practices_SubPractices[CP],"3",Practices_SubPractices[Org],"Large"),IF(AND(Practices_SubPractices[CP]=4,Practices_SubPractices[Org]="Large"),SUMIFS(Practices_SubPractices[C],Practices_SubPractices[CP],"4",Practices_SubPractices[Org],"Large"),IF(AND(Practices_SubPractices[CP]=5,Practices_SubPractices[Org]="Large"),SUMIFS(Practices_SubPractices[C],Practices_SubPractices[CP],"5",Practices_SubPractices[Org],"Large"),IF(AND(Practices_SubPractices[CP]=6,Practices_SubPractices[Org]="Large"),SUMIFS(Practices_SubPractices[C],Practices_SubPractices[CP],"6",Practices_SubPractices[Org],"Large"),IF(AND(Practices_SubPractices[CP]=7,Practices_SubPractices[Org] ="Large"),SUMIFS(Practices_SubPractices[C],Practices_SubPractices[CP],"7",Practices_SubPractices[Org],"Large"),IF(AND(Practices_SubPractices[CP]=8,Practices_SubPractices[Org] ="Large"),SUMIFS(Practices_SubPractices[C],Practices_SubPractices[CP],"8",Practices_SubPractices[Org],"Large"),IF(AND(Practices_SubPractices[CP]=9,Practices_SubPractices[Org] ="Large"),SUMIFS(Practices_SubPractices[C],Practices_SubPractices[CP],"9",Practices_SubPractices[Org],"Large"),IF(AND(Practices_SubPractices[CP]=10,Practices_SubPractices[Org] ="Large"),SUMIFS(Practices_SubPractices[C],Practices_SubPractices[CP],"10",Practices_SubPractices[Org],"Large"),"TBD"))))))))))))))))))))))))))))))</f>
        <v>2</v>
      </c>
      <c r="Q14" s="77">
        <f>IF(AND(Practices_SubPractices[CP]=1,Practices_SubPractices[Org]="Small"),SUMIFS(Practices_SubPractices[D],Practices_SubPractices[CP],"1",Practices_SubPractices[Org],"Small"),IF(AND(Practices_SubPractices[CP]=2,Practices_SubPractices[Org]="Small"),SUMIFS(Practices_SubPractices[D],Practices_SubPractices[CP],"2",Practices_SubPractices[Org],"Small"),IF(AND(Practices_SubPractices[CP]=3,Practices_SubPractices[Org]="Small"),SUMIFS(Practices_SubPractices[D],Practices_SubPractices[CP],"3",Practices_SubPractices[Org],"Small"),IF(AND(Practices_SubPractices[CP]=4,Practices_SubPractices[Org]="Small"),SUMIFS(Practices_SubPractices[D],Practices_SubPractices[CP],"4",Practices_SubPractices[Org],"Small"),IF(AND(Practices_SubPractices[CP]=5,Practices_SubPractices[Org]="Small"),SUMIFS(Practices_SubPractices[D],Practices_SubPractices[CP],"5",Practices_SubPractices[Org],"Small"),IF(AND(Practices_SubPractices[CP]=6,Practices_SubPractices[Org]="Small"),SUMIFS(Practices_SubPractices[D],Practices_SubPractices[CP],"6",Practices_SubPractices[Org],"Small"),IF(AND(Practices_SubPractices[CP]=7,Practices_SubPractices[Org] ="Small"),SUMIFS(Practices_SubPractices[D],Practices_SubPractices[CP],"7",Practices_SubPractices[Org],"Small"),IF(AND(Practices_SubPractices[CP]=8,Practices_SubPractices[Org] ="Small"),SUMIFS(Practices_SubPractices[D],Practices_SubPractices[CP],"8",Practices_SubPractices[Org],"Small"),IF(AND(Practices_SubPractices[CP]=9,Practices_SubPractices[Org] ="Small"),SUMIFS(Practices_SubPractices[D],Practices_SubPractices[CP],"9",Practices_SubPractices[Org],"Small"),IF(AND(Practices_SubPractices[CP]=10,Practices_SubPractices[Org] ="Small"),SUMIFS(Practices_SubPractices[D],Practices_SubPractices[CP],"10",Practices_SubPractices[Org],"Small"),IF(AND(Practices_SubPractices[CP]=1,Practices_SubPractices[Org]="Medium"),SUMIFS(Practices_SubPractices[D],Practices_SubPractices[CP],"1",Practices_SubPractices[Org],"Medium"),IF(AND(Practices_SubPractices[CP]=2,Practices_SubPractices[Org]="Medium"),SUMIFS(Practices_SubPractices[D],Practices_SubPractices[CP],"2",Practices_SubPractices[Org],"Medium"),IF(AND(Practices_SubPractices[CP]=3,Practices_SubPractices[Org]="Medium"),SUMIFS(Practices_SubPractices[D],Practices_SubPractices[CP],"3",Practices_SubPractices[Org],"Medium"),IF(AND(Practices_SubPractices[CP]=4,Practices_SubPractices[Org]="Medium"),SUMIFS(Practices_SubPractices[D],Practices_SubPractices[CP],"4",Practices_SubPractices[Org],"Medium"),IF(AND(Practices_SubPractices[CP]=5,Practices_SubPractices[Org]="Medium"),SUMIFS(Practices_SubPractices[D],Practices_SubPractices[CP],"5",Practices_SubPractices[Org],"Medium"),IF(AND(Practices_SubPractices[CP]=6,Practices_SubPractices[Org]="Medium"),SUMIFS(Practices_SubPractices[D],Practices_SubPractices[CP],"6",Practices_SubPractices[Org],"Medium"),IF(AND(Practices_SubPractices[CP]=7,Practices_SubPractices[Org] ="Medium"),SUMIFS(Practices_SubPractices[D],Practices_SubPractices[CP],"7",Practices_SubPractices[Org],"Medium"),IF(AND(Practices_SubPractices[CP]=8,Practices_SubPractices[Org] ="Medium"),SUMIFS(Practices_SubPractices[D],Practices_SubPractices[CP],"8",Practices_SubPractices[Org],"Medium"),IF(AND(Practices_SubPractices[CP]=9,Practices_SubPractices[Org] ="Medium"),SUMIFS(Practices_SubPractices[D],Practices_SubPractices[CP],"9",Practices_SubPractices[Org],"Medium"),IF(AND(Practices_SubPractices[CP]=10,Practices_SubPractices[Org] ="Medium"),SUMIFS(Practices_SubPractices[D],Practices_SubPractices[CP],"10",Practices_SubPractices[Org],"Medium"),IF(AND(Practices_SubPractices[CP]=1,Practices_SubPractices[Org]="Large"),SUMIFS(Practices_SubPractices[D],Practices_SubPractices[CP],"1",Practices_SubPractices[Org],"Large"),IF(AND(Practices_SubPractices[CP]=2,Practices_SubPractices[Org]="Large"),SUMIFS(Practices_SubPractices[D],Practices_SubPractices[CP],"2",Practices_SubPractices[Org],"Large"),IF(AND(Practices_SubPractices[CP]=3,Practices_SubPractices[Org]="Large"),SUMIFS(Practices_SubPractices[D],Practices_SubPractices[CP],"3",Practices_SubPractices[Org],"Large"),IF(AND(Practices_SubPractices[CP]=4,Practices_SubPractices[Org]="Large"),SUMIFS(Practices_SubPractices[D],Practices_SubPractices[CP],"4",Practices_SubPractices[Org],"Large"),IF(AND(Practices_SubPractices[CP]=5,Practices_SubPractices[Org]="Large"),SUMIFS(Practices_SubPractices[D],Practices_SubPractices[CP],"5",Practices_SubPractices[Org],"Large"),IF(AND(Practices_SubPractices[CP]=6,Practices_SubPractices[Org]="Large"),SUMIFS(Practices_SubPractices[D],Practices_SubPractices[CP],"6",Practices_SubPractices[Org],"Large"),IF(AND(Practices_SubPractices[CP]=7,Practices_SubPractices[Org] ="Large"),SUMIFS(Practices_SubPractices[D],Practices_SubPractices[CP],"7",Practices_SubPractices[Org],"Large"),IF(AND(Practices_SubPractices[CP]=8,Practices_SubPractices[Org] ="Large"),SUMIFS(Practices_SubPractices[D],Practices_SubPractices[CP],"8",Practices_SubPractices[Org],"Large"),IF(AND(Practices_SubPractices[CP]=9,Practices_SubPractices[Org] ="Large"),SUMIFS(Practices_SubPractices[D],Practices_SubPractices[CP],"9",Practices_SubPractices[Org],"Large"),IF(AND(Practices_SubPractices[CP]=10,Practices_SubPractices[Org] ="Large"),SUMIFS(Practices_SubPractices[D],Practices_SubPractices[CP],"10",Practices_SubPractices[Org],"Large"),"TBD"))))))))))))))))))))))))))))))</f>
        <v>1</v>
      </c>
      <c r="R14" s="77">
        <f>IF(AND(Practices_SubPractices[CP]=1,Practices_SubPractices[Org]="Small"),SUMIFS(Practices_SubPractices[E],Practices_SubPractices[CP],"1",Practices_SubPractices[Org],"Small"),IF(AND(Practices_SubPractices[CP]=2,Practices_SubPractices[Org]="Small"),SUMIFS(Practices_SubPractices[E],Practices_SubPractices[CP],"2",Practices_SubPractices[Org],"Small"),IF(AND(Practices_SubPractices[CP]=3,Practices_SubPractices[Org]="Small"),SUMIFS(Practices_SubPractices[E],Practices_SubPractices[CP],"3",Practices_SubPractices[Org],"Small"),IF(AND(Practices_SubPractices[CP]=4,Practices_SubPractices[Org]="Small"),SUMIFS(Practices_SubPractices[E],Practices_SubPractices[CP],"4",Practices_SubPractices[Org],"Small"),IF(AND(Practices_SubPractices[CP]=5,Practices_SubPractices[Org]="Small"),SUMIFS(Practices_SubPractices[E],Practices_SubPractices[CP],"5",Practices_SubPractices[Org],"Small"),IF(AND(Practices_SubPractices[CP]=6,Practices_SubPractices[Org]="Small"),SUMIFS(Practices_SubPractices[E],Practices_SubPractices[CP],"6",Practices_SubPractices[Org],"Small"),IF(AND(Practices_SubPractices[CP]=7,Practices_SubPractices[Org] ="Small"),SUMIFS(Practices_SubPractices[E],Practices_SubPractices[CP],"7",Practices_SubPractices[Org],"Small"),IF(AND(Practices_SubPractices[CP]=8,Practices_SubPractices[Org] ="Small"),SUMIFS(Practices_SubPractices[E],Practices_SubPractices[CP],"8",Practices_SubPractices[Org],"Small"),IF(AND(Practices_SubPractices[CP]=9,Practices_SubPractices[Org] ="Small"),SUMIFS(Practices_SubPractices[E],Practices_SubPractices[CP],"9",Practices_SubPractices[Org],"Small"),IF(AND(Practices_SubPractices[CP]=10,Practices_SubPractices[Org] ="Small"),SUMIFS(Practices_SubPractices[E],Practices_SubPractices[CP],"10",Practices_SubPractices[Org],"Small"),IF(AND(Practices_SubPractices[CP]=1,Practices_SubPractices[Org]="Medium"),SUMIFS(Practices_SubPractices[E],Practices_SubPractices[CP],"1",Practices_SubPractices[Org],"Medium"),IF(AND(Practices_SubPractices[CP]=2,Practices_SubPractices[Org]="Medium"),SUMIFS(Practices_SubPractices[E],Practices_SubPractices[CP],"2",Practices_SubPractices[Org],"Medium"),IF(AND(Practices_SubPractices[CP]=3,Practices_SubPractices[Org]="Medium"),SUMIFS(Practices_SubPractices[E],Practices_SubPractices[CP],"3",Practices_SubPractices[Org],"Medium"),IF(AND(Practices_SubPractices[CP]=4,Practices_SubPractices[Org]="Medium"),SUMIFS(Practices_SubPractices[E],Practices_SubPractices[CP],"4",Practices_SubPractices[Org],"Medium"),IF(AND(Practices_SubPractices[CP]=5,Practices_SubPractices[Org]="Medium"),SUMIFS(Practices_SubPractices[E],Practices_SubPractices[CP],"5",Practices_SubPractices[Org],"Medium"),IF(AND(Practices_SubPractices[CP]=6,Practices_SubPractices[Org]="Medium"),SUMIFS(Practices_SubPractices[E],Practices_SubPractices[CP],"6",Practices_SubPractices[Org],"Medium"),IF(AND(Practices_SubPractices[CP]=7,Practices_SubPractices[Org] ="Medium"),SUMIFS(Practices_SubPractices[E],Practices_SubPractices[CP],"7",Practices_SubPractices[Org],"Medium"),IF(AND(Practices_SubPractices[CP]=8,Practices_SubPractices[Org] ="Medium"),SUMIFS(Practices_SubPractices[E],Practices_SubPractices[CP],"8",Practices_SubPractices[Org],"Medium"),IF(AND(Practices_SubPractices[CP]=9,Practices_SubPractices[Org] ="Medium"),SUMIFS(Practices_SubPractices[E],Practices_SubPractices[CP],"9",Practices_SubPractices[Org],"Medium"),IF(AND(Practices_SubPractices[CP]=10,Practices_SubPractices[Org] ="Medium"),SUMIFS(Practices_SubPractices[E],Practices_SubPractices[CP],"10",Practices_SubPractices[Org],"Medium"),IF(AND(Practices_SubPractices[CP]=1,Practices_SubPractices[Org]="Large"),SUMIFS(Practices_SubPractices[E],Practices_SubPractices[CP],"1",Practices_SubPractices[Org],"Large"),IF(AND(Practices_SubPractices[CP]=2,Practices_SubPractices[Org]="Large"),SUMIFS(Practices_SubPractices[E],Practices_SubPractices[CP],"2",Practices_SubPractices[Org],"Large"),IF(AND(Practices_SubPractices[CP]=3,Practices_SubPractices[Org]="Large"),SUMIFS(Practices_SubPractices[E],Practices_SubPractices[CP],"3",Practices_SubPractices[Org],"Large"),IF(AND(Practices_SubPractices[CP]=4,Practices_SubPractices[Org]="Large"),SUMIFS(Practices_SubPractices[E],Practices_SubPractices[CP],"4",Practices_SubPractices[Org],"Large"),IF(AND(Practices_SubPractices[CP]=5,Practices_SubPractices[Org]="Large"),SUMIFS(Practices_SubPractices[E],Practices_SubPractices[CP],"5",Practices_SubPractices[Org],"Large"),IF(AND(Practices_SubPractices[CP]=6,Practices_SubPractices[Org]="Large"),SUMIFS(Practices_SubPractices[E],Practices_SubPractices[CP],"6",Practices_SubPractices[Org],"Large"),IF(AND(Practices_SubPractices[CP]=7,Practices_SubPractices[Org] ="Large"),SUMIFS(Practices_SubPractices[E],Practices_SubPractices[CP],"7",Practices_SubPractices[Org],"Large"),IF(AND(Practices_SubPractices[CP]=8,Practices_SubPractices[Org] ="Large"),SUMIFS(Practices_SubPractices[E],Practices_SubPractices[CP],"8",Practices_SubPractices[Org],"Large"),IF(AND(Practices_SubPractices[CP]=9,Practices_SubPractices[Org] ="Large"),SUMIFS(Practices_SubPractices[E],Practices_SubPractices[CP],"9",Practices_SubPractices[Org],"Large"),IF(AND(Practices_SubPractices[CP]=10,Practices_SubPractices[Org] ="Large"),SUMIFS(Practices_SubPractices[E],Practices_SubPractices[CP],"10",Practices_SubPractices[Org],"Large"),"TBD"))))))))))))))))))))))))))))))</f>
        <v>1</v>
      </c>
      <c r="S14" s="85" t="s">
        <v>390</v>
      </c>
    </row>
    <row r="15" spans="1:21" ht="14.5" customHeight="1" x14ac:dyDescent="0.35">
      <c r="A15" s="73">
        <v>5</v>
      </c>
      <c r="B15" s="73">
        <v>3</v>
      </c>
      <c r="C15" s="73" t="s">
        <v>10</v>
      </c>
      <c r="D15" s="73" t="str">
        <f>Practices_SubPractices[[#This Row],[CP]]&amp;LEFT(Practices_SubPractices[[#This Row],[Org]],1)</f>
        <v>3S</v>
      </c>
      <c r="E15" s="73" t="s">
        <v>265</v>
      </c>
      <c r="F15" s="74" t="s">
        <v>25</v>
      </c>
      <c r="G15" s="74" t="s">
        <v>26</v>
      </c>
      <c r="H15" s="74" t="s">
        <v>182</v>
      </c>
      <c r="I15" s="75">
        <v>0</v>
      </c>
      <c r="J15" s="75">
        <v>1</v>
      </c>
      <c r="K15" s="75">
        <v>2</v>
      </c>
      <c r="L15" s="75">
        <v>2</v>
      </c>
      <c r="M15" s="75">
        <v>1</v>
      </c>
      <c r="N15" s="76"/>
      <c r="O15" s="77">
        <f>IF(AND(Practices_SubPractices[CP]=1,Practices_SubPractices[Org]="Small"),SUMIFS(Practices_SubPractices[B],Practices_SubPractices[CP],"1",Practices_SubPractices[Org],"Small"),IF(AND(Practices_SubPractices[CP]=2,Practices_SubPractices[Org]="Small"),SUMIFS(Practices_SubPractices[B],Practices_SubPractices[CP],"2",Practices_SubPractices[Org],"Small"),IF(AND(Practices_SubPractices[CP]=3,Practices_SubPractices[Org]="Small"),SUMIFS(Practices_SubPractices[B],Practices_SubPractices[CP],"3",Practices_SubPractices[Org],"Small"),IF(AND(Practices_SubPractices[CP]=4,Practices_SubPractices[Org]="Small"),SUMIFS(Practices_SubPractices[B],Practices_SubPractices[CP],"4",Practices_SubPractices[Org],"Small"),IF(AND(Practices_SubPractices[CP]=5,Practices_SubPractices[Org]="Small"),SUMIFS(Practices_SubPractices[B],Practices_SubPractices[CP],"5",Practices_SubPractices[Org],"Small"),IF(AND(Practices_SubPractices[CP]=6,Practices_SubPractices[Org]="Small"),SUMIFS(Practices_SubPractices[B],Practices_SubPractices[CP],"6",Practices_SubPractices[Org],"Small"),IF(AND(Practices_SubPractices[CP]=7,Practices_SubPractices[Org] ="Small"),SUMIFS(Practices_SubPractices[B],Practices_SubPractices[CP],"7",Practices_SubPractices[Org],"Small"),IF(AND(Practices_SubPractices[CP]=8,Practices_SubPractices[Org] ="Small"),SUMIFS(Practices_SubPractices[B],Practices_SubPractices[CP],"8",Practices_SubPractices[Org],"Small"),IF(AND(Practices_SubPractices[CP]=9,Practices_SubPractices[Org] ="Small"),SUMIFS(Practices_SubPractices[B],Practices_SubPractices[CP],"9",Practices_SubPractices[Org],"Small"),IF(AND(Practices_SubPractices[CP]=10,Practices_SubPractices[Org] ="Small"),SUMIFS(Practices_SubPractices[B],Practices_SubPractices[CP],"10",Practices_SubPractices[Org],"Small"),IF(AND(Practices_SubPractices[CP]=1,Practices_SubPractices[Org]="Medium"),SUMIFS(Practices_SubPractices[B],Practices_SubPractices[CP],"1",Practices_SubPractices[Org],"Medium"),IF(AND(Practices_SubPractices[CP]=2,Practices_SubPractices[Org]="Medium"),SUMIFS(Practices_SubPractices[B],Practices_SubPractices[CP],"2",Practices_SubPractices[Org],"Medium"),IF(AND(Practices_SubPractices[CP]=3,Practices_SubPractices[Org]="Medium"),SUMIFS(Practices_SubPractices[B],Practices_SubPractices[CP],"3",Practices_SubPractices[Org],"Medium"),IF(AND(Practices_SubPractices[CP]=4,Practices_SubPractices[Org]="Medium"),SUMIFS(Practices_SubPractices[B],Practices_SubPractices[CP],"4",Practices_SubPractices[Org],"Medium"),IF(AND(Practices_SubPractices[CP]=5,Practices_SubPractices[Org]="Medium"),SUMIFS(Practices_SubPractices[B],Practices_SubPractices[CP],"5",Practices_SubPractices[Org],"Medium"),IF(AND(Practices_SubPractices[CP]=6,Practices_SubPractices[Org]="Medium"),SUMIFS(Practices_SubPractices[B],Practices_SubPractices[CP],"6",Practices_SubPractices[Org],"Medium"),IF(AND(Practices_SubPractices[CP]=7,Practices_SubPractices[Org] ="Medium"),SUMIFS(Practices_SubPractices[B],Practices_SubPractices[CP],"7",Practices_SubPractices[Org],"Medium"),IF(AND(Practices_SubPractices[CP]=8,Practices_SubPractices[Org] ="Medium"),SUMIFS(Practices_SubPractices[B],Practices_SubPractices[CP],"8",Practices_SubPractices[Org],"Medium"),IF(AND(Practices_SubPractices[CP]=9,Practices_SubPractices[Org] ="Medium"),SUMIFS(Practices_SubPractices[B],Practices_SubPractices[CP],"9",Practices_SubPractices[Org],"Medium"),IF(AND(Practices_SubPractices[CP]=10,Practices_SubPractices[Org] ="Medium"),SUMIFS(Practices_SubPractices[B],Practices_SubPractices[CP],"10",Practices_SubPractices[Org],"Medium"),IF(AND(Practices_SubPractices[CP]=1,Practices_SubPractices[Org]="Large"),SUMIFS(Practices_SubPractices[B],Practices_SubPractices[CP],"1",Practices_SubPractices[Org],"Large"),IF(AND(Practices_SubPractices[CP]=2,Practices_SubPractices[Org]="Large"),SUMIFS(Practices_SubPractices[B],Practices_SubPractices[CP],"2",Practices_SubPractices[Org],"Large"),IF(AND(Practices_SubPractices[CP]=3,Practices_SubPractices[Org]="Large"),SUMIFS(Practices_SubPractices[B],Practices_SubPractices[CP],"3",Practices_SubPractices[Org],"Large"),IF(AND(Practices_SubPractices[CP]=4,Practices_SubPractices[Org]="Large"),SUMIFS(Practices_SubPractices[B],Practices_SubPractices[CP],"4",Practices_SubPractices[Org],"Large"),IF(AND(Practices_SubPractices[CP]=5,Practices_SubPractices[Org]="Large"),SUMIFS(Practices_SubPractices[B],Practices_SubPractices[CP],"5",Practices_SubPractices[Org],"Large"),IF(AND(Practices_SubPractices[CP]=6,Practices_SubPractices[Org]="Large"),SUMIFS(Practices_SubPractices[B],Practices_SubPractices[CP],"6",Practices_SubPractices[Org],"Large"),IF(AND(Practices_SubPractices[CP]=7,Practices_SubPractices[Org] ="Large"),SUMIFS(Practices_SubPractices[B],Practices_SubPractices[CP],"7",Practices_SubPractices[Org],"Large"),IF(AND(Practices_SubPractices[CP]=8,Practices_SubPractices[Org] ="Large"),SUMIFS(Practices_SubPractices[B],Practices_SubPractices[CP],"8",Practices_SubPractices[Org],"Large"),IF(AND(Practices_SubPractices[CP]=9,Practices_SubPractices[Org] ="Large"),SUMIFS(Practices_SubPractices[B],Practices_SubPractices[CP],"9",Practices_SubPractices[Org],"Large"),IF(AND(Practices_SubPractices[CP]=10,Practices_SubPractices[Org] ="Large"),SUMIFS(Practices_SubPractices[B],Practices_SubPractices[CP],"10",Practices_SubPractices[Org],"Large"),"TBD"))))))))))))))))))))))))))))))</f>
        <v>1</v>
      </c>
      <c r="P15" s="77">
        <f>IF(AND(Practices_SubPractices[CP]=1,Practices_SubPractices[Org]="Small"),SUMIFS(Practices_SubPractices[C],Practices_SubPractices[CP],"1",Practices_SubPractices[Org],"Small"),IF(AND(Practices_SubPractices[CP]=2,Practices_SubPractices[Org]="Small"),SUMIFS(Practices_SubPractices[C],Practices_SubPractices[CP],"2",Practices_SubPractices[Org],"Small"),IF(AND(Practices_SubPractices[CP]=3,Practices_SubPractices[Org]="Small"),SUMIFS(Practices_SubPractices[C],Practices_SubPractices[CP],"3",Practices_SubPractices[Org],"Small"),IF(AND(Practices_SubPractices[CP]=4,Practices_SubPractices[Org]="Small"),SUMIFS(Practices_SubPractices[C],Practices_SubPractices[CP],"4",Practices_SubPractices[Org],"Small"),IF(AND(Practices_SubPractices[CP]=5,Practices_SubPractices[Org]="Small"),SUMIFS(Practices_SubPractices[C],Practices_SubPractices[CP],"5",Practices_SubPractices[Org],"Small"),IF(AND(Practices_SubPractices[CP]=6,Practices_SubPractices[Org]="Small"),SUMIFS(Practices_SubPractices[C],Practices_SubPractices[CP],"6",Practices_SubPractices[Org],"Small"),IF(AND(Practices_SubPractices[CP]=7,Practices_SubPractices[Org] ="Small"),SUMIFS(Practices_SubPractices[C],Practices_SubPractices[CP],"7",Practices_SubPractices[Org],"Small"),IF(AND(Practices_SubPractices[CP]=8,Practices_SubPractices[Org] ="Small"),SUMIFS(Practices_SubPractices[C],Practices_SubPractices[CP],"8",Practices_SubPractices[Org],"Small"),IF(AND(Practices_SubPractices[CP]=9,Practices_SubPractices[Org] ="Small"),SUMIFS(Practices_SubPractices[C],Practices_SubPractices[CP],"9",Practices_SubPractices[Org],"Small"),IF(AND(Practices_SubPractices[CP]=10,Practices_SubPractices[Org] ="Small"),SUMIFS(Practices_SubPractices[C],Practices_SubPractices[CP],"10",Practices_SubPractices[Org],"Small"),IF(AND(Practices_SubPractices[CP]=1,Practices_SubPractices[Org]="Medium"),SUMIFS(Practices_SubPractices[C],Practices_SubPractices[CP],"1",Practices_SubPractices[Org],"Medium"),IF(AND(Practices_SubPractices[CP]=2,Practices_SubPractices[Org]="Medium"),SUMIFS(Practices_SubPractices[C],Practices_SubPractices[CP],"2",Practices_SubPractices[Org],"Medium"),IF(AND(Practices_SubPractices[CP]=3,Practices_SubPractices[Org]="Medium"),SUMIFS(Practices_SubPractices[C],Practices_SubPractices[CP],"3",Practices_SubPractices[Org],"Medium"),IF(AND(Practices_SubPractices[CP]=4,Practices_SubPractices[Org]="Medium"),SUMIFS(Practices_SubPractices[C],Practices_SubPractices[CP],"4",Practices_SubPractices[Org],"Medium"),IF(AND(Practices_SubPractices[CP]=5,Practices_SubPractices[Org]="Medium"),SUMIFS(Practices_SubPractices[C],Practices_SubPractices[CP],"5",Practices_SubPractices[Org],"Medium"),IF(AND(Practices_SubPractices[CP]=6,Practices_SubPractices[Org]="Medium"),SUMIFS(Practices_SubPractices[C],Practices_SubPractices[CP],"6",Practices_SubPractices[Org],"Medium"),IF(AND(Practices_SubPractices[CP]=7,Practices_SubPractices[Org] ="Medium"),SUMIFS(Practices_SubPractices[C],Practices_SubPractices[CP],"7",Practices_SubPractices[Org],"Medium"),IF(AND(Practices_SubPractices[CP]=8,Practices_SubPractices[Org] ="Medium"),SUMIFS(Practices_SubPractices[C],Practices_SubPractices[CP],"8",Practices_SubPractices[Org],"Medium"),IF(AND(Practices_SubPractices[CP]=9,Practices_SubPractices[Org] ="Medium"),SUMIFS(Practices_SubPractices[C],Practices_SubPractices[CP],"9",Practices_SubPractices[Org],"Medium"),IF(AND(Practices_SubPractices[CP]=10,Practices_SubPractices[Org] ="Medium"),SUMIFS(Practices_SubPractices[C],Practices_SubPractices[CP],"10",Practices_SubPractices[Org],"Medium"),IF(AND(Practices_SubPractices[CP]=1,Practices_SubPractices[Org]="Large"),SUMIFS(Practices_SubPractices[C],Practices_SubPractices[CP],"1",Practices_SubPractices[Org],"Large"),IF(AND(Practices_SubPractices[CP]=2,Practices_SubPractices[Org]="Large"),SUMIFS(Practices_SubPractices[C],Practices_SubPractices[CP],"2",Practices_SubPractices[Org],"Large"),IF(AND(Practices_SubPractices[CP]=3,Practices_SubPractices[Org]="Large"),SUMIFS(Practices_SubPractices[C],Practices_SubPractices[CP],"3",Practices_SubPractices[Org],"Large"),IF(AND(Practices_SubPractices[CP]=4,Practices_SubPractices[Org]="Large"),SUMIFS(Practices_SubPractices[C],Practices_SubPractices[CP],"4",Practices_SubPractices[Org],"Large"),IF(AND(Practices_SubPractices[CP]=5,Practices_SubPractices[Org]="Large"),SUMIFS(Practices_SubPractices[C],Practices_SubPractices[CP],"5",Practices_SubPractices[Org],"Large"),IF(AND(Practices_SubPractices[CP]=6,Practices_SubPractices[Org]="Large"),SUMIFS(Practices_SubPractices[C],Practices_SubPractices[CP],"6",Practices_SubPractices[Org],"Large"),IF(AND(Practices_SubPractices[CP]=7,Practices_SubPractices[Org] ="Large"),SUMIFS(Practices_SubPractices[C],Practices_SubPractices[CP],"7",Practices_SubPractices[Org],"Large"),IF(AND(Practices_SubPractices[CP]=8,Practices_SubPractices[Org] ="Large"),SUMIFS(Practices_SubPractices[C],Practices_SubPractices[CP],"8",Practices_SubPractices[Org],"Large"),IF(AND(Practices_SubPractices[CP]=9,Practices_SubPractices[Org] ="Large"),SUMIFS(Practices_SubPractices[C],Practices_SubPractices[CP],"9",Practices_SubPractices[Org],"Large"),IF(AND(Practices_SubPractices[CP]=10,Practices_SubPractices[Org] ="Large"),SUMIFS(Practices_SubPractices[C],Practices_SubPractices[CP],"10",Practices_SubPractices[Org],"Large"),"TBD"))))))))))))))))))))))))))))))</f>
        <v>2</v>
      </c>
      <c r="Q15" s="77">
        <f>IF(AND(Practices_SubPractices[CP]=1,Practices_SubPractices[Org]="Small"),SUMIFS(Practices_SubPractices[D],Practices_SubPractices[CP],"1",Practices_SubPractices[Org],"Small"),IF(AND(Practices_SubPractices[CP]=2,Practices_SubPractices[Org]="Small"),SUMIFS(Practices_SubPractices[D],Practices_SubPractices[CP],"2",Practices_SubPractices[Org],"Small"),IF(AND(Practices_SubPractices[CP]=3,Practices_SubPractices[Org]="Small"),SUMIFS(Practices_SubPractices[D],Practices_SubPractices[CP],"3",Practices_SubPractices[Org],"Small"),IF(AND(Practices_SubPractices[CP]=4,Practices_SubPractices[Org]="Small"),SUMIFS(Practices_SubPractices[D],Practices_SubPractices[CP],"4",Practices_SubPractices[Org],"Small"),IF(AND(Practices_SubPractices[CP]=5,Practices_SubPractices[Org]="Small"),SUMIFS(Practices_SubPractices[D],Practices_SubPractices[CP],"5",Practices_SubPractices[Org],"Small"),IF(AND(Practices_SubPractices[CP]=6,Practices_SubPractices[Org]="Small"),SUMIFS(Practices_SubPractices[D],Practices_SubPractices[CP],"6",Practices_SubPractices[Org],"Small"),IF(AND(Practices_SubPractices[CP]=7,Practices_SubPractices[Org] ="Small"),SUMIFS(Practices_SubPractices[D],Practices_SubPractices[CP],"7",Practices_SubPractices[Org],"Small"),IF(AND(Practices_SubPractices[CP]=8,Practices_SubPractices[Org] ="Small"),SUMIFS(Practices_SubPractices[D],Practices_SubPractices[CP],"8",Practices_SubPractices[Org],"Small"),IF(AND(Practices_SubPractices[CP]=9,Practices_SubPractices[Org] ="Small"),SUMIFS(Practices_SubPractices[D],Practices_SubPractices[CP],"9",Practices_SubPractices[Org],"Small"),IF(AND(Practices_SubPractices[CP]=10,Practices_SubPractices[Org] ="Small"),SUMIFS(Practices_SubPractices[D],Practices_SubPractices[CP],"10",Practices_SubPractices[Org],"Small"),IF(AND(Practices_SubPractices[CP]=1,Practices_SubPractices[Org]="Medium"),SUMIFS(Practices_SubPractices[D],Practices_SubPractices[CP],"1",Practices_SubPractices[Org],"Medium"),IF(AND(Practices_SubPractices[CP]=2,Practices_SubPractices[Org]="Medium"),SUMIFS(Practices_SubPractices[D],Practices_SubPractices[CP],"2",Practices_SubPractices[Org],"Medium"),IF(AND(Practices_SubPractices[CP]=3,Practices_SubPractices[Org]="Medium"),SUMIFS(Practices_SubPractices[D],Practices_SubPractices[CP],"3",Practices_SubPractices[Org],"Medium"),IF(AND(Practices_SubPractices[CP]=4,Practices_SubPractices[Org]="Medium"),SUMIFS(Practices_SubPractices[D],Practices_SubPractices[CP],"4",Practices_SubPractices[Org],"Medium"),IF(AND(Practices_SubPractices[CP]=5,Practices_SubPractices[Org]="Medium"),SUMIFS(Practices_SubPractices[D],Practices_SubPractices[CP],"5",Practices_SubPractices[Org],"Medium"),IF(AND(Practices_SubPractices[CP]=6,Practices_SubPractices[Org]="Medium"),SUMIFS(Practices_SubPractices[D],Practices_SubPractices[CP],"6",Practices_SubPractices[Org],"Medium"),IF(AND(Practices_SubPractices[CP]=7,Practices_SubPractices[Org] ="Medium"),SUMIFS(Practices_SubPractices[D],Practices_SubPractices[CP],"7",Practices_SubPractices[Org],"Medium"),IF(AND(Practices_SubPractices[CP]=8,Practices_SubPractices[Org] ="Medium"),SUMIFS(Practices_SubPractices[D],Practices_SubPractices[CP],"8",Practices_SubPractices[Org],"Medium"),IF(AND(Practices_SubPractices[CP]=9,Practices_SubPractices[Org] ="Medium"),SUMIFS(Practices_SubPractices[D],Practices_SubPractices[CP],"9",Practices_SubPractices[Org],"Medium"),IF(AND(Practices_SubPractices[CP]=10,Practices_SubPractices[Org] ="Medium"),SUMIFS(Practices_SubPractices[D],Practices_SubPractices[CP],"10",Practices_SubPractices[Org],"Medium"),IF(AND(Practices_SubPractices[CP]=1,Practices_SubPractices[Org]="Large"),SUMIFS(Practices_SubPractices[D],Practices_SubPractices[CP],"1",Practices_SubPractices[Org],"Large"),IF(AND(Practices_SubPractices[CP]=2,Practices_SubPractices[Org]="Large"),SUMIFS(Practices_SubPractices[D],Practices_SubPractices[CP],"2",Practices_SubPractices[Org],"Large"),IF(AND(Practices_SubPractices[CP]=3,Practices_SubPractices[Org]="Large"),SUMIFS(Practices_SubPractices[D],Practices_SubPractices[CP],"3",Practices_SubPractices[Org],"Large"),IF(AND(Practices_SubPractices[CP]=4,Practices_SubPractices[Org]="Large"),SUMIFS(Practices_SubPractices[D],Practices_SubPractices[CP],"4",Practices_SubPractices[Org],"Large"),IF(AND(Practices_SubPractices[CP]=5,Practices_SubPractices[Org]="Large"),SUMIFS(Practices_SubPractices[D],Practices_SubPractices[CP],"5",Practices_SubPractices[Org],"Large"),IF(AND(Practices_SubPractices[CP]=6,Practices_SubPractices[Org]="Large"),SUMIFS(Practices_SubPractices[D],Practices_SubPractices[CP],"6",Practices_SubPractices[Org],"Large"),IF(AND(Practices_SubPractices[CP]=7,Practices_SubPractices[Org] ="Large"),SUMIFS(Practices_SubPractices[D],Practices_SubPractices[CP],"7",Practices_SubPractices[Org],"Large"),IF(AND(Practices_SubPractices[CP]=8,Practices_SubPractices[Org] ="Large"),SUMIFS(Practices_SubPractices[D],Practices_SubPractices[CP],"8",Practices_SubPractices[Org],"Large"),IF(AND(Practices_SubPractices[CP]=9,Practices_SubPractices[Org] ="Large"),SUMIFS(Practices_SubPractices[D],Practices_SubPractices[CP],"9",Practices_SubPractices[Org],"Large"),IF(AND(Practices_SubPractices[CP]=10,Practices_SubPractices[Org] ="Large"),SUMIFS(Practices_SubPractices[D],Practices_SubPractices[CP],"10",Practices_SubPractices[Org],"Large"),"TBD"))))))))))))))))))))))))))))))</f>
        <v>2</v>
      </c>
      <c r="R15" s="77">
        <f>IF(AND(Practices_SubPractices[CP]=1,Practices_SubPractices[Org]="Small"),SUMIFS(Practices_SubPractices[E],Practices_SubPractices[CP],"1",Practices_SubPractices[Org],"Small"),IF(AND(Practices_SubPractices[CP]=2,Practices_SubPractices[Org]="Small"),SUMIFS(Practices_SubPractices[E],Practices_SubPractices[CP],"2",Practices_SubPractices[Org],"Small"),IF(AND(Practices_SubPractices[CP]=3,Practices_SubPractices[Org]="Small"),SUMIFS(Practices_SubPractices[E],Practices_SubPractices[CP],"3",Practices_SubPractices[Org],"Small"),IF(AND(Practices_SubPractices[CP]=4,Practices_SubPractices[Org]="Small"),SUMIFS(Practices_SubPractices[E],Practices_SubPractices[CP],"4",Practices_SubPractices[Org],"Small"),IF(AND(Practices_SubPractices[CP]=5,Practices_SubPractices[Org]="Small"),SUMIFS(Practices_SubPractices[E],Practices_SubPractices[CP],"5",Practices_SubPractices[Org],"Small"),IF(AND(Practices_SubPractices[CP]=6,Practices_SubPractices[Org]="Small"),SUMIFS(Practices_SubPractices[E],Practices_SubPractices[CP],"6",Practices_SubPractices[Org],"Small"),IF(AND(Practices_SubPractices[CP]=7,Practices_SubPractices[Org] ="Small"),SUMIFS(Practices_SubPractices[E],Practices_SubPractices[CP],"7",Practices_SubPractices[Org],"Small"),IF(AND(Practices_SubPractices[CP]=8,Practices_SubPractices[Org] ="Small"),SUMIFS(Practices_SubPractices[E],Practices_SubPractices[CP],"8",Practices_SubPractices[Org],"Small"),IF(AND(Practices_SubPractices[CP]=9,Practices_SubPractices[Org] ="Small"),SUMIFS(Practices_SubPractices[E],Practices_SubPractices[CP],"9",Practices_SubPractices[Org],"Small"),IF(AND(Practices_SubPractices[CP]=10,Practices_SubPractices[Org] ="Small"),SUMIFS(Practices_SubPractices[E],Practices_SubPractices[CP],"10",Practices_SubPractices[Org],"Small"),IF(AND(Practices_SubPractices[CP]=1,Practices_SubPractices[Org]="Medium"),SUMIFS(Practices_SubPractices[E],Practices_SubPractices[CP],"1",Practices_SubPractices[Org],"Medium"),IF(AND(Practices_SubPractices[CP]=2,Practices_SubPractices[Org]="Medium"),SUMIFS(Practices_SubPractices[E],Practices_SubPractices[CP],"2",Practices_SubPractices[Org],"Medium"),IF(AND(Practices_SubPractices[CP]=3,Practices_SubPractices[Org]="Medium"),SUMIFS(Practices_SubPractices[E],Practices_SubPractices[CP],"3",Practices_SubPractices[Org],"Medium"),IF(AND(Practices_SubPractices[CP]=4,Practices_SubPractices[Org]="Medium"),SUMIFS(Practices_SubPractices[E],Practices_SubPractices[CP],"4",Practices_SubPractices[Org],"Medium"),IF(AND(Practices_SubPractices[CP]=5,Practices_SubPractices[Org]="Medium"),SUMIFS(Practices_SubPractices[E],Practices_SubPractices[CP],"5",Practices_SubPractices[Org],"Medium"),IF(AND(Practices_SubPractices[CP]=6,Practices_SubPractices[Org]="Medium"),SUMIFS(Practices_SubPractices[E],Practices_SubPractices[CP],"6",Practices_SubPractices[Org],"Medium"),IF(AND(Practices_SubPractices[CP]=7,Practices_SubPractices[Org] ="Medium"),SUMIFS(Practices_SubPractices[E],Practices_SubPractices[CP],"7",Practices_SubPractices[Org],"Medium"),IF(AND(Practices_SubPractices[CP]=8,Practices_SubPractices[Org] ="Medium"),SUMIFS(Practices_SubPractices[E],Practices_SubPractices[CP],"8",Practices_SubPractices[Org],"Medium"),IF(AND(Practices_SubPractices[CP]=9,Practices_SubPractices[Org] ="Medium"),SUMIFS(Practices_SubPractices[E],Practices_SubPractices[CP],"9",Practices_SubPractices[Org],"Medium"),IF(AND(Practices_SubPractices[CP]=10,Practices_SubPractices[Org] ="Medium"),SUMIFS(Practices_SubPractices[E],Practices_SubPractices[CP],"10",Practices_SubPractices[Org],"Medium"),IF(AND(Practices_SubPractices[CP]=1,Practices_SubPractices[Org]="Large"),SUMIFS(Practices_SubPractices[E],Practices_SubPractices[CP],"1",Practices_SubPractices[Org],"Large"),IF(AND(Practices_SubPractices[CP]=2,Practices_SubPractices[Org]="Large"),SUMIFS(Practices_SubPractices[E],Practices_SubPractices[CP],"2",Practices_SubPractices[Org],"Large"),IF(AND(Practices_SubPractices[CP]=3,Practices_SubPractices[Org]="Large"),SUMIFS(Practices_SubPractices[E],Practices_SubPractices[CP],"3",Practices_SubPractices[Org],"Large"),IF(AND(Practices_SubPractices[CP]=4,Practices_SubPractices[Org]="Large"),SUMIFS(Practices_SubPractices[E],Practices_SubPractices[CP],"4",Practices_SubPractices[Org],"Large"),IF(AND(Practices_SubPractices[CP]=5,Practices_SubPractices[Org]="Large"),SUMIFS(Practices_SubPractices[E],Practices_SubPractices[CP],"5",Practices_SubPractices[Org],"Large"),IF(AND(Practices_SubPractices[CP]=6,Practices_SubPractices[Org]="Large"),SUMIFS(Practices_SubPractices[E],Practices_SubPractices[CP],"6",Practices_SubPractices[Org],"Large"),IF(AND(Practices_SubPractices[CP]=7,Practices_SubPractices[Org] ="Large"),SUMIFS(Practices_SubPractices[E],Practices_SubPractices[CP],"7",Practices_SubPractices[Org],"Large"),IF(AND(Practices_SubPractices[CP]=8,Practices_SubPractices[Org] ="Large"),SUMIFS(Practices_SubPractices[E],Practices_SubPractices[CP],"8",Practices_SubPractices[Org],"Large"),IF(AND(Practices_SubPractices[CP]=9,Practices_SubPractices[Org] ="Large"),SUMIFS(Practices_SubPractices[E],Practices_SubPractices[CP],"9",Practices_SubPractices[Org],"Large"),IF(AND(Practices_SubPractices[CP]=10,Practices_SubPractices[Org] ="Large"),SUMIFS(Practices_SubPractices[E],Practices_SubPractices[CP],"10",Practices_SubPractices[Org],"Large"),"TBD"))))))))))))))))))))))))))))))</f>
        <v>1</v>
      </c>
      <c r="S15" s="85" t="s">
        <v>391</v>
      </c>
    </row>
    <row r="16" spans="1:21" ht="14.5" customHeight="1" x14ac:dyDescent="0.35">
      <c r="A16" s="73">
        <v>6</v>
      </c>
      <c r="B16" s="73">
        <v>4</v>
      </c>
      <c r="C16" s="73" t="s">
        <v>10</v>
      </c>
      <c r="D16" s="73" t="str">
        <f>Practices_SubPractices[[#This Row],[CP]]&amp;LEFT(Practices_SubPractices[[#This Row],[Org]],1)</f>
        <v>4S</v>
      </c>
      <c r="E16" s="73" t="s">
        <v>265</v>
      </c>
      <c r="F16" s="74" t="s">
        <v>27</v>
      </c>
      <c r="G16" s="74" t="s">
        <v>28</v>
      </c>
      <c r="H16" s="74" t="s">
        <v>183</v>
      </c>
      <c r="I16" s="75">
        <v>0</v>
      </c>
      <c r="J16" s="75">
        <v>0</v>
      </c>
      <c r="K16" s="75">
        <v>2</v>
      </c>
      <c r="L16" s="75">
        <v>2</v>
      </c>
      <c r="M16" s="75">
        <v>0</v>
      </c>
      <c r="N16" s="76"/>
      <c r="O16" s="77">
        <f>IF(AND(Practices_SubPractices[CP]=1,Practices_SubPractices[Org]="Small"),SUMIFS(Practices_SubPractices[B],Practices_SubPractices[CP],"1",Practices_SubPractices[Org],"Small"),IF(AND(Practices_SubPractices[CP]=2,Practices_SubPractices[Org]="Small"),SUMIFS(Practices_SubPractices[B],Practices_SubPractices[CP],"2",Practices_SubPractices[Org],"Small"),IF(AND(Practices_SubPractices[CP]=3,Practices_SubPractices[Org]="Small"),SUMIFS(Practices_SubPractices[B],Practices_SubPractices[CP],"3",Practices_SubPractices[Org],"Small"),IF(AND(Practices_SubPractices[CP]=4,Practices_SubPractices[Org]="Small"),SUMIFS(Practices_SubPractices[B],Practices_SubPractices[CP],"4",Practices_SubPractices[Org],"Small"),IF(AND(Practices_SubPractices[CP]=5,Practices_SubPractices[Org]="Small"),SUMIFS(Practices_SubPractices[B],Practices_SubPractices[CP],"5",Practices_SubPractices[Org],"Small"),IF(AND(Practices_SubPractices[CP]=6,Practices_SubPractices[Org]="Small"),SUMIFS(Practices_SubPractices[B],Practices_SubPractices[CP],"6",Practices_SubPractices[Org],"Small"),IF(AND(Practices_SubPractices[CP]=7,Practices_SubPractices[Org] ="Small"),SUMIFS(Practices_SubPractices[B],Practices_SubPractices[CP],"7",Practices_SubPractices[Org],"Small"),IF(AND(Practices_SubPractices[CP]=8,Practices_SubPractices[Org] ="Small"),SUMIFS(Practices_SubPractices[B],Practices_SubPractices[CP],"8",Practices_SubPractices[Org],"Small"),IF(AND(Practices_SubPractices[CP]=9,Practices_SubPractices[Org] ="Small"),SUMIFS(Practices_SubPractices[B],Practices_SubPractices[CP],"9",Practices_SubPractices[Org],"Small"),IF(AND(Practices_SubPractices[CP]=10,Practices_SubPractices[Org] ="Small"),SUMIFS(Practices_SubPractices[B],Practices_SubPractices[CP],"10",Practices_SubPractices[Org],"Small"),IF(AND(Practices_SubPractices[CP]=1,Practices_SubPractices[Org]="Medium"),SUMIFS(Practices_SubPractices[B],Practices_SubPractices[CP],"1",Practices_SubPractices[Org],"Medium"),IF(AND(Practices_SubPractices[CP]=2,Practices_SubPractices[Org]="Medium"),SUMIFS(Practices_SubPractices[B],Practices_SubPractices[CP],"2",Practices_SubPractices[Org],"Medium"),IF(AND(Practices_SubPractices[CP]=3,Practices_SubPractices[Org]="Medium"),SUMIFS(Practices_SubPractices[B],Practices_SubPractices[CP],"3",Practices_SubPractices[Org],"Medium"),IF(AND(Practices_SubPractices[CP]=4,Practices_SubPractices[Org]="Medium"),SUMIFS(Practices_SubPractices[B],Practices_SubPractices[CP],"4",Practices_SubPractices[Org],"Medium"),IF(AND(Practices_SubPractices[CP]=5,Practices_SubPractices[Org]="Medium"),SUMIFS(Practices_SubPractices[B],Practices_SubPractices[CP],"5",Practices_SubPractices[Org],"Medium"),IF(AND(Practices_SubPractices[CP]=6,Practices_SubPractices[Org]="Medium"),SUMIFS(Practices_SubPractices[B],Practices_SubPractices[CP],"6",Practices_SubPractices[Org],"Medium"),IF(AND(Practices_SubPractices[CP]=7,Practices_SubPractices[Org] ="Medium"),SUMIFS(Practices_SubPractices[B],Practices_SubPractices[CP],"7",Practices_SubPractices[Org],"Medium"),IF(AND(Practices_SubPractices[CP]=8,Practices_SubPractices[Org] ="Medium"),SUMIFS(Practices_SubPractices[B],Practices_SubPractices[CP],"8",Practices_SubPractices[Org],"Medium"),IF(AND(Practices_SubPractices[CP]=9,Practices_SubPractices[Org] ="Medium"),SUMIFS(Practices_SubPractices[B],Practices_SubPractices[CP],"9",Practices_SubPractices[Org],"Medium"),IF(AND(Practices_SubPractices[CP]=10,Practices_SubPractices[Org] ="Medium"),SUMIFS(Practices_SubPractices[B],Practices_SubPractices[CP],"10",Practices_SubPractices[Org],"Medium"),IF(AND(Practices_SubPractices[CP]=1,Practices_SubPractices[Org]="Large"),SUMIFS(Practices_SubPractices[B],Practices_SubPractices[CP],"1",Practices_SubPractices[Org],"Large"),IF(AND(Practices_SubPractices[CP]=2,Practices_SubPractices[Org]="Large"),SUMIFS(Practices_SubPractices[B],Practices_SubPractices[CP],"2",Practices_SubPractices[Org],"Large"),IF(AND(Practices_SubPractices[CP]=3,Practices_SubPractices[Org]="Large"),SUMIFS(Practices_SubPractices[B],Practices_SubPractices[CP],"3",Practices_SubPractices[Org],"Large"),IF(AND(Practices_SubPractices[CP]=4,Practices_SubPractices[Org]="Large"),SUMIFS(Practices_SubPractices[B],Practices_SubPractices[CP],"4",Practices_SubPractices[Org],"Large"),IF(AND(Practices_SubPractices[CP]=5,Practices_SubPractices[Org]="Large"),SUMIFS(Practices_SubPractices[B],Practices_SubPractices[CP],"5",Practices_SubPractices[Org],"Large"),IF(AND(Practices_SubPractices[CP]=6,Practices_SubPractices[Org]="Large"),SUMIFS(Practices_SubPractices[B],Practices_SubPractices[CP],"6",Practices_SubPractices[Org],"Large"),IF(AND(Practices_SubPractices[CP]=7,Practices_SubPractices[Org] ="Large"),SUMIFS(Practices_SubPractices[B],Practices_SubPractices[CP],"7",Practices_SubPractices[Org],"Large"),IF(AND(Practices_SubPractices[CP]=8,Practices_SubPractices[Org] ="Large"),SUMIFS(Practices_SubPractices[B],Practices_SubPractices[CP],"8",Practices_SubPractices[Org],"Large"),IF(AND(Practices_SubPractices[CP]=9,Practices_SubPractices[Org] ="Large"),SUMIFS(Practices_SubPractices[B],Practices_SubPractices[CP],"9",Practices_SubPractices[Org],"Large"),IF(AND(Practices_SubPractices[CP]=10,Practices_SubPractices[Org] ="Large"),SUMIFS(Practices_SubPractices[B],Practices_SubPractices[CP],"10",Practices_SubPractices[Org],"Large"),"TBD"))))))))))))))))))))))))))))))</f>
        <v>1</v>
      </c>
      <c r="P16" s="77">
        <f>IF(AND(Practices_SubPractices[CP]=1,Practices_SubPractices[Org]="Small"),SUMIFS(Practices_SubPractices[C],Practices_SubPractices[CP],"1",Practices_SubPractices[Org],"Small"),IF(AND(Practices_SubPractices[CP]=2,Practices_SubPractices[Org]="Small"),SUMIFS(Practices_SubPractices[C],Practices_SubPractices[CP],"2",Practices_SubPractices[Org],"Small"),IF(AND(Practices_SubPractices[CP]=3,Practices_SubPractices[Org]="Small"),SUMIFS(Practices_SubPractices[C],Practices_SubPractices[CP],"3",Practices_SubPractices[Org],"Small"),IF(AND(Practices_SubPractices[CP]=4,Practices_SubPractices[Org]="Small"),SUMIFS(Practices_SubPractices[C],Practices_SubPractices[CP],"4",Practices_SubPractices[Org],"Small"),IF(AND(Practices_SubPractices[CP]=5,Practices_SubPractices[Org]="Small"),SUMIFS(Practices_SubPractices[C],Practices_SubPractices[CP],"5",Practices_SubPractices[Org],"Small"),IF(AND(Practices_SubPractices[CP]=6,Practices_SubPractices[Org]="Small"),SUMIFS(Practices_SubPractices[C],Practices_SubPractices[CP],"6",Practices_SubPractices[Org],"Small"),IF(AND(Practices_SubPractices[CP]=7,Practices_SubPractices[Org] ="Small"),SUMIFS(Practices_SubPractices[C],Practices_SubPractices[CP],"7",Practices_SubPractices[Org],"Small"),IF(AND(Practices_SubPractices[CP]=8,Practices_SubPractices[Org] ="Small"),SUMIFS(Practices_SubPractices[C],Practices_SubPractices[CP],"8",Practices_SubPractices[Org],"Small"),IF(AND(Practices_SubPractices[CP]=9,Practices_SubPractices[Org] ="Small"),SUMIFS(Practices_SubPractices[C],Practices_SubPractices[CP],"9",Practices_SubPractices[Org],"Small"),IF(AND(Practices_SubPractices[CP]=10,Practices_SubPractices[Org] ="Small"),SUMIFS(Practices_SubPractices[C],Practices_SubPractices[CP],"10",Practices_SubPractices[Org],"Small"),IF(AND(Practices_SubPractices[CP]=1,Practices_SubPractices[Org]="Medium"),SUMIFS(Practices_SubPractices[C],Practices_SubPractices[CP],"1",Practices_SubPractices[Org],"Medium"),IF(AND(Practices_SubPractices[CP]=2,Practices_SubPractices[Org]="Medium"),SUMIFS(Practices_SubPractices[C],Practices_SubPractices[CP],"2",Practices_SubPractices[Org],"Medium"),IF(AND(Practices_SubPractices[CP]=3,Practices_SubPractices[Org]="Medium"),SUMIFS(Practices_SubPractices[C],Practices_SubPractices[CP],"3",Practices_SubPractices[Org],"Medium"),IF(AND(Practices_SubPractices[CP]=4,Practices_SubPractices[Org]="Medium"),SUMIFS(Practices_SubPractices[C],Practices_SubPractices[CP],"4",Practices_SubPractices[Org],"Medium"),IF(AND(Practices_SubPractices[CP]=5,Practices_SubPractices[Org]="Medium"),SUMIFS(Practices_SubPractices[C],Practices_SubPractices[CP],"5",Practices_SubPractices[Org],"Medium"),IF(AND(Practices_SubPractices[CP]=6,Practices_SubPractices[Org]="Medium"),SUMIFS(Practices_SubPractices[C],Practices_SubPractices[CP],"6",Practices_SubPractices[Org],"Medium"),IF(AND(Practices_SubPractices[CP]=7,Practices_SubPractices[Org] ="Medium"),SUMIFS(Practices_SubPractices[C],Practices_SubPractices[CP],"7",Practices_SubPractices[Org],"Medium"),IF(AND(Practices_SubPractices[CP]=8,Practices_SubPractices[Org] ="Medium"),SUMIFS(Practices_SubPractices[C],Practices_SubPractices[CP],"8",Practices_SubPractices[Org],"Medium"),IF(AND(Practices_SubPractices[CP]=9,Practices_SubPractices[Org] ="Medium"),SUMIFS(Practices_SubPractices[C],Practices_SubPractices[CP],"9",Practices_SubPractices[Org],"Medium"),IF(AND(Practices_SubPractices[CP]=10,Practices_SubPractices[Org] ="Medium"),SUMIFS(Practices_SubPractices[C],Practices_SubPractices[CP],"10",Practices_SubPractices[Org],"Medium"),IF(AND(Practices_SubPractices[CP]=1,Practices_SubPractices[Org]="Large"),SUMIFS(Practices_SubPractices[C],Practices_SubPractices[CP],"1",Practices_SubPractices[Org],"Large"),IF(AND(Practices_SubPractices[CP]=2,Practices_SubPractices[Org]="Large"),SUMIFS(Practices_SubPractices[C],Practices_SubPractices[CP],"2",Practices_SubPractices[Org],"Large"),IF(AND(Practices_SubPractices[CP]=3,Practices_SubPractices[Org]="Large"),SUMIFS(Practices_SubPractices[C],Practices_SubPractices[CP],"3",Practices_SubPractices[Org],"Large"),IF(AND(Practices_SubPractices[CP]=4,Practices_SubPractices[Org]="Large"),SUMIFS(Practices_SubPractices[C],Practices_SubPractices[CP],"4",Practices_SubPractices[Org],"Large"),IF(AND(Practices_SubPractices[CP]=5,Practices_SubPractices[Org]="Large"),SUMIFS(Practices_SubPractices[C],Practices_SubPractices[CP],"5",Practices_SubPractices[Org],"Large"),IF(AND(Practices_SubPractices[CP]=6,Practices_SubPractices[Org]="Large"),SUMIFS(Practices_SubPractices[C],Practices_SubPractices[CP],"6",Practices_SubPractices[Org],"Large"),IF(AND(Practices_SubPractices[CP]=7,Practices_SubPractices[Org] ="Large"),SUMIFS(Practices_SubPractices[C],Practices_SubPractices[CP],"7",Practices_SubPractices[Org],"Large"),IF(AND(Practices_SubPractices[CP]=8,Practices_SubPractices[Org] ="Large"),SUMIFS(Practices_SubPractices[C],Practices_SubPractices[CP],"8",Practices_SubPractices[Org],"Large"),IF(AND(Practices_SubPractices[CP]=9,Practices_SubPractices[Org] ="Large"),SUMIFS(Practices_SubPractices[C],Practices_SubPractices[CP],"9",Practices_SubPractices[Org],"Large"),IF(AND(Practices_SubPractices[CP]=10,Practices_SubPractices[Org] ="Large"),SUMIFS(Practices_SubPractices[C],Practices_SubPractices[CP],"10",Practices_SubPractices[Org],"Large"),"TBD"))))))))))))))))))))))))))))))</f>
        <v>6</v>
      </c>
      <c r="Q16" s="77">
        <f>IF(AND(Practices_SubPractices[CP]=1,Practices_SubPractices[Org]="Small"),SUMIFS(Practices_SubPractices[D],Practices_SubPractices[CP],"1",Practices_SubPractices[Org],"Small"),IF(AND(Practices_SubPractices[CP]=2,Practices_SubPractices[Org]="Small"),SUMIFS(Practices_SubPractices[D],Practices_SubPractices[CP],"2",Practices_SubPractices[Org],"Small"),IF(AND(Practices_SubPractices[CP]=3,Practices_SubPractices[Org]="Small"),SUMIFS(Practices_SubPractices[D],Practices_SubPractices[CP],"3",Practices_SubPractices[Org],"Small"),IF(AND(Practices_SubPractices[CP]=4,Practices_SubPractices[Org]="Small"),SUMIFS(Practices_SubPractices[D],Practices_SubPractices[CP],"4",Practices_SubPractices[Org],"Small"),IF(AND(Practices_SubPractices[CP]=5,Practices_SubPractices[Org]="Small"),SUMIFS(Practices_SubPractices[D],Practices_SubPractices[CP],"5",Practices_SubPractices[Org],"Small"),IF(AND(Practices_SubPractices[CP]=6,Practices_SubPractices[Org]="Small"),SUMIFS(Practices_SubPractices[D],Practices_SubPractices[CP],"6",Practices_SubPractices[Org],"Small"),IF(AND(Practices_SubPractices[CP]=7,Practices_SubPractices[Org] ="Small"),SUMIFS(Practices_SubPractices[D],Practices_SubPractices[CP],"7",Practices_SubPractices[Org],"Small"),IF(AND(Practices_SubPractices[CP]=8,Practices_SubPractices[Org] ="Small"),SUMIFS(Practices_SubPractices[D],Practices_SubPractices[CP],"8",Practices_SubPractices[Org],"Small"),IF(AND(Practices_SubPractices[CP]=9,Practices_SubPractices[Org] ="Small"),SUMIFS(Practices_SubPractices[D],Practices_SubPractices[CP],"9",Practices_SubPractices[Org],"Small"),IF(AND(Practices_SubPractices[CP]=10,Practices_SubPractices[Org] ="Small"),SUMIFS(Practices_SubPractices[D],Practices_SubPractices[CP],"10",Practices_SubPractices[Org],"Small"),IF(AND(Practices_SubPractices[CP]=1,Practices_SubPractices[Org]="Medium"),SUMIFS(Practices_SubPractices[D],Practices_SubPractices[CP],"1",Practices_SubPractices[Org],"Medium"),IF(AND(Practices_SubPractices[CP]=2,Practices_SubPractices[Org]="Medium"),SUMIFS(Practices_SubPractices[D],Practices_SubPractices[CP],"2",Practices_SubPractices[Org],"Medium"),IF(AND(Practices_SubPractices[CP]=3,Practices_SubPractices[Org]="Medium"),SUMIFS(Practices_SubPractices[D],Practices_SubPractices[CP],"3",Practices_SubPractices[Org],"Medium"),IF(AND(Practices_SubPractices[CP]=4,Practices_SubPractices[Org]="Medium"),SUMIFS(Practices_SubPractices[D],Practices_SubPractices[CP],"4",Practices_SubPractices[Org],"Medium"),IF(AND(Practices_SubPractices[CP]=5,Practices_SubPractices[Org]="Medium"),SUMIFS(Practices_SubPractices[D],Practices_SubPractices[CP],"5",Practices_SubPractices[Org],"Medium"),IF(AND(Practices_SubPractices[CP]=6,Practices_SubPractices[Org]="Medium"),SUMIFS(Practices_SubPractices[D],Practices_SubPractices[CP],"6",Practices_SubPractices[Org],"Medium"),IF(AND(Practices_SubPractices[CP]=7,Practices_SubPractices[Org] ="Medium"),SUMIFS(Practices_SubPractices[D],Practices_SubPractices[CP],"7",Practices_SubPractices[Org],"Medium"),IF(AND(Practices_SubPractices[CP]=8,Practices_SubPractices[Org] ="Medium"),SUMIFS(Practices_SubPractices[D],Practices_SubPractices[CP],"8",Practices_SubPractices[Org],"Medium"),IF(AND(Practices_SubPractices[CP]=9,Practices_SubPractices[Org] ="Medium"),SUMIFS(Practices_SubPractices[D],Practices_SubPractices[CP],"9",Practices_SubPractices[Org],"Medium"),IF(AND(Practices_SubPractices[CP]=10,Practices_SubPractices[Org] ="Medium"),SUMIFS(Practices_SubPractices[D],Practices_SubPractices[CP],"10",Practices_SubPractices[Org],"Medium"),IF(AND(Practices_SubPractices[CP]=1,Practices_SubPractices[Org]="Large"),SUMIFS(Practices_SubPractices[D],Practices_SubPractices[CP],"1",Practices_SubPractices[Org],"Large"),IF(AND(Practices_SubPractices[CP]=2,Practices_SubPractices[Org]="Large"),SUMIFS(Practices_SubPractices[D],Practices_SubPractices[CP],"2",Practices_SubPractices[Org],"Large"),IF(AND(Practices_SubPractices[CP]=3,Practices_SubPractices[Org]="Large"),SUMIFS(Practices_SubPractices[D],Practices_SubPractices[CP],"3",Practices_SubPractices[Org],"Large"),IF(AND(Practices_SubPractices[CP]=4,Practices_SubPractices[Org]="Large"),SUMIFS(Practices_SubPractices[D],Practices_SubPractices[CP],"4",Practices_SubPractices[Org],"Large"),IF(AND(Practices_SubPractices[CP]=5,Practices_SubPractices[Org]="Large"),SUMIFS(Practices_SubPractices[D],Practices_SubPractices[CP],"5",Practices_SubPractices[Org],"Large"),IF(AND(Practices_SubPractices[CP]=6,Practices_SubPractices[Org]="Large"),SUMIFS(Practices_SubPractices[D],Practices_SubPractices[CP],"6",Practices_SubPractices[Org],"Large"),IF(AND(Practices_SubPractices[CP]=7,Practices_SubPractices[Org] ="Large"),SUMIFS(Practices_SubPractices[D],Practices_SubPractices[CP],"7",Practices_SubPractices[Org],"Large"),IF(AND(Practices_SubPractices[CP]=8,Practices_SubPractices[Org] ="Large"),SUMIFS(Practices_SubPractices[D],Practices_SubPractices[CP],"8",Practices_SubPractices[Org],"Large"),IF(AND(Practices_SubPractices[CP]=9,Practices_SubPractices[Org] ="Large"),SUMIFS(Practices_SubPractices[D],Practices_SubPractices[CP],"9",Practices_SubPractices[Org],"Large"),IF(AND(Practices_SubPractices[CP]=10,Practices_SubPractices[Org] ="Large"),SUMIFS(Practices_SubPractices[D],Practices_SubPractices[CP],"10",Practices_SubPractices[Org],"Large"),"TBD"))))))))))))))))))))))))))))))</f>
        <v>6</v>
      </c>
      <c r="R16" s="77">
        <f>IF(AND(Practices_SubPractices[CP]=1,Practices_SubPractices[Org]="Small"),SUMIFS(Practices_SubPractices[E],Practices_SubPractices[CP],"1",Practices_SubPractices[Org],"Small"),IF(AND(Practices_SubPractices[CP]=2,Practices_SubPractices[Org]="Small"),SUMIFS(Practices_SubPractices[E],Practices_SubPractices[CP],"2",Practices_SubPractices[Org],"Small"),IF(AND(Practices_SubPractices[CP]=3,Practices_SubPractices[Org]="Small"),SUMIFS(Practices_SubPractices[E],Practices_SubPractices[CP],"3",Practices_SubPractices[Org],"Small"),IF(AND(Practices_SubPractices[CP]=4,Practices_SubPractices[Org]="Small"),SUMIFS(Practices_SubPractices[E],Practices_SubPractices[CP],"4",Practices_SubPractices[Org],"Small"),IF(AND(Practices_SubPractices[CP]=5,Practices_SubPractices[Org]="Small"),SUMIFS(Practices_SubPractices[E],Practices_SubPractices[CP],"5",Practices_SubPractices[Org],"Small"),IF(AND(Practices_SubPractices[CP]=6,Practices_SubPractices[Org]="Small"),SUMIFS(Practices_SubPractices[E],Practices_SubPractices[CP],"6",Practices_SubPractices[Org],"Small"),IF(AND(Practices_SubPractices[CP]=7,Practices_SubPractices[Org] ="Small"),SUMIFS(Practices_SubPractices[E],Practices_SubPractices[CP],"7",Practices_SubPractices[Org],"Small"),IF(AND(Practices_SubPractices[CP]=8,Practices_SubPractices[Org] ="Small"),SUMIFS(Practices_SubPractices[E],Practices_SubPractices[CP],"8",Practices_SubPractices[Org],"Small"),IF(AND(Practices_SubPractices[CP]=9,Practices_SubPractices[Org] ="Small"),SUMIFS(Practices_SubPractices[E],Practices_SubPractices[CP],"9",Practices_SubPractices[Org],"Small"),IF(AND(Practices_SubPractices[CP]=10,Practices_SubPractices[Org] ="Small"),SUMIFS(Practices_SubPractices[E],Practices_SubPractices[CP],"10",Practices_SubPractices[Org],"Small"),IF(AND(Practices_SubPractices[CP]=1,Practices_SubPractices[Org]="Medium"),SUMIFS(Practices_SubPractices[E],Practices_SubPractices[CP],"1",Practices_SubPractices[Org],"Medium"),IF(AND(Practices_SubPractices[CP]=2,Practices_SubPractices[Org]="Medium"),SUMIFS(Practices_SubPractices[E],Practices_SubPractices[CP],"2",Practices_SubPractices[Org],"Medium"),IF(AND(Practices_SubPractices[CP]=3,Practices_SubPractices[Org]="Medium"),SUMIFS(Practices_SubPractices[E],Practices_SubPractices[CP],"3",Practices_SubPractices[Org],"Medium"),IF(AND(Practices_SubPractices[CP]=4,Practices_SubPractices[Org]="Medium"),SUMIFS(Practices_SubPractices[E],Practices_SubPractices[CP],"4",Practices_SubPractices[Org],"Medium"),IF(AND(Practices_SubPractices[CP]=5,Practices_SubPractices[Org]="Medium"),SUMIFS(Practices_SubPractices[E],Practices_SubPractices[CP],"5",Practices_SubPractices[Org],"Medium"),IF(AND(Practices_SubPractices[CP]=6,Practices_SubPractices[Org]="Medium"),SUMIFS(Practices_SubPractices[E],Practices_SubPractices[CP],"6",Practices_SubPractices[Org],"Medium"),IF(AND(Practices_SubPractices[CP]=7,Practices_SubPractices[Org] ="Medium"),SUMIFS(Practices_SubPractices[E],Practices_SubPractices[CP],"7",Practices_SubPractices[Org],"Medium"),IF(AND(Practices_SubPractices[CP]=8,Practices_SubPractices[Org] ="Medium"),SUMIFS(Practices_SubPractices[E],Practices_SubPractices[CP],"8",Practices_SubPractices[Org],"Medium"),IF(AND(Practices_SubPractices[CP]=9,Practices_SubPractices[Org] ="Medium"),SUMIFS(Practices_SubPractices[E],Practices_SubPractices[CP],"9",Practices_SubPractices[Org],"Medium"),IF(AND(Practices_SubPractices[CP]=10,Practices_SubPractices[Org] ="Medium"),SUMIFS(Practices_SubPractices[E],Practices_SubPractices[CP],"10",Practices_SubPractices[Org],"Medium"),IF(AND(Practices_SubPractices[CP]=1,Practices_SubPractices[Org]="Large"),SUMIFS(Practices_SubPractices[E],Practices_SubPractices[CP],"1",Practices_SubPractices[Org],"Large"),IF(AND(Practices_SubPractices[CP]=2,Practices_SubPractices[Org]="Large"),SUMIFS(Practices_SubPractices[E],Practices_SubPractices[CP],"2",Practices_SubPractices[Org],"Large"),IF(AND(Practices_SubPractices[CP]=3,Practices_SubPractices[Org]="Large"),SUMIFS(Practices_SubPractices[E],Practices_SubPractices[CP],"3",Practices_SubPractices[Org],"Large"),IF(AND(Practices_SubPractices[CP]=4,Practices_SubPractices[Org]="Large"),SUMIFS(Practices_SubPractices[E],Practices_SubPractices[CP],"4",Practices_SubPractices[Org],"Large"),IF(AND(Practices_SubPractices[CP]=5,Practices_SubPractices[Org]="Large"),SUMIFS(Practices_SubPractices[E],Practices_SubPractices[CP],"5",Practices_SubPractices[Org],"Large"),IF(AND(Practices_SubPractices[CP]=6,Practices_SubPractices[Org]="Large"),SUMIFS(Practices_SubPractices[E],Practices_SubPractices[CP],"6",Practices_SubPractices[Org],"Large"),IF(AND(Practices_SubPractices[CP]=7,Practices_SubPractices[Org] ="Large"),SUMIFS(Practices_SubPractices[E],Practices_SubPractices[CP],"7",Practices_SubPractices[Org],"Large"),IF(AND(Practices_SubPractices[CP]=8,Practices_SubPractices[Org] ="Large"),SUMIFS(Practices_SubPractices[E],Practices_SubPractices[CP],"8",Practices_SubPractices[Org],"Large"),IF(AND(Practices_SubPractices[CP]=9,Practices_SubPractices[Org] ="Large"),SUMIFS(Practices_SubPractices[E],Practices_SubPractices[CP],"9",Practices_SubPractices[Org],"Large"),IF(AND(Practices_SubPractices[CP]=10,Practices_SubPractices[Org] ="Large"),SUMIFS(Practices_SubPractices[E],Practices_SubPractices[CP],"10",Practices_SubPractices[Org],"Large"),"TBD"))))))))))))))))))))))))))))))</f>
        <v>0</v>
      </c>
      <c r="S16" s="85" t="s">
        <v>392</v>
      </c>
    </row>
    <row r="17" spans="1:19" ht="14.5" customHeight="1" x14ac:dyDescent="0.35">
      <c r="A17" s="73">
        <v>7</v>
      </c>
      <c r="B17" s="73">
        <v>4</v>
      </c>
      <c r="C17" s="73" t="s">
        <v>10</v>
      </c>
      <c r="D17" s="73" t="str">
        <f>Practices_SubPractices[[#This Row],[CP]]&amp;LEFT(Practices_SubPractices[[#This Row],[Org]],1)</f>
        <v>4S</v>
      </c>
      <c r="E17" s="73" t="s">
        <v>266</v>
      </c>
      <c r="F17" s="74" t="s">
        <v>29</v>
      </c>
      <c r="G17" s="74" t="s">
        <v>30</v>
      </c>
      <c r="H17" s="74" t="s">
        <v>365</v>
      </c>
      <c r="I17" s="75">
        <v>0</v>
      </c>
      <c r="J17" s="75">
        <v>0</v>
      </c>
      <c r="K17" s="75">
        <v>2</v>
      </c>
      <c r="L17" s="75">
        <v>2</v>
      </c>
      <c r="M17" s="75">
        <v>0</v>
      </c>
      <c r="N17" s="76"/>
      <c r="O17" s="77">
        <f>IF(AND(Practices_SubPractices[CP]=1,Practices_SubPractices[Org]="Small"),SUMIFS(Practices_SubPractices[B],Practices_SubPractices[CP],"1",Practices_SubPractices[Org],"Small"),IF(AND(Practices_SubPractices[CP]=2,Practices_SubPractices[Org]="Small"),SUMIFS(Practices_SubPractices[B],Practices_SubPractices[CP],"2",Practices_SubPractices[Org],"Small"),IF(AND(Practices_SubPractices[CP]=3,Practices_SubPractices[Org]="Small"),SUMIFS(Practices_SubPractices[B],Practices_SubPractices[CP],"3",Practices_SubPractices[Org],"Small"),IF(AND(Practices_SubPractices[CP]=4,Practices_SubPractices[Org]="Small"),SUMIFS(Practices_SubPractices[B],Practices_SubPractices[CP],"4",Practices_SubPractices[Org],"Small"),IF(AND(Practices_SubPractices[CP]=5,Practices_SubPractices[Org]="Small"),SUMIFS(Practices_SubPractices[B],Practices_SubPractices[CP],"5",Practices_SubPractices[Org],"Small"),IF(AND(Practices_SubPractices[CP]=6,Practices_SubPractices[Org]="Small"),SUMIFS(Practices_SubPractices[B],Practices_SubPractices[CP],"6",Practices_SubPractices[Org],"Small"),IF(AND(Practices_SubPractices[CP]=7,Practices_SubPractices[Org] ="Small"),SUMIFS(Practices_SubPractices[B],Practices_SubPractices[CP],"7",Practices_SubPractices[Org],"Small"),IF(AND(Practices_SubPractices[CP]=8,Practices_SubPractices[Org] ="Small"),SUMIFS(Practices_SubPractices[B],Practices_SubPractices[CP],"8",Practices_SubPractices[Org],"Small"),IF(AND(Practices_SubPractices[CP]=9,Practices_SubPractices[Org] ="Small"),SUMIFS(Practices_SubPractices[B],Practices_SubPractices[CP],"9",Practices_SubPractices[Org],"Small"),IF(AND(Practices_SubPractices[CP]=10,Practices_SubPractices[Org] ="Small"),SUMIFS(Practices_SubPractices[B],Practices_SubPractices[CP],"10",Practices_SubPractices[Org],"Small"),IF(AND(Practices_SubPractices[CP]=1,Practices_SubPractices[Org]="Medium"),SUMIFS(Practices_SubPractices[B],Practices_SubPractices[CP],"1",Practices_SubPractices[Org],"Medium"),IF(AND(Practices_SubPractices[CP]=2,Practices_SubPractices[Org]="Medium"),SUMIFS(Practices_SubPractices[B],Practices_SubPractices[CP],"2",Practices_SubPractices[Org],"Medium"),IF(AND(Practices_SubPractices[CP]=3,Practices_SubPractices[Org]="Medium"),SUMIFS(Practices_SubPractices[B],Practices_SubPractices[CP],"3",Practices_SubPractices[Org],"Medium"),IF(AND(Practices_SubPractices[CP]=4,Practices_SubPractices[Org]="Medium"),SUMIFS(Practices_SubPractices[B],Practices_SubPractices[CP],"4",Practices_SubPractices[Org],"Medium"),IF(AND(Practices_SubPractices[CP]=5,Practices_SubPractices[Org]="Medium"),SUMIFS(Practices_SubPractices[B],Practices_SubPractices[CP],"5",Practices_SubPractices[Org],"Medium"),IF(AND(Practices_SubPractices[CP]=6,Practices_SubPractices[Org]="Medium"),SUMIFS(Practices_SubPractices[B],Practices_SubPractices[CP],"6",Practices_SubPractices[Org],"Medium"),IF(AND(Practices_SubPractices[CP]=7,Practices_SubPractices[Org] ="Medium"),SUMIFS(Practices_SubPractices[B],Practices_SubPractices[CP],"7",Practices_SubPractices[Org],"Medium"),IF(AND(Practices_SubPractices[CP]=8,Practices_SubPractices[Org] ="Medium"),SUMIFS(Practices_SubPractices[B],Practices_SubPractices[CP],"8",Practices_SubPractices[Org],"Medium"),IF(AND(Practices_SubPractices[CP]=9,Practices_SubPractices[Org] ="Medium"),SUMIFS(Practices_SubPractices[B],Practices_SubPractices[CP],"9",Practices_SubPractices[Org],"Medium"),IF(AND(Practices_SubPractices[CP]=10,Practices_SubPractices[Org] ="Medium"),SUMIFS(Practices_SubPractices[B],Practices_SubPractices[CP],"10",Practices_SubPractices[Org],"Medium"),IF(AND(Practices_SubPractices[CP]=1,Practices_SubPractices[Org]="Large"),SUMIFS(Practices_SubPractices[B],Practices_SubPractices[CP],"1",Practices_SubPractices[Org],"Large"),IF(AND(Practices_SubPractices[CP]=2,Practices_SubPractices[Org]="Large"),SUMIFS(Practices_SubPractices[B],Practices_SubPractices[CP],"2",Practices_SubPractices[Org],"Large"),IF(AND(Practices_SubPractices[CP]=3,Practices_SubPractices[Org]="Large"),SUMIFS(Practices_SubPractices[B],Practices_SubPractices[CP],"3",Practices_SubPractices[Org],"Large"),IF(AND(Practices_SubPractices[CP]=4,Practices_SubPractices[Org]="Large"),SUMIFS(Practices_SubPractices[B],Practices_SubPractices[CP],"4",Practices_SubPractices[Org],"Large"),IF(AND(Practices_SubPractices[CP]=5,Practices_SubPractices[Org]="Large"),SUMIFS(Practices_SubPractices[B],Practices_SubPractices[CP],"5",Practices_SubPractices[Org],"Large"),IF(AND(Practices_SubPractices[CP]=6,Practices_SubPractices[Org]="Large"),SUMIFS(Practices_SubPractices[B],Practices_SubPractices[CP],"6",Practices_SubPractices[Org],"Large"),IF(AND(Practices_SubPractices[CP]=7,Practices_SubPractices[Org] ="Large"),SUMIFS(Practices_SubPractices[B],Practices_SubPractices[CP],"7",Practices_SubPractices[Org],"Large"),IF(AND(Practices_SubPractices[CP]=8,Practices_SubPractices[Org] ="Large"),SUMIFS(Practices_SubPractices[B],Practices_SubPractices[CP],"8",Practices_SubPractices[Org],"Large"),IF(AND(Practices_SubPractices[CP]=9,Practices_SubPractices[Org] ="Large"),SUMIFS(Practices_SubPractices[B],Practices_SubPractices[CP],"9",Practices_SubPractices[Org],"Large"),IF(AND(Practices_SubPractices[CP]=10,Practices_SubPractices[Org] ="Large"),SUMIFS(Practices_SubPractices[B],Practices_SubPractices[CP],"10",Practices_SubPractices[Org],"Large"),"TBD"))))))))))))))))))))))))))))))</f>
        <v>1</v>
      </c>
      <c r="P17" s="77">
        <f>IF(AND(Practices_SubPractices[CP]=1,Practices_SubPractices[Org]="Small"),SUMIFS(Practices_SubPractices[C],Practices_SubPractices[CP],"1",Practices_SubPractices[Org],"Small"),IF(AND(Practices_SubPractices[CP]=2,Practices_SubPractices[Org]="Small"),SUMIFS(Practices_SubPractices[C],Practices_SubPractices[CP],"2",Practices_SubPractices[Org],"Small"),IF(AND(Practices_SubPractices[CP]=3,Practices_SubPractices[Org]="Small"),SUMIFS(Practices_SubPractices[C],Practices_SubPractices[CP],"3",Practices_SubPractices[Org],"Small"),IF(AND(Practices_SubPractices[CP]=4,Practices_SubPractices[Org]="Small"),SUMIFS(Practices_SubPractices[C],Practices_SubPractices[CP],"4",Practices_SubPractices[Org],"Small"),IF(AND(Practices_SubPractices[CP]=5,Practices_SubPractices[Org]="Small"),SUMIFS(Practices_SubPractices[C],Practices_SubPractices[CP],"5",Practices_SubPractices[Org],"Small"),IF(AND(Practices_SubPractices[CP]=6,Practices_SubPractices[Org]="Small"),SUMIFS(Practices_SubPractices[C],Practices_SubPractices[CP],"6",Practices_SubPractices[Org],"Small"),IF(AND(Practices_SubPractices[CP]=7,Practices_SubPractices[Org] ="Small"),SUMIFS(Practices_SubPractices[C],Practices_SubPractices[CP],"7",Practices_SubPractices[Org],"Small"),IF(AND(Practices_SubPractices[CP]=8,Practices_SubPractices[Org] ="Small"),SUMIFS(Practices_SubPractices[C],Practices_SubPractices[CP],"8",Practices_SubPractices[Org],"Small"),IF(AND(Practices_SubPractices[CP]=9,Practices_SubPractices[Org] ="Small"),SUMIFS(Practices_SubPractices[C],Practices_SubPractices[CP],"9",Practices_SubPractices[Org],"Small"),IF(AND(Practices_SubPractices[CP]=10,Practices_SubPractices[Org] ="Small"),SUMIFS(Practices_SubPractices[C],Practices_SubPractices[CP],"10",Practices_SubPractices[Org],"Small"),IF(AND(Practices_SubPractices[CP]=1,Practices_SubPractices[Org]="Medium"),SUMIFS(Practices_SubPractices[C],Practices_SubPractices[CP],"1",Practices_SubPractices[Org],"Medium"),IF(AND(Practices_SubPractices[CP]=2,Practices_SubPractices[Org]="Medium"),SUMIFS(Practices_SubPractices[C],Practices_SubPractices[CP],"2",Practices_SubPractices[Org],"Medium"),IF(AND(Practices_SubPractices[CP]=3,Practices_SubPractices[Org]="Medium"),SUMIFS(Practices_SubPractices[C],Practices_SubPractices[CP],"3",Practices_SubPractices[Org],"Medium"),IF(AND(Practices_SubPractices[CP]=4,Practices_SubPractices[Org]="Medium"),SUMIFS(Practices_SubPractices[C],Practices_SubPractices[CP],"4",Practices_SubPractices[Org],"Medium"),IF(AND(Practices_SubPractices[CP]=5,Practices_SubPractices[Org]="Medium"),SUMIFS(Practices_SubPractices[C],Practices_SubPractices[CP],"5",Practices_SubPractices[Org],"Medium"),IF(AND(Practices_SubPractices[CP]=6,Practices_SubPractices[Org]="Medium"),SUMIFS(Practices_SubPractices[C],Practices_SubPractices[CP],"6",Practices_SubPractices[Org],"Medium"),IF(AND(Practices_SubPractices[CP]=7,Practices_SubPractices[Org] ="Medium"),SUMIFS(Practices_SubPractices[C],Practices_SubPractices[CP],"7",Practices_SubPractices[Org],"Medium"),IF(AND(Practices_SubPractices[CP]=8,Practices_SubPractices[Org] ="Medium"),SUMIFS(Practices_SubPractices[C],Practices_SubPractices[CP],"8",Practices_SubPractices[Org],"Medium"),IF(AND(Practices_SubPractices[CP]=9,Practices_SubPractices[Org] ="Medium"),SUMIFS(Practices_SubPractices[C],Practices_SubPractices[CP],"9",Practices_SubPractices[Org],"Medium"),IF(AND(Practices_SubPractices[CP]=10,Practices_SubPractices[Org] ="Medium"),SUMIFS(Practices_SubPractices[C],Practices_SubPractices[CP],"10",Practices_SubPractices[Org],"Medium"),IF(AND(Practices_SubPractices[CP]=1,Practices_SubPractices[Org]="Large"),SUMIFS(Practices_SubPractices[C],Practices_SubPractices[CP],"1",Practices_SubPractices[Org],"Large"),IF(AND(Practices_SubPractices[CP]=2,Practices_SubPractices[Org]="Large"),SUMIFS(Practices_SubPractices[C],Practices_SubPractices[CP],"2",Practices_SubPractices[Org],"Large"),IF(AND(Practices_SubPractices[CP]=3,Practices_SubPractices[Org]="Large"),SUMIFS(Practices_SubPractices[C],Practices_SubPractices[CP],"3",Practices_SubPractices[Org],"Large"),IF(AND(Practices_SubPractices[CP]=4,Practices_SubPractices[Org]="Large"),SUMIFS(Practices_SubPractices[C],Practices_SubPractices[CP],"4",Practices_SubPractices[Org],"Large"),IF(AND(Practices_SubPractices[CP]=5,Practices_SubPractices[Org]="Large"),SUMIFS(Practices_SubPractices[C],Practices_SubPractices[CP],"5",Practices_SubPractices[Org],"Large"),IF(AND(Practices_SubPractices[CP]=6,Practices_SubPractices[Org]="Large"),SUMIFS(Practices_SubPractices[C],Practices_SubPractices[CP],"6",Practices_SubPractices[Org],"Large"),IF(AND(Practices_SubPractices[CP]=7,Practices_SubPractices[Org] ="Large"),SUMIFS(Practices_SubPractices[C],Practices_SubPractices[CP],"7",Practices_SubPractices[Org],"Large"),IF(AND(Practices_SubPractices[CP]=8,Practices_SubPractices[Org] ="Large"),SUMIFS(Practices_SubPractices[C],Practices_SubPractices[CP],"8",Practices_SubPractices[Org],"Large"),IF(AND(Practices_SubPractices[CP]=9,Practices_SubPractices[Org] ="Large"),SUMIFS(Practices_SubPractices[C],Practices_SubPractices[CP],"9",Practices_SubPractices[Org],"Large"),IF(AND(Practices_SubPractices[CP]=10,Practices_SubPractices[Org] ="Large"),SUMIFS(Practices_SubPractices[C],Practices_SubPractices[CP],"10",Practices_SubPractices[Org],"Large"),"TBD"))))))))))))))))))))))))))))))</f>
        <v>6</v>
      </c>
      <c r="Q17" s="77">
        <f>IF(AND(Practices_SubPractices[CP]=1,Practices_SubPractices[Org]="Small"),SUMIFS(Practices_SubPractices[D],Practices_SubPractices[CP],"1",Practices_SubPractices[Org],"Small"),IF(AND(Practices_SubPractices[CP]=2,Practices_SubPractices[Org]="Small"),SUMIFS(Practices_SubPractices[D],Practices_SubPractices[CP],"2",Practices_SubPractices[Org],"Small"),IF(AND(Practices_SubPractices[CP]=3,Practices_SubPractices[Org]="Small"),SUMIFS(Practices_SubPractices[D],Practices_SubPractices[CP],"3",Practices_SubPractices[Org],"Small"),IF(AND(Practices_SubPractices[CP]=4,Practices_SubPractices[Org]="Small"),SUMIFS(Practices_SubPractices[D],Practices_SubPractices[CP],"4",Practices_SubPractices[Org],"Small"),IF(AND(Practices_SubPractices[CP]=5,Practices_SubPractices[Org]="Small"),SUMIFS(Practices_SubPractices[D],Practices_SubPractices[CP],"5",Practices_SubPractices[Org],"Small"),IF(AND(Practices_SubPractices[CP]=6,Practices_SubPractices[Org]="Small"),SUMIFS(Practices_SubPractices[D],Practices_SubPractices[CP],"6",Practices_SubPractices[Org],"Small"),IF(AND(Practices_SubPractices[CP]=7,Practices_SubPractices[Org] ="Small"),SUMIFS(Practices_SubPractices[D],Practices_SubPractices[CP],"7",Practices_SubPractices[Org],"Small"),IF(AND(Practices_SubPractices[CP]=8,Practices_SubPractices[Org] ="Small"),SUMIFS(Practices_SubPractices[D],Practices_SubPractices[CP],"8",Practices_SubPractices[Org],"Small"),IF(AND(Practices_SubPractices[CP]=9,Practices_SubPractices[Org] ="Small"),SUMIFS(Practices_SubPractices[D],Practices_SubPractices[CP],"9",Practices_SubPractices[Org],"Small"),IF(AND(Practices_SubPractices[CP]=10,Practices_SubPractices[Org] ="Small"),SUMIFS(Practices_SubPractices[D],Practices_SubPractices[CP],"10",Practices_SubPractices[Org],"Small"),IF(AND(Practices_SubPractices[CP]=1,Practices_SubPractices[Org]="Medium"),SUMIFS(Practices_SubPractices[D],Practices_SubPractices[CP],"1",Practices_SubPractices[Org],"Medium"),IF(AND(Practices_SubPractices[CP]=2,Practices_SubPractices[Org]="Medium"),SUMIFS(Practices_SubPractices[D],Practices_SubPractices[CP],"2",Practices_SubPractices[Org],"Medium"),IF(AND(Practices_SubPractices[CP]=3,Practices_SubPractices[Org]="Medium"),SUMIFS(Practices_SubPractices[D],Practices_SubPractices[CP],"3",Practices_SubPractices[Org],"Medium"),IF(AND(Practices_SubPractices[CP]=4,Practices_SubPractices[Org]="Medium"),SUMIFS(Practices_SubPractices[D],Practices_SubPractices[CP],"4",Practices_SubPractices[Org],"Medium"),IF(AND(Practices_SubPractices[CP]=5,Practices_SubPractices[Org]="Medium"),SUMIFS(Practices_SubPractices[D],Practices_SubPractices[CP],"5",Practices_SubPractices[Org],"Medium"),IF(AND(Practices_SubPractices[CP]=6,Practices_SubPractices[Org]="Medium"),SUMIFS(Practices_SubPractices[D],Practices_SubPractices[CP],"6",Practices_SubPractices[Org],"Medium"),IF(AND(Practices_SubPractices[CP]=7,Practices_SubPractices[Org] ="Medium"),SUMIFS(Practices_SubPractices[D],Practices_SubPractices[CP],"7",Practices_SubPractices[Org],"Medium"),IF(AND(Practices_SubPractices[CP]=8,Practices_SubPractices[Org] ="Medium"),SUMIFS(Practices_SubPractices[D],Practices_SubPractices[CP],"8",Practices_SubPractices[Org],"Medium"),IF(AND(Practices_SubPractices[CP]=9,Practices_SubPractices[Org] ="Medium"),SUMIFS(Practices_SubPractices[D],Practices_SubPractices[CP],"9",Practices_SubPractices[Org],"Medium"),IF(AND(Practices_SubPractices[CP]=10,Practices_SubPractices[Org] ="Medium"),SUMIFS(Practices_SubPractices[D],Practices_SubPractices[CP],"10",Practices_SubPractices[Org],"Medium"),IF(AND(Practices_SubPractices[CP]=1,Practices_SubPractices[Org]="Large"),SUMIFS(Practices_SubPractices[D],Practices_SubPractices[CP],"1",Practices_SubPractices[Org],"Large"),IF(AND(Practices_SubPractices[CP]=2,Practices_SubPractices[Org]="Large"),SUMIFS(Practices_SubPractices[D],Practices_SubPractices[CP],"2",Practices_SubPractices[Org],"Large"),IF(AND(Practices_SubPractices[CP]=3,Practices_SubPractices[Org]="Large"),SUMIFS(Practices_SubPractices[D],Practices_SubPractices[CP],"3",Practices_SubPractices[Org],"Large"),IF(AND(Practices_SubPractices[CP]=4,Practices_SubPractices[Org]="Large"),SUMIFS(Practices_SubPractices[D],Practices_SubPractices[CP],"4",Practices_SubPractices[Org],"Large"),IF(AND(Practices_SubPractices[CP]=5,Practices_SubPractices[Org]="Large"),SUMIFS(Practices_SubPractices[D],Practices_SubPractices[CP],"5",Practices_SubPractices[Org],"Large"),IF(AND(Practices_SubPractices[CP]=6,Practices_SubPractices[Org]="Large"),SUMIFS(Practices_SubPractices[D],Practices_SubPractices[CP],"6",Practices_SubPractices[Org],"Large"),IF(AND(Practices_SubPractices[CP]=7,Practices_SubPractices[Org] ="Large"),SUMIFS(Practices_SubPractices[D],Practices_SubPractices[CP],"7",Practices_SubPractices[Org],"Large"),IF(AND(Practices_SubPractices[CP]=8,Practices_SubPractices[Org] ="Large"),SUMIFS(Practices_SubPractices[D],Practices_SubPractices[CP],"8",Practices_SubPractices[Org],"Large"),IF(AND(Practices_SubPractices[CP]=9,Practices_SubPractices[Org] ="Large"),SUMIFS(Practices_SubPractices[D],Practices_SubPractices[CP],"9",Practices_SubPractices[Org],"Large"),IF(AND(Practices_SubPractices[CP]=10,Practices_SubPractices[Org] ="Large"),SUMIFS(Practices_SubPractices[D],Practices_SubPractices[CP],"10",Practices_SubPractices[Org],"Large"),"TBD"))))))))))))))))))))))))))))))</f>
        <v>6</v>
      </c>
      <c r="R17" s="77">
        <f>IF(AND(Practices_SubPractices[CP]=1,Practices_SubPractices[Org]="Small"),SUMIFS(Practices_SubPractices[E],Practices_SubPractices[CP],"1",Practices_SubPractices[Org],"Small"),IF(AND(Practices_SubPractices[CP]=2,Practices_SubPractices[Org]="Small"),SUMIFS(Practices_SubPractices[E],Practices_SubPractices[CP],"2",Practices_SubPractices[Org],"Small"),IF(AND(Practices_SubPractices[CP]=3,Practices_SubPractices[Org]="Small"),SUMIFS(Practices_SubPractices[E],Practices_SubPractices[CP],"3",Practices_SubPractices[Org],"Small"),IF(AND(Practices_SubPractices[CP]=4,Practices_SubPractices[Org]="Small"),SUMIFS(Practices_SubPractices[E],Practices_SubPractices[CP],"4",Practices_SubPractices[Org],"Small"),IF(AND(Practices_SubPractices[CP]=5,Practices_SubPractices[Org]="Small"),SUMIFS(Practices_SubPractices[E],Practices_SubPractices[CP],"5",Practices_SubPractices[Org],"Small"),IF(AND(Practices_SubPractices[CP]=6,Practices_SubPractices[Org]="Small"),SUMIFS(Practices_SubPractices[E],Practices_SubPractices[CP],"6",Practices_SubPractices[Org],"Small"),IF(AND(Practices_SubPractices[CP]=7,Practices_SubPractices[Org] ="Small"),SUMIFS(Practices_SubPractices[E],Practices_SubPractices[CP],"7",Practices_SubPractices[Org],"Small"),IF(AND(Practices_SubPractices[CP]=8,Practices_SubPractices[Org] ="Small"),SUMIFS(Practices_SubPractices[E],Practices_SubPractices[CP],"8",Practices_SubPractices[Org],"Small"),IF(AND(Practices_SubPractices[CP]=9,Practices_SubPractices[Org] ="Small"),SUMIFS(Practices_SubPractices[E],Practices_SubPractices[CP],"9",Practices_SubPractices[Org],"Small"),IF(AND(Practices_SubPractices[CP]=10,Practices_SubPractices[Org] ="Small"),SUMIFS(Practices_SubPractices[E],Practices_SubPractices[CP],"10",Practices_SubPractices[Org],"Small"),IF(AND(Practices_SubPractices[CP]=1,Practices_SubPractices[Org]="Medium"),SUMIFS(Practices_SubPractices[E],Practices_SubPractices[CP],"1",Practices_SubPractices[Org],"Medium"),IF(AND(Practices_SubPractices[CP]=2,Practices_SubPractices[Org]="Medium"),SUMIFS(Practices_SubPractices[E],Practices_SubPractices[CP],"2",Practices_SubPractices[Org],"Medium"),IF(AND(Practices_SubPractices[CP]=3,Practices_SubPractices[Org]="Medium"),SUMIFS(Practices_SubPractices[E],Practices_SubPractices[CP],"3",Practices_SubPractices[Org],"Medium"),IF(AND(Practices_SubPractices[CP]=4,Practices_SubPractices[Org]="Medium"),SUMIFS(Practices_SubPractices[E],Practices_SubPractices[CP],"4",Practices_SubPractices[Org],"Medium"),IF(AND(Practices_SubPractices[CP]=5,Practices_SubPractices[Org]="Medium"),SUMIFS(Practices_SubPractices[E],Practices_SubPractices[CP],"5",Practices_SubPractices[Org],"Medium"),IF(AND(Practices_SubPractices[CP]=6,Practices_SubPractices[Org]="Medium"),SUMIFS(Practices_SubPractices[E],Practices_SubPractices[CP],"6",Practices_SubPractices[Org],"Medium"),IF(AND(Practices_SubPractices[CP]=7,Practices_SubPractices[Org] ="Medium"),SUMIFS(Practices_SubPractices[E],Practices_SubPractices[CP],"7",Practices_SubPractices[Org],"Medium"),IF(AND(Practices_SubPractices[CP]=8,Practices_SubPractices[Org] ="Medium"),SUMIFS(Practices_SubPractices[E],Practices_SubPractices[CP],"8",Practices_SubPractices[Org],"Medium"),IF(AND(Practices_SubPractices[CP]=9,Practices_SubPractices[Org] ="Medium"),SUMIFS(Practices_SubPractices[E],Practices_SubPractices[CP],"9",Practices_SubPractices[Org],"Medium"),IF(AND(Practices_SubPractices[CP]=10,Practices_SubPractices[Org] ="Medium"),SUMIFS(Practices_SubPractices[E],Practices_SubPractices[CP],"10",Practices_SubPractices[Org],"Medium"),IF(AND(Practices_SubPractices[CP]=1,Practices_SubPractices[Org]="Large"),SUMIFS(Practices_SubPractices[E],Practices_SubPractices[CP],"1",Practices_SubPractices[Org],"Large"),IF(AND(Practices_SubPractices[CP]=2,Practices_SubPractices[Org]="Large"),SUMIFS(Practices_SubPractices[E],Practices_SubPractices[CP],"2",Practices_SubPractices[Org],"Large"),IF(AND(Practices_SubPractices[CP]=3,Practices_SubPractices[Org]="Large"),SUMIFS(Practices_SubPractices[E],Practices_SubPractices[CP],"3",Practices_SubPractices[Org],"Large"),IF(AND(Practices_SubPractices[CP]=4,Practices_SubPractices[Org]="Large"),SUMIFS(Practices_SubPractices[E],Practices_SubPractices[CP],"4",Practices_SubPractices[Org],"Large"),IF(AND(Practices_SubPractices[CP]=5,Practices_SubPractices[Org]="Large"),SUMIFS(Practices_SubPractices[E],Practices_SubPractices[CP],"5",Practices_SubPractices[Org],"Large"),IF(AND(Practices_SubPractices[CP]=6,Practices_SubPractices[Org]="Large"),SUMIFS(Practices_SubPractices[E],Practices_SubPractices[CP],"6",Practices_SubPractices[Org],"Large"),IF(AND(Practices_SubPractices[CP]=7,Practices_SubPractices[Org] ="Large"),SUMIFS(Practices_SubPractices[E],Practices_SubPractices[CP],"7",Practices_SubPractices[Org],"Large"),IF(AND(Practices_SubPractices[CP]=8,Practices_SubPractices[Org] ="Large"),SUMIFS(Practices_SubPractices[E],Practices_SubPractices[CP],"8",Practices_SubPractices[Org],"Large"),IF(AND(Practices_SubPractices[CP]=9,Practices_SubPractices[Org] ="Large"),SUMIFS(Practices_SubPractices[E],Practices_SubPractices[CP],"9",Practices_SubPractices[Org],"Large"),IF(AND(Practices_SubPractices[CP]=10,Practices_SubPractices[Org] ="Large"),SUMIFS(Practices_SubPractices[E],Practices_SubPractices[CP],"10",Practices_SubPractices[Org],"Large"),"TBD"))))))))))))))))))))))))))))))</f>
        <v>0</v>
      </c>
      <c r="S17" s="85" t="s">
        <v>393</v>
      </c>
    </row>
    <row r="18" spans="1:19" x14ac:dyDescent="0.35">
      <c r="A18" s="73">
        <v>8</v>
      </c>
      <c r="B18" s="73">
        <v>4</v>
      </c>
      <c r="C18" s="73" t="s">
        <v>10</v>
      </c>
      <c r="D18" s="73" t="str">
        <f>Practices_SubPractices[[#This Row],[CP]]&amp;LEFT(Practices_SubPractices[[#This Row],[Org]],1)</f>
        <v>4S</v>
      </c>
      <c r="E18" s="73" t="s">
        <v>267</v>
      </c>
      <c r="F18" s="74" t="s">
        <v>31</v>
      </c>
      <c r="G18" s="74" t="s">
        <v>21</v>
      </c>
      <c r="H18" s="74" t="s">
        <v>184</v>
      </c>
      <c r="I18" s="75">
        <v>0</v>
      </c>
      <c r="J18" s="75">
        <v>1</v>
      </c>
      <c r="K18" s="75">
        <v>2</v>
      </c>
      <c r="L18" s="75">
        <v>2</v>
      </c>
      <c r="M18" s="75">
        <v>0</v>
      </c>
      <c r="N18" s="76"/>
      <c r="O18" s="77">
        <f>IF(AND(Practices_SubPractices[CP]=1,Practices_SubPractices[Org]="Small"),SUMIFS(Practices_SubPractices[B],Practices_SubPractices[CP],"1",Practices_SubPractices[Org],"Small"),IF(AND(Practices_SubPractices[CP]=2,Practices_SubPractices[Org]="Small"),SUMIFS(Practices_SubPractices[B],Practices_SubPractices[CP],"2",Practices_SubPractices[Org],"Small"),IF(AND(Practices_SubPractices[CP]=3,Practices_SubPractices[Org]="Small"),SUMIFS(Practices_SubPractices[B],Practices_SubPractices[CP],"3",Practices_SubPractices[Org],"Small"),IF(AND(Practices_SubPractices[CP]=4,Practices_SubPractices[Org]="Small"),SUMIFS(Practices_SubPractices[B],Practices_SubPractices[CP],"4",Practices_SubPractices[Org],"Small"),IF(AND(Practices_SubPractices[CP]=5,Practices_SubPractices[Org]="Small"),SUMIFS(Practices_SubPractices[B],Practices_SubPractices[CP],"5",Practices_SubPractices[Org],"Small"),IF(AND(Practices_SubPractices[CP]=6,Practices_SubPractices[Org]="Small"),SUMIFS(Practices_SubPractices[B],Practices_SubPractices[CP],"6",Practices_SubPractices[Org],"Small"),IF(AND(Practices_SubPractices[CP]=7,Practices_SubPractices[Org] ="Small"),SUMIFS(Practices_SubPractices[B],Practices_SubPractices[CP],"7",Practices_SubPractices[Org],"Small"),IF(AND(Practices_SubPractices[CP]=8,Practices_SubPractices[Org] ="Small"),SUMIFS(Practices_SubPractices[B],Practices_SubPractices[CP],"8",Practices_SubPractices[Org],"Small"),IF(AND(Practices_SubPractices[CP]=9,Practices_SubPractices[Org] ="Small"),SUMIFS(Practices_SubPractices[B],Practices_SubPractices[CP],"9",Practices_SubPractices[Org],"Small"),IF(AND(Practices_SubPractices[CP]=10,Practices_SubPractices[Org] ="Small"),SUMIFS(Practices_SubPractices[B],Practices_SubPractices[CP],"10",Practices_SubPractices[Org],"Small"),IF(AND(Practices_SubPractices[CP]=1,Practices_SubPractices[Org]="Medium"),SUMIFS(Practices_SubPractices[B],Practices_SubPractices[CP],"1",Practices_SubPractices[Org],"Medium"),IF(AND(Practices_SubPractices[CP]=2,Practices_SubPractices[Org]="Medium"),SUMIFS(Practices_SubPractices[B],Practices_SubPractices[CP],"2",Practices_SubPractices[Org],"Medium"),IF(AND(Practices_SubPractices[CP]=3,Practices_SubPractices[Org]="Medium"),SUMIFS(Practices_SubPractices[B],Practices_SubPractices[CP],"3",Practices_SubPractices[Org],"Medium"),IF(AND(Practices_SubPractices[CP]=4,Practices_SubPractices[Org]="Medium"),SUMIFS(Practices_SubPractices[B],Practices_SubPractices[CP],"4",Practices_SubPractices[Org],"Medium"),IF(AND(Practices_SubPractices[CP]=5,Practices_SubPractices[Org]="Medium"),SUMIFS(Practices_SubPractices[B],Practices_SubPractices[CP],"5",Practices_SubPractices[Org],"Medium"),IF(AND(Practices_SubPractices[CP]=6,Practices_SubPractices[Org]="Medium"),SUMIFS(Practices_SubPractices[B],Practices_SubPractices[CP],"6",Practices_SubPractices[Org],"Medium"),IF(AND(Practices_SubPractices[CP]=7,Practices_SubPractices[Org] ="Medium"),SUMIFS(Practices_SubPractices[B],Practices_SubPractices[CP],"7",Practices_SubPractices[Org],"Medium"),IF(AND(Practices_SubPractices[CP]=8,Practices_SubPractices[Org] ="Medium"),SUMIFS(Practices_SubPractices[B],Practices_SubPractices[CP],"8",Practices_SubPractices[Org],"Medium"),IF(AND(Practices_SubPractices[CP]=9,Practices_SubPractices[Org] ="Medium"),SUMIFS(Practices_SubPractices[B],Practices_SubPractices[CP],"9",Practices_SubPractices[Org],"Medium"),IF(AND(Practices_SubPractices[CP]=10,Practices_SubPractices[Org] ="Medium"),SUMIFS(Practices_SubPractices[B],Practices_SubPractices[CP],"10",Practices_SubPractices[Org],"Medium"),IF(AND(Practices_SubPractices[CP]=1,Practices_SubPractices[Org]="Large"),SUMIFS(Practices_SubPractices[B],Practices_SubPractices[CP],"1",Practices_SubPractices[Org],"Large"),IF(AND(Practices_SubPractices[CP]=2,Practices_SubPractices[Org]="Large"),SUMIFS(Practices_SubPractices[B],Practices_SubPractices[CP],"2",Practices_SubPractices[Org],"Large"),IF(AND(Practices_SubPractices[CP]=3,Practices_SubPractices[Org]="Large"),SUMIFS(Practices_SubPractices[B],Practices_SubPractices[CP],"3",Practices_SubPractices[Org],"Large"),IF(AND(Practices_SubPractices[CP]=4,Practices_SubPractices[Org]="Large"),SUMIFS(Practices_SubPractices[B],Practices_SubPractices[CP],"4",Practices_SubPractices[Org],"Large"),IF(AND(Practices_SubPractices[CP]=5,Practices_SubPractices[Org]="Large"),SUMIFS(Practices_SubPractices[B],Practices_SubPractices[CP],"5",Practices_SubPractices[Org],"Large"),IF(AND(Practices_SubPractices[CP]=6,Practices_SubPractices[Org]="Large"),SUMIFS(Practices_SubPractices[B],Practices_SubPractices[CP],"6",Practices_SubPractices[Org],"Large"),IF(AND(Practices_SubPractices[CP]=7,Practices_SubPractices[Org] ="Large"),SUMIFS(Practices_SubPractices[B],Practices_SubPractices[CP],"7",Practices_SubPractices[Org],"Large"),IF(AND(Practices_SubPractices[CP]=8,Practices_SubPractices[Org] ="Large"),SUMIFS(Practices_SubPractices[B],Practices_SubPractices[CP],"8",Practices_SubPractices[Org],"Large"),IF(AND(Practices_SubPractices[CP]=9,Practices_SubPractices[Org] ="Large"),SUMIFS(Practices_SubPractices[B],Practices_SubPractices[CP],"9",Practices_SubPractices[Org],"Large"),IF(AND(Practices_SubPractices[CP]=10,Practices_SubPractices[Org] ="Large"),SUMIFS(Practices_SubPractices[B],Practices_SubPractices[CP],"10",Practices_SubPractices[Org],"Large"),"TBD"))))))))))))))))))))))))))))))</f>
        <v>1</v>
      </c>
      <c r="P18" s="77">
        <f>IF(AND(Practices_SubPractices[CP]=1,Practices_SubPractices[Org]="Small"),SUMIFS(Practices_SubPractices[C],Practices_SubPractices[CP],"1",Practices_SubPractices[Org],"Small"),IF(AND(Practices_SubPractices[CP]=2,Practices_SubPractices[Org]="Small"),SUMIFS(Practices_SubPractices[C],Practices_SubPractices[CP],"2",Practices_SubPractices[Org],"Small"),IF(AND(Practices_SubPractices[CP]=3,Practices_SubPractices[Org]="Small"),SUMIFS(Practices_SubPractices[C],Practices_SubPractices[CP],"3",Practices_SubPractices[Org],"Small"),IF(AND(Practices_SubPractices[CP]=4,Practices_SubPractices[Org]="Small"),SUMIFS(Practices_SubPractices[C],Practices_SubPractices[CP],"4",Practices_SubPractices[Org],"Small"),IF(AND(Practices_SubPractices[CP]=5,Practices_SubPractices[Org]="Small"),SUMIFS(Practices_SubPractices[C],Practices_SubPractices[CP],"5",Practices_SubPractices[Org],"Small"),IF(AND(Practices_SubPractices[CP]=6,Practices_SubPractices[Org]="Small"),SUMIFS(Practices_SubPractices[C],Practices_SubPractices[CP],"6",Practices_SubPractices[Org],"Small"),IF(AND(Practices_SubPractices[CP]=7,Practices_SubPractices[Org] ="Small"),SUMIFS(Practices_SubPractices[C],Practices_SubPractices[CP],"7",Practices_SubPractices[Org],"Small"),IF(AND(Practices_SubPractices[CP]=8,Practices_SubPractices[Org] ="Small"),SUMIFS(Practices_SubPractices[C],Practices_SubPractices[CP],"8",Practices_SubPractices[Org],"Small"),IF(AND(Practices_SubPractices[CP]=9,Practices_SubPractices[Org] ="Small"),SUMIFS(Practices_SubPractices[C],Practices_SubPractices[CP],"9",Practices_SubPractices[Org],"Small"),IF(AND(Practices_SubPractices[CP]=10,Practices_SubPractices[Org] ="Small"),SUMIFS(Practices_SubPractices[C],Practices_SubPractices[CP],"10",Practices_SubPractices[Org],"Small"),IF(AND(Practices_SubPractices[CP]=1,Practices_SubPractices[Org]="Medium"),SUMIFS(Practices_SubPractices[C],Practices_SubPractices[CP],"1",Practices_SubPractices[Org],"Medium"),IF(AND(Practices_SubPractices[CP]=2,Practices_SubPractices[Org]="Medium"),SUMIFS(Practices_SubPractices[C],Practices_SubPractices[CP],"2",Practices_SubPractices[Org],"Medium"),IF(AND(Practices_SubPractices[CP]=3,Practices_SubPractices[Org]="Medium"),SUMIFS(Practices_SubPractices[C],Practices_SubPractices[CP],"3",Practices_SubPractices[Org],"Medium"),IF(AND(Practices_SubPractices[CP]=4,Practices_SubPractices[Org]="Medium"),SUMIFS(Practices_SubPractices[C],Practices_SubPractices[CP],"4",Practices_SubPractices[Org],"Medium"),IF(AND(Practices_SubPractices[CP]=5,Practices_SubPractices[Org]="Medium"),SUMIFS(Practices_SubPractices[C],Practices_SubPractices[CP],"5",Practices_SubPractices[Org],"Medium"),IF(AND(Practices_SubPractices[CP]=6,Practices_SubPractices[Org]="Medium"),SUMIFS(Practices_SubPractices[C],Practices_SubPractices[CP],"6",Practices_SubPractices[Org],"Medium"),IF(AND(Practices_SubPractices[CP]=7,Practices_SubPractices[Org] ="Medium"),SUMIFS(Practices_SubPractices[C],Practices_SubPractices[CP],"7",Practices_SubPractices[Org],"Medium"),IF(AND(Practices_SubPractices[CP]=8,Practices_SubPractices[Org] ="Medium"),SUMIFS(Practices_SubPractices[C],Practices_SubPractices[CP],"8",Practices_SubPractices[Org],"Medium"),IF(AND(Practices_SubPractices[CP]=9,Practices_SubPractices[Org] ="Medium"),SUMIFS(Practices_SubPractices[C],Practices_SubPractices[CP],"9",Practices_SubPractices[Org],"Medium"),IF(AND(Practices_SubPractices[CP]=10,Practices_SubPractices[Org] ="Medium"),SUMIFS(Practices_SubPractices[C],Practices_SubPractices[CP],"10",Practices_SubPractices[Org],"Medium"),IF(AND(Practices_SubPractices[CP]=1,Practices_SubPractices[Org]="Large"),SUMIFS(Practices_SubPractices[C],Practices_SubPractices[CP],"1",Practices_SubPractices[Org],"Large"),IF(AND(Practices_SubPractices[CP]=2,Practices_SubPractices[Org]="Large"),SUMIFS(Practices_SubPractices[C],Practices_SubPractices[CP],"2",Practices_SubPractices[Org],"Large"),IF(AND(Practices_SubPractices[CP]=3,Practices_SubPractices[Org]="Large"),SUMIFS(Practices_SubPractices[C],Practices_SubPractices[CP],"3",Practices_SubPractices[Org],"Large"),IF(AND(Practices_SubPractices[CP]=4,Practices_SubPractices[Org]="Large"),SUMIFS(Practices_SubPractices[C],Practices_SubPractices[CP],"4",Practices_SubPractices[Org],"Large"),IF(AND(Practices_SubPractices[CP]=5,Practices_SubPractices[Org]="Large"),SUMIFS(Practices_SubPractices[C],Practices_SubPractices[CP],"5",Practices_SubPractices[Org],"Large"),IF(AND(Practices_SubPractices[CP]=6,Practices_SubPractices[Org]="Large"),SUMIFS(Practices_SubPractices[C],Practices_SubPractices[CP],"6",Practices_SubPractices[Org],"Large"),IF(AND(Practices_SubPractices[CP]=7,Practices_SubPractices[Org] ="Large"),SUMIFS(Practices_SubPractices[C],Practices_SubPractices[CP],"7",Practices_SubPractices[Org],"Large"),IF(AND(Practices_SubPractices[CP]=8,Practices_SubPractices[Org] ="Large"),SUMIFS(Practices_SubPractices[C],Practices_SubPractices[CP],"8",Practices_SubPractices[Org],"Large"),IF(AND(Practices_SubPractices[CP]=9,Practices_SubPractices[Org] ="Large"),SUMIFS(Practices_SubPractices[C],Practices_SubPractices[CP],"9",Practices_SubPractices[Org],"Large"),IF(AND(Practices_SubPractices[CP]=10,Practices_SubPractices[Org] ="Large"),SUMIFS(Practices_SubPractices[C],Practices_SubPractices[CP],"10",Practices_SubPractices[Org],"Large"),"TBD"))))))))))))))))))))))))))))))</f>
        <v>6</v>
      </c>
      <c r="Q18" s="77">
        <f>IF(AND(Practices_SubPractices[CP]=1,Practices_SubPractices[Org]="Small"),SUMIFS(Practices_SubPractices[D],Practices_SubPractices[CP],"1",Practices_SubPractices[Org],"Small"),IF(AND(Practices_SubPractices[CP]=2,Practices_SubPractices[Org]="Small"),SUMIFS(Practices_SubPractices[D],Practices_SubPractices[CP],"2",Practices_SubPractices[Org],"Small"),IF(AND(Practices_SubPractices[CP]=3,Practices_SubPractices[Org]="Small"),SUMIFS(Practices_SubPractices[D],Practices_SubPractices[CP],"3",Practices_SubPractices[Org],"Small"),IF(AND(Practices_SubPractices[CP]=4,Practices_SubPractices[Org]="Small"),SUMIFS(Practices_SubPractices[D],Practices_SubPractices[CP],"4",Practices_SubPractices[Org],"Small"),IF(AND(Practices_SubPractices[CP]=5,Practices_SubPractices[Org]="Small"),SUMIFS(Practices_SubPractices[D],Practices_SubPractices[CP],"5",Practices_SubPractices[Org],"Small"),IF(AND(Practices_SubPractices[CP]=6,Practices_SubPractices[Org]="Small"),SUMIFS(Practices_SubPractices[D],Practices_SubPractices[CP],"6",Practices_SubPractices[Org],"Small"),IF(AND(Practices_SubPractices[CP]=7,Practices_SubPractices[Org] ="Small"),SUMIFS(Practices_SubPractices[D],Practices_SubPractices[CP],"7",Practices_SubPractices[Org],"Small"),IF(AND(Practices_SubPractices[CP]=8,Practices_SubPractices[Org] ="Small"),SUMIFS(Practices_SubPractices[D],Practices_SubPractices[CP],"8",Practices_SubPractices[Org],"Small"),IF(AND(Practices_SubPractices[CP]=9,Practices_SubPractices[Org] ="Small"),SUMIFS(Practices_SubPractices[D],Practices_SubPractices[CP],"9",Practices_SubPractices[Org],"Small"),IF(AND(Practices_SubPractices[CP]=10,Practices_SubPractices[Org] ="Small"),SUMIFS(Practices_SubPractices[D],Practices_SubPractices[CP],"10",Practices_SubPractices[Org],"Small"),IF(AND(Practices_SubPractices[CP]=1,Practices_SubPractices[Org]="Medium"),SUMIFS(Practices_SubPractices[D],Practices_SubPractices[CP],"1",Practices_SubPractices[Org],"Medium"),IF(AND(Practices_SubPractices[CP]=2,Practices_SubPractices[Org]="Medium"),SUMIFS(Practices_SubPractices[D],Practices_SubPractices[CP],"2",Practices_SubPractices[Org],"Medium"),IF(AND(Practices_SubPractices[CP]=3,Practices_SubPractices[Org]="Medium"),SUMIFS(Practices_SubPractices[D],Practices_SubPractices[CP],"3",Practices_SubPractices[Org],"Medium"),IF(AND(Practices_SubPractices[CP]=4,Practices_SubPractices[Org]="Medium"),SUMIFS(Practices_SubPractices[D],Practices_SubPractices[CP],"4",Practices_SubPractices[Org],"Medium"),IF(AND(Practices_SubPractices[CP]=5,Practices_SubPractices[Org]="Medium"),SUMIFS(Practices_SubPractices[D],Practices_SubPractices[CP],"5",Practices_SubPractices[Org],"Medium"),IF(AND(Practices_SubPractices[CP]=6,Practices_SubPractices[Org]="Medium"),SUMIFS(Practices_SubPractices[D],Practices_SubPractices[CP],"6",Practices_SubPractices[Org],"Medium"),IF(AND(Practices_SubPractices[CP]=7,Practices_SubPractices[Org] ="Medium"),SUMIFS(Practices_SubPractices[D],Practices_SubPractices[CP],"7",Practices_SubPractices[Org],"Medium"),IF(AND(Practices_SubPractices[CP]=8,Practices_SubPractices[Org] ="Medium"),SUMIFS(Practices_SubPractices[D],Practices_SubPractices[CP],"8",Practices_SubPractices[Org],"Medium"),IF(AND(Practices_SubPractices[CP]=9,Practices_SubPractices[Org] ="Medium"),SUMIFS(Practices_SubPractices[D],Practices_SubPractices[CP],"9",Practices_SubPractices[Org],"Medium"),IF(AND(Practices_SubPractices[CP]=10,Practices_SubPractices[Org] ="Medium"),SUMIFS(Practices_SubPractices[D],Practices_SubPractices[CP],"10",Practices_SubPractices[Org],"Medium"),IF(AND(Practices_SubPractices[CP]=1,Practices_SubPractices[Org]="Large"),SUMIFS(Practices_SubPractices[D],Practices_SubPractices[CP],"1",Practices_SubPractices[Org],"Large"),IF(AND(Practices_SubPractices[CP]=2,Practices_SubPractices[Org]="Large"),SUMIFS(Practices_SubPractices[D],Practices_SubPractices[CP],"2",Practices_SubPractices[Org],"Large"),IF(AND(Practices_SubPractices[CP]=3,Practices_SubPractices[Org]="Large"),SUMIFS(Practices_SubPractices[D],Practices_SubPractices[CP],"3",Practices_SubPractices[Org],"Large"),IF(AND(Practices_SubPractices[CP]=4,Practices_SubPractices[Org]="Large"),SUMIFS(Practices_SubPractices[D],Practices_SubPractices[CP],"4",Practices_SubPractices[Org],"Large"),IF(AND(Practices_SubPractices[CP]=5,Practices_SubPractices[Org]="Large"),SUMIFS(Practices_SubPractices[D],Practices_SubPractices[CP],"5",Practices_SubPractices[Org],"Large"),IF(AND(Practices_SubPractices[CP]=6,Practices_SubPractices[Org]="Large"),SUMIFS(Practices_SubPractices[D],Practices_SubPractices[CP],"6",Practices_SubPractices[Org],"Large"),IF(AND(Practices_SubPractices[CP]=7,Practices_SubPractices[Org] ="Large"),SUMIFS(Practices_SubPractices[D],Practices_SubPractices[CP],"7",Practices_SubPractices[Org],"Large"),IF(AND(Practices_SubPractices[CP]=8,Practices_SubPractices[Org] ="Large"),SUMIFS(Practices_SubPractices[D],Practices_SubPractices[CP],"8",Practices_SubPractices[Org],"Large"),IF(AND(Practices_SubPractices[CP]=9,Practices_SubPractices[Org] ="Large"),SUMIFS(Practices_SubPractices[D],Practices_SubPractices[CP],"9",Practices_SubPractices[Org],"Large"),IF(AND(Practices_SubPractices[CP]=10,Practices_SubPractices[Org] ="Large"),SUMIFS(Practices_SubPractices[D],Practices_SubPractices[CP],"10",Practices_SubPractices[Org],"Large"),"TBD"))))))))))))))))))))))))))))))</f>
        <v>6</v>
      </c>
      <c r="R18" s="77">
        <f>IF(AND(Practices_SubPractices[CP]=1,Practices_SubPractices[Org]="Small"),SUMIFS(Practices_SubPractices[E],Practices_SubPractices[CP],"1",Practices_SubPractices[Org],"Small"),IF(AND(Practices_SubPractices[CP]=2,Practices_SubPractices[Org]="Small"),SUMIFS(Practices_SubPractices[E],Practices_SubPractices[CP],"2",Practices_SubPractices[Org],"Small"),IF(AND(Practices_SubPractices[CP]=3,Practices_SubPractices[Org]="Small"),SUMIFS(Practices_SubPractices[E],Practices_SubPractices[CP],"3",Practices_SubPractices[Org],"Small"),IF(AND(Practices_SubPractices[CP]=4,Practices_SubPractices[Org]="Small"),SUMIFS(Practices_SubPractices[E],Practices_SubPractices[CP],"4",Practices_SubPractices[Org],"Small"),IF(AND(Practices_SubPractices[CP]=5,Practices_SubPractices[Org]="Small"),SUMIFS(Practices_SubPractices[E],Practices_SubPractices[CP],"5",Practices_SubPractices[Org],"Small"),IF(AND(Practices_SubPractices[CP]=6,Practices_SubPractices[Org]="Small"),SUMIFS(Practices_SubPractices[E],Practices_SubPractices[CP],"6",Practices_SubPractices[Org],"Small"),IF(AND(Practices_SubPractices[CP]=7,Practices_SubPractices[Org] ="Small"),SUMIFS(Practices_SubPractices[E],Practices_SubPractices[CP],"7",Practices_SubPractices[Org],"Small"),IF(AND(Practices_SubPractices[CP]=8,Practices_SubPractices[Org] ="Small"),SUMIFS(Practices_SubPractices[E],Practices_SubPractices[CP],"8",Practices_SubPractices[Org],"Small"),IF(AND(Practices_SubPractices[CP]=9,Practices_SubPractices[Org] ="Small"),SUMIFS(Practices_SubPractices[E],Practices_SubPractices[CP],"9",Practices_SubPractices[Org],"Small"),IF(AND(Practices_SubPractices[CP]=10,Practices_SubPractices[Org] ="Small"),SUMIFS(Practices_SubPractices[E],Practices_SubPractices[CP],"10",Practices_SubPractices[Org],"Small"),IF(AND(Practices_SubPractices[CP]=1,Practices_SubPractices[Org]="Medium"),SUMIFS(Practices_SubPractices[E],Practices_SubPractices[CP],"1",Practices_SubPractices[Org],"Medium"),IF(AND(Practices_SubPractices[CP]=2,Practices_SubPractices[Org]="Medium"),SUMIFS(Practices_SubPractices[E],Practices_SubPractices[CP],"2",Practices_SubPractices[Org],"Medium"),IF(AND(Practices_SubPractices[CP]=3,Practices_SubPractices[Org]="Medium"),SUMIFS(Practices_SubPractices[E],Practices_SubPractices[CP],"3",Practices_SubPractices[Org],"Medium"),IF(AND(Practices_SubPractices[CP]=4,Practices_SubPractices[Org]="Medium"),SUMIFS(Practices_SubPractices[E],Practices_SubPractices[CP],"4",Practices_SubPractices[Org],"Medium"),IF(AND(Practices_SubPractices[CP]=5,Practices_SubPractices[Org]="Medium"),SUMIFS(Practices_SubPractices[E],Practices_SubPractices[CP],"5",Practices_SubPractices[Org],"Medium"),IF(AND(Practices_SubPractices[CP]=6,Practices_SubPractices[Org]="Medium"),SUMIFS(Practices_SubPractices[E],Practices_SubPractices[CP],"6",Practices_SubPractices[Org],"Medium"),IF(AND(Practices_SubPractices[CP]=7,Practices_SubPractices[Org] ="Medium"),SUMIFS(Practices_SubPractices[E],Practices_SubPractices[CP],"7",Practices_SubPractices[Org],"Medium"),IF(AND(Practices_SubPractices[CP]=8,Practices_SubPractices[Org] ="Medium"),SUMIFS(Practices_SubPractices[E],Practices_SubPractices[CP],"8",Practices_SubPractices[Org],"Medium"),IF(AND(Practices_SubPractices[CP]=9,Practices_SubPractices[Org] ="Medium"),SUMIFS(Practices_SubPractices[E],Practices_SubPractices[CP],"9",Practices_SubPractices[Org],"Medium"),IF(AND(Practices_SubPractices[CP]=10,Practices_SubPractices[Org] ="Medium"),SUMIFS(Practices_SubPractices[E],Practices_SubPractices[CP],"10",Practices_SubPractices[Org],"Medium"),IF(AND(Practices_SubPractices[CP]=1,Practices_SubPractices[Org]="Large"),SUMIFS(Practices_SubPractices[E],Practices_SubPractices[CP],"1",Practices_SubPractices[Org],"Large"),IF(AND(Practices_SubPractices[CP]=2,Practices_SubPractices[Org]="Large"),SUMIFS(Practices_SubPractices[E],Practices_SubPractices[CP],"2",Practices_SubPractices[Org],"Large"),IF(AND(Practices_SubPractices[CP]=3,Practices_SubPractices[Org]="Large"),SUMIFS(Practices_SubPractices[E],Practices_SubPractices[CP],"3",Practices_SubPractices[Org],"Large"),IF(AND(Practices_SubPractices[CP]=4,Practices_SubPractices[Org]="Large"),SUMIFS(Practices_SubPractices[E],Practices_SubPractices[CP],"4",Practices_SubPractices[Org],"Large"),IF(AND(Practices_SubPractices[CP]=5,Practices_SubPractices[Org]="Large"),SUMIFS(Practices_SubPractices[E],Practices_SubPractices[CP],"5",Practices_SubPractices[Org],"Large"),IF(AND(Practices_SubPractices[CP]=6,Practices_SubPractices[Org]="Large"),SUMIFS(Practices_SubPractices[E],Practices_SubPractices[CP],"6",Practices_SubPractices[Org],"Large"),IF(AND(Practices_SubPractices[CP]=7,Practices_SubPractices[Org] ="Large"),SUMIFS(Practices_SubPractices[E],Practices_SubPractices[CP],"7",Practices_SubPractices[Org],"Large"),IF(AND(Practices_SubPractices[CP]=8,Practices_SubPractices[Org] ="Large"),SUMIFS(Practices_SubPractices[E],Practices_SubPractices[CP],"8",Practices_SubPractices[Org],"Large"),IF(AND(Practices_SubPractices[CP]=9,Practices_SubPractices[Org] ="Large"),SUMIFS(Practices_SubPractices[E],Practices_SubPractices[CP],"9",Practices_SubPractices[Org],"Large"),IF(AND(Practices_SubPractices[CP]=10,Practices_SubPractices[Org] ="Large"),SUMIFS(Practices_SubPractices[E],Practices_SubPractices[CP],"10",Practices_SubPractices[Org],"Large"),"TBD"))))))))))))))))))))))))))))))</f>
        <v>0</v>
      </c>
      <c r="S18" s="84" t="s">
        <v>389</v>
      </c>
    </row>
    <row r="19" spans="1:19" x14ac:dyDescent="0.35">
      <c r="A19" s="73">
        <v>9</v>
      </c>
      <c r="B19" s="73">
        <v>5</v>
      </c>
      <c r="C19" s="73" t="s">
        <v>10</v>
      </c>
      <c r="D19" s="73" t="str">
        <f>Practices_SubPractices[[#This Row],[CP]]&amp;LEFT(Practices_SubPractices[[#This Row],[Org]],1)</f>
        <v>5S</v>
      </c>
      <c r="E19" s="73" t="s">
        <v>265</v>
      </c>
      <c r="F19" s="74" t="s">
        <v>32</v>
      </c>
      <c r="G19" s="74" t="s">
        <v>33</v>
      </c>
      <c r="H19" s="74" t="s">
        <v>185</v>
      </c>
      <c r="I19" s="75">
        <v>0</v>
      </c>
      <c r="J19" s="75">
        <v>1</v>
      </c>
      <c r="K19" s="75">
        <v>2</v>
      </c>
      <c r="L19" s="75">
        <v>2</v>
      </c>
      <c r="M19" s="75">
        <v>1</v>
      </c>
      <c r="N19" s="76"/>
      <c r="O19" s="77">
        <f>IF(AND(Practices_SubPractices[CP]=1,Practices_SubPractices[Org]="Small"),SUMIFS(Practices_SubPractices[B],Practices_SubPractices[CP],"1",Practices_SubPractices[Org],"Small"),IF(AND(Practices_SubPractices[CP]=2,Practices_SubPractices[Org]="Small"),SUMIFS(Practices_SubPractices[B],Practices_SubPractices[CP],"2",Practices_SubPractices[Org],"Small"),IF(AND(Practices_SubPractices[CP]=3,Practices_SubPractices[Org]="Small"),SUMIFS(Practices_SubPractices[B],Practices_SubPractices[CP],"3",Practices_SubPractices[Org],"Small"),IF(AND(Practices_SubPractices[CP]=4,Practices_SubPractices[Org]="Small"),SUMIFS(Practices_SubPractices[B],Practices_SubPractices[CP],"4",Practices_SubPractices[Org],"Small"),IF(AND(Practices_SubPractices[CP]=5,Practices_SubPractices[Org]="Small"),SUMIFS(Practices_SubPractices[B],Practices_SubPractices[CP],"5",Practices_SubPractices[Org],"Small"),IF(AND(Practices_SubPractices[CP]=6,Practices_SubPractices[Org]="Small"),SUMIFS(Practices_SubPractices[B],Practices_SubPractices[CP],"6",Practices_SubPractices[Org],"Small"),IF(AND(Practices_SubPractices[CP]=7,Practices_SubPractices[Org] ="Small"),SUMIFS(Practices_SubPractices[B],Practices_SubPractices[CP],"7",Practices_SubPractices[Org],"Small"),IF(AND(Practices_SubPractices[CP]=8,Practices_SubPractices[Org] ="Small"),SUMIFS(Practices_SubPractices[B],Practices_SubPractices[CP],"8",Practices_SubPractices[Org],"Small"),IF(AND(Practices_SubPractices[CP]=9,Practices_SubPractices[Org] ="Small"),SUMIFS(Practices_SubPractices[B],Practices_SubPractices[CP],"9",Practices_SubPractices[Org],"Small"),IF(AND(Practices_SubPractices[CP]=10,Practices_SubPractices[Org] ="Small"),SUMIFS(Practices_SubPractices[B],Practices_SubPractices[CP],"10",Practices_SubPractices[Org],"Small"),IF(AND(Practices_SubPractices[CP]=1,Practices_SubPractices[Org]="Medium"),SUMIFS(Practices_SubPractices[B],Practices_SubPractices[CP],"1",Practices_SubPractices[Org],"Medium"),IF(AND(Practices_SubPractices[CP]=2,Practices_SubPractices[Org]="Medium"),SUMIFS(Practices_SubPractices[B],Practices_SubPractices[CP],"2",Practices_SubPractices[Org],"Medium"),IF(AND(Practices_SubPractices[CP]=3,Practices_SubPractices[Org]="Medium"),SUMIFS(Practices_SubPractices[B],Practices_SubPractices[CP],"3",Practices_SubPractices[Org],"Medium"),IF(AND(Practices_SubPractices[CP]=4,Practices_SubPractices[Org]="Medium"),SUMIFS(Practices_SubPractices[B],Practices_SubPractices[CP],"4",Practices_SubPractices[Org],"Medium"),IF(AND(Practices_SubPractices[CP]=5,Practices_SubPractices[Org]="Medium"),SUMIFS(Practices_SubPractices[B],Practices_SubPractices[CP],"5",Practices_SubPractices[Org],"Medium"),IF(AND(Practices_SubPractices[CP]=6,Practices_SubPractices[Org]="Medium"),SUMIFS(Practices_SubPractices[B],Practices_SubPractices[CP],"6",Practices_SubPractices[Org],"Medium"),IF(AND(Practices_SubPractices[CP]=7,Practices_SubPractices[Org] ="Medium"),SUMIFS(Practices_SubPractices[B],Practices_SubPractices[CP],"7",Practices_SubPractices[Org],"Medium"),IF(AND(Practices_SubPractices[CP]=8,Practices_SubPractices[Org] ="Medium"),SUMIFS(Practices_SubPractices[B],Practices_SubPractices[CP],"8",Practices_SubPractices[Org],"Medium"),IF(AND(Practices_SubPractices[CP]=9,Practices_SubPractices[Org] ="Medium"),SUMIFS(Practices_SubPractices[B],Practices_SubPractices[CP],"9",Practices_SubPractices[Org],"Medium"),IF(AND(Practices_SubPractices[CP]=10,Practices_SubPractices[Org] ="Medium"),SUMIFS(Practices_SubPractices[B],Practices_SubPractices[CP],"10",Practices_SubPractices[Org],"Medium"),IF(AND(Practices_SubPractices[CP]=1,Practices_SubPractices[Org]="Large"),SUMIFS(Practices_SubPractices[B],Practices_SubPractices[CP],"1",Practices_SubPractices[Org],"Large"),IF(AND(Practices_SubPractices[CP]=2,Practices_SubPractices[Org]="Large"),SUMIFS(Practices_SubPractices[B],Practices_SubPractices[CP],"2",Practices_SubPractices[Org],"Large"),IF(AND(Practices_SubPractices[CP]=3,Practices_SubPractices[Org]="Large"),SUMIFS(Practices_SubPractices[B],Practices_SubPractices[CP],"3",Practices_SubPractices[Org],"Large"),IF(AND(Practices_SubPractices[CP]=4,Practices_SubPractices[Org]="Large"),SUMIFS(Practices_SubPractices[B],Practices_SubPractices[CP],"4",Practices_SubPractices[Org],"Large"),IF(AND(Practices_SubPractices[CP]=5,Practices_SubPractices[Org]="Large"),SUMIFS(Practices_SubPractices[B],Practices_SubPractices[CP],"5",Practices_SubPractices[Org],"Large"),IF(AND(Practices_SubPractices[CP]=6,Practices_SubPractices[Org]="Large"),SUMIFS(Practices_SubPractices[B],Practices_SubPractices[CP],"6",Practices_SubPractices[Org],"Large"),IF(AND(Practices_SubPractices[CP]=7,Practices_SubPractices[Org] ="Large"),SUMIFS(Practices_SubPractices[B],Practices_SubPractices[CP],"7",Practices_SubPractices[Org],"Large"),IF(AND(Practices_SubPractices[CP]=8,Practices_SubPractices[Org] ="Large"),SUMIFS(Practices_SubPractices[B],Practices_SubPractices[CP],"8",Practices_SubPractices[Org],"Large"),IF(AND(Practices_SubPractices[CP]=9,Practices_SubPractices[Org] ="Large"),SUMIFS(Practices_SubPractices[B],Practices_SubPractices[CP],"9",Practices_SubPractices[Org],"Large"),IF(AND(Practices_SubPractices[CP]=10,Practices_SubPractices[Org] ="Large"),SUMIFS(Practices_SubPractices[B],Practices_SubPractices[CP],"10",Practices_SubPractices[Org],"Large"),"TBD"))))))))))))))))))))))))))))))</f>
        <v>2</v>
      </c>
      <c r="P19" s="77">
        <f>IF(AND(Practices_SubPractices[CP]=1,Practices_SubPractices[Org]="Small"),SUMIFS(Practices_SubPractices[C],Practices_SubPractices[CP],"1",Practices_SubPractices[Org],"Small"),IF(AND(Practices_SubPractices[CP]=2,Practices_SubPractices[Org]="Small"),SUMIFS(Practices_SubPractices[C],Practices_SubPractices[CP],"2",Practices_SubPractices[Org],"Small"),IF(AND(Practices_SubPractices[CP]=3,Practices_SubPractices[Org]="Small"),SUMIFS(Practices_SubPractices[C],Practices_SubPractices[CP],"3",Practices_SubPractices[Org],"Small"),IF(AND(Practices_SubPractices[CP]=4,Practices_SubPractices[Org]="Small"),SUMIFS(Practices_SubPractices[C],Practices_SubPractices[CP],"4",Practices_SubPractices[Org],"Small"),IF(AND(Practices_SubPractices[CP]=5,Practices_SubPractices[Org]="Small"),SUMIFS(Practices_SubPractices[C],Practices_SubPractices[CP],"5",Practices_SubPractices[Org],"Small"),IF(AND(Practices_SubPractices[CP]=6,Practices_SubPractices[Org]="Small"),SUMIFS(Practices_SubPractices[C],Practices_SubPractices[CP],"6",Practices_SubPractices[Org],"Small"),IF(AND(Practices_SubPractices[CP]=7,Practices_SubPractices[Org] ="Small"),SUMIFS(Practices_SubPractices[C],Practices_SubPractices[CP],"7",Practices_SubPractices[Org],"Small"),IF(AND(Practices_SubPractices[CP]=8,Practices_SubPractices[Org] ="Small"),SUMIFS(Practices_SubPractices[C],Practices_SubPractices[CP],"8",Practices_SubPractices[Org],"Small"),IF(AND(Practices_SubPractices[CP]=9,Practices_SubPractices[Org] ="Small"),SUMIFS(Practices_SubPractices[C],Practices_SubPractices[CP],"9",Practices_SubPractices[Org],"Small"),IF(AND(Practices_SubPractices[CP]=10,Practices_SubPractices[Org] ="Small"),SUMIFS(Practices_SubPractices[C],Practices_SubPractices[CP],"10",Practices_SubPractices[Org],"Small"),IF(AND(Practices_SubPractices[CP]=1,Practices_SubPractices[Org]="Medium"),SUMIFS(Practices_SubPractices[C],Practices_SubPractices[CP],"1",Practices_SubPractices[Org],"Medium"),IF(AND(Practices_SubPractices[CP]=2,Practices_SubPractices[Org]="Medium"),SUMIFS(Practices_SubPractices[C],Practices_SubPractices[CP],"2",Practices_SubPractices[Org],"Medium"),IF(AND(Practices_SubPractices[CP]=3,Practices_SubPractices[Org]="Medium"),SUMIFS(Practices_SubPractices[C],Practices_SubPractices[CP],"3",Practices_SubPractices[Org],"Medium"),IF(AND(Practices_SubPractices[CP]=4,Practices_SubPractices[Org]="Medium"),SUMIFS(Practices_SubPractices[C],Practices_SubPractices[CP],"4",Practices_SubPractices[Org],"Medium"),IF(AND(Practices_SubPractices[CP]=5,Practices_SubPractices[Org]="Medium"),SUMIFS(Practices_SubPractices[C],Practices_SubPractices[CP],"5",Practices_SubPractices[Org],"Medium"),IF(AND(Practices_SubPractices[CP]=6,Practices_SubPractices[Org]="Medium"),SUMIFS(Practices_SubPractices[C],Practices_SubPractices[CP],"6",Practices_SubPractices[Org],"Medium"),IF(AND(Practices_SubPractices[CP]=7,Practices_SubPractices[Org] ="Medium"),SUMIFS(Practices_SubPractices[C],Practices_SubPractices[CP],"7",Practices_SubPractices[Org],"Medium"),IF(AND(Practices_SubPractices[CP]=8,Practices_SubPractices[Org] ="Medium"),SUMIFS(Practices_SubPractices[C],Practices_SubPractices[CP],"8",Practices_SubPractices[Org],"Medium"),IF(AND(Practices_SubPractices[CP]=9,Practices_SubPractices[Org] ="Medium"),SUMIFS(Practices_SubPractices[C],Practices_SubPractices[CP],"9",Practices_SubPractices[Org],"Medium"),IF(AND(Practices_SubPractices[CP]=10,Practices_SubPractices[Org] ="Medium"),SUMIFS(Practices_SubPractices[C],Practices_SubPractices[CP],"10",Practices_SubPractices[Org],"Medium"),IF(AND(Practices_SubPractices[CP]=1,Practices_SubPractices[Org]="Large"),SUMIFS(Practices_SubPractices[C],Practices_SubPractices[CP],"1",Practices_SubPractices[Org],"Large"),IF(AND(Practices_SubPractices[CP]=2,Practices_SubPractices[Org]="Large"),SUMIFS(Practices_SubPractices[C],Practices_SubPractices[CP],"2",Practices_SubPractices[Org],"Large"),IF(AND(Practices_SubPractices[CP]=3,Practices_SubPractices[Org]="Large"),SUMIFS(Practices_SubPractices[C],Practices_SubPractices[CP],"3",Practices_SubPractices[Org],"Large"),IF(AND(Practices_SubPractices[CP]=4,Practices_SubPractices[Org]="Large"),SUMIFS(Practices_SubPractices[C],Practices_SubPractices[CP],"4",Practices_SubPractices[Org],"Large"),IF(AND(Practices_SubPractices[CP]=5,Practices_SubPractices[Org]="Large"),SUMIFS(Practices_SubPractices[C],Practices_SubPractices[CP],"5",Practices_SubPractices[Org],"Large"),IF(AND(Practices_SubPractices[CP]=6,Practices_SubPractices[Org]="Large"),SUMIFS(Practices_SubPractices[C],Practices_SubPractices[CP],"6",Practices_SubPractices[Org],"Large"),IF(AND(Practices_SubPractices[CP]=7,Practices_SubPractices[Org] ="Large"),SUMIFS(Practices_SubPractices[C],Practices_SubPractices[CP],"7",Practices_SubPractices[Org],"Large"),IF(AND(Practices_SubPractices[CP]=8,Practices_SubPractices[Org] ="Large"),SUMIFS(Practices_SubPractices[C],Practices_SubPractices[CP],"8",Practices_SubPractices[Org],"Large"),IF(AND(Practices_SubPractices[CP]=9,Practices_SubPractices[Org] ="Large"),SUMIFS(Practices_SubPractices[C],Practices_SubPractices[CP],"9",Practices_SubPractices[Org],"Large"),IF(AND(Practices_SubPractices[CP]=10,Practices_SubPractices[Org] ="Large"),SUMIFS(Practices_SubPractices[C],Practices_SubPractices[CP],"10",Practices_SubPractices[Org],"Large"),"TBD"))))))))))))))))))))))))))))))</f>
        <v>6</v>
      </c>
      <c r="Q19" s="77">
        <f>IF(AND(Practices_SubPractices[CP]=1,Practices_SubPractices[Org]="Small"),SUMIFS(Practices_SubPractices[D],Practices_SubPractices[CP],"1",Practices_SubPractices[Org],"Small"),IF(AND(Practices_SubPractices[CP]=2,Practices_SubPractices[Org]="Small"),SUMIFS(Practices_SubPractices[D],Practices_SubPractices[CP],"2",Practices_SubPractices[Org],"Small"),IF(AND(Practices_SubPractices[CP]=3,Practices_SubPractices[Org]="Small"),SUMIFS(Practices_SubPractices[D],Practices_SubPractices[CP],"3",Practices_SubPractices[Org],"Small"),IF(AND(Practices_SubPractices[CP]=4,Practices_SubPractices[Org]="Small"),SUMIFS(Practices_SubPractices[D],Practices_SubPractices[CP],"4",Practices_SubPractices[Org],"Small"),IF(AND(Practices_SubPractices[CP]=5,Practices_SubPractices[Org]="Small"),SUMIFS(Practices_SubPractices[D],Practices_SubPractices[CP],"5",Practices_SubPractices[Org],"Small"),IF(AND(Practices_SubPractices[CP]=6,Practices_SubPractices[Org]="Small"),SUMIFS(Practices_SubPractices[D],Practices_SubPractices[CP],"6",Practices_SubPractices[Org],"Small"),IF(AND(Practices_SubPractices[CP]=7,Practices_SubPractices[Org] ="Small"),SUMIFS(Practices_SubPractices[D],Practices_SubPractices[CP],"7",Practices_SubPractices[Org],"Small"),IF(AND(Practices_SubPractices[CP]=8,Practices_SubPractices[Org] ="Small"),SUMIFS(Practices_SubPractices[D],Practices_SubPractices[CP],"8",Practices_SubPractices[Org],"Small"),IF(AND(Practices_SubPractices[CP]=9,Practices_SubPractices[Org] ="Small"),SUMIFS(Practices_SubPractices[D],Practices_SubPractices[CP],"9",Practices_SubPractices[Org],"Small"),IF(AND(Practices_SubPractices[CP]=10,Practices_SubPractices[Org] ="Small"),SUMIFS(Practices_SubPractices[D],Practices_SubPractices[CP],"10",Practices_SubPractices[Org],"Small"),IF(AND(Practices_SubPractices[CP]=1,Practices_SubPractices[Org]="Medium"),SUMIFS(Practices_SubPractices[D],Practices_SubPractices[CP],"1",Practices_SubPractices[Org],"Medium"),IF(AND(Practices_SubPractices[CP]=2,Practices_SubPractices[Org]="Medium"),SUMIFS(Practices_SubPractices[D],Practices_SubPractices[CP],"2",Practices_SubPractices[Org],"Medium"),IF(AND(Practices_SubPractices[CP]=3,Practices_SubPractices[Org]="Medium"),SUMIFS(Practices_SubPractices[D],Practices_SubPractices[CP],"3",Practices_SubPractices[Org],"Medium"),IF(AND(Practices_SubPractices[CP]=4,Practices_SubPractices[Org]="Medium"),SUMIFS(Practices_SubPractices[D],Practices_SubPractices[CP],"4",Practices_SubPractices[Org],"Medium"),IF(AND(Practices_SubPractices[CP]=5,Practices_SubPractices[Org]="Medium"),SUMIFS(Practices_SubPractices[D],Practices_SubPractices[CP],"5",Practices_SubPractices[Org],"Medium"),IF(AND(Practices_SubPractices[CP]=6,Practices_SubPractices[Org]="Medium"),SUMIFS(Practices_SubPractices[D],Practices_SubPractices[CP],"6",Practices_SubPractices[Org],"Medium"),IF(AND(Practices_SubPractices[CP]=7,Practices_SubPractices[Org] ="Medium"),SUMIFS(Practices_SubPractices[D],Practices_SubPractices[CP],"7",Practices_SubPractices[Org],"Medium"),IF(AND(Practices_SubPractices[CP]=8,Practices_SubPractices[Org] ="Medium"),SUMIFS(Practices_SubPractices[D],Practices_SubPractices[CP],"8",Practices_SubPractices[Org],"Medium"),IF(AND(Practices_SubPractices[CP]=9,Practices_SubPractices[Org] ="Medium"),SUMIFS(Practices_SubPractices[D],Practices_SubPractices[CP],"9",Practices_SubPractices[Org],"Medium"),IF(AND(Practices_SubPractices[CP]=10,Practices_SubPractices[Org] ="Medium"),SUMIFS(Practices_SubPractices[D],Practices_SubPractices[CP],"10",Practices_SubPractices[Org],"Medium"),IF(AND(Practices_SubPractices[CP]=1,Practices_SubPractices[Org]="Large"),SUMIFS(Practices_SubPractices[D],Practices_SubPractices[CP],"1",Practices_SubPractices[Org],"Large"),IF(AND(Practices_SubPractices[CP]=2,Practices_SubPractices[Org]="Large"),SUMIFS(Practices_SubPractices[D],Practices_SubPractices[CP],"2",Practices_SubPractices[Org],"Large"),IF(AND(Practices_SubPractices[CP]=3,Practices_SubPractices[Org]="Large"),SUMIFS(Practices_SubPractices[D],Practices_SubPractices[CP],"3",Practices_SubPractices[Org],"Large"),IF(AND(Practices_SubPractices[CP]=4,Practices_SubPractices[Org]="Large"),SUMIFS(Practices_SubPractices[D],Practices_SubPractices[CP],"4",Practices_SubPractices[Org],"Large"),IF(AND(Practices_SubPractices[CP]=5,Practices_SubPractices[Org]="Large"),SUMIFS(Practices_SubPractices[D],Practices_SubPractices[CP],"5",Practices_SubPractices[Org],"Large"),IF(AND(Practices_SubPractices[CP]=6,Practices_SubPractices[Org]="Large"),SUMIFS(Practices_SubPractices[D],Practices_SubPractices[CP],"6",Practices_SubPractices[Org],"Large"),IF(AND(Practices_SubPractices[CP]=7,Practices_SubPractices[Org] ="Large"),SUMIFS(Practices_SubPractices[D],Practices_SubPractices[CP],"7",Practices_SubPractices[Org],"Large"),IF(AND(Practices_SubPractices[CP]=8,Practices_SubPractices[Org] ="Large"),SUMIFS(Practices_SubPractices[D],Practices_SubPractices[CP],"8",Practices_SubPractices[Org],"Large"),IF(AND(Practices_SubPractices[CP]=9,Practices_SubPractices[Org] ="Large"),SUMIFS(Practices_SubPractices[D],Practices_SubPractices[CP],"9",Practices_SubPractices[Org],"Large"),IF(AND(Practices_SubPractices[CP]=10,Practices_SubPractices[Org] ="Large"),SUMIFS(Practices_SubPractices[D],Practices_SubPractices[CP],"10",Practices_SubPractices[Org],"Large"),"TBD"))))))))))))))))))))))))))))))</f>
        <v>6</v>
      </c>
      <c r="R19" s="77">
        <f>IF(AND(Practices_SubPractices[CP]=1,Practices_SubPractices[Org]="Small"),SUMIFS(Practices_SubPractices[E],Practices_SubPractices[CP],"1",Practices_SubPractices[Org],"Small"),IF(AND(Practices_SubPractices[CP]=2,Practices_SubPractices[Org]="Small"),SUMIFS(Practices_SubPractices[E],Practices_SubPractices[CP],"2",Practices_SubPractices[Org],"Small"),IF(AND(Practices_SubPractices[CP]=3,Practices_SubPractices[Org]="Small"),SUMIFS(Practices_SubPractices[E],Practices_SubPractices[CP],"3",Practices_SubPractices[Org],"Small"),IF(AND(Practices_SubPractices[CP]=4,Practices_SubPractices[Org]="Small"),SUMIFS(Practices_SubPractices[E],Practices_SubPractices[CP],"4",Practices_SubPractices[Org],"Small"),IF(AND(Practices_SubPractices[CP]=5,Practices_SubPractices[Org]="Small"),SUMIFS(Practices_SubPractices[E],Practices_SubPractices[CP],"5",Practices_SubPractices[Org],"Small"),IF(AND(Practices_SubPractices[CP]=6,Practices_SubPractices[Org]="Small"),SUMIFS(Practices_SubPractices[E],Practices_SubPractices[CP],"6",Practices_SubPractices[Org],"Small"),IF(AND(Practices_SubPractices[CP]=7,Practices_SubPractices[Org] ="Small"),SUMIFS(Practices_SubPractices[E],Practices_SubPractices[CP],"7",Practices_SubPractices[Org],"Small"),IF(AND(Practices_SubPractices[CP]=8,Practices_SubPractices[Org] ="Small"),SUMIFS(Practices_SubPractices[E],Practices_SubPractices[CP],"8",Practices_SubPractices[Org],"Small"),IF(AND(Practices_SubPractices[CP]=9,Practices_SubPractices[Org] ="Small"),SUMIFS(Practices_SubPractices[E],Practices_SubPractices[CP],"9",Practices_SubPractices[Org],"Small"),IF(AND(Practices_SubPractices[CP]=10,Practices_SubPractices[Org] ="Small"),SUMIFS(Practices_SubPractices[E],Practices_SubPractices[CP],"10",Practices_SubPractices[Org],"Small"),IF(AND(Practices_SubPractices[CP]=1,Practices_SubPractices[Org]="Medium"),SUMIFS(Practices_SubPractices[E],Practices_SubPractices[CP],"1",Practices_SubPractices[Org],"Medium"),IF(AND(Practices_SubPractices[CP]=2,Practices_SubPractices[Org]="Medium"),SUMIFS(Practices_SubPractices[E],Practices_SubPractices[CP],"2",Practices_SubPractices[Org],"Medium"),IF(AND(Practices_SubPractices[CP]=3,Practices_SubPractices[Org]="Medium"),SUMIFS(Practices_SubPractices[E],Practices_SubPractices[CP],"3",Practices_SubPractices[Org],"Medium"),IF(AND(Practices_SubPractices[CP]=4,Practices_SubPractices[Org]="Medium"),SUMIFS(Practices_SubPractices[E],Practices_SubPractices[CP],"4",Practices_SubPractices[Org],"Medium"),IF(AND(Practices_SubPractices[CP]=5,Practices_SubPractices[Org]="Medium"),SUMIFS(Practices_SubPractices[E],Practices_SubPractices[CP],"5",Practices_SubPractices[Org],"Medium"),IF(AND(Practices_SubPractices[CP]=6,Practices_SubPractices[Org]="Medium"),SUMIFS(Practices_SubPractices[E],Practices_SubPractices[CP],"6",Practices_SubPractices[Org],"Medium"),IF(AND(Practices_SubPractices[CP]=7,Practices_SubPractices[Org] ="Medium"),SUMIFS(Practices_SubPractices[E],Practices_SubPractices[CP],"7",Practices_SubPractices[Org],"Medium"),IF(AND(Practices_SubPractices[CP]=8,Practices_SubPractices[Org] ="Medium"),SUMIFS(Practices_SubPractices[E],Practices_SubPractices[CP],"8",Practices_SubPractices[Org],"Medium"),IF(AND(Practices_SubPractices[CP]=9,Practices_SubPractices[Org] ="Medium"),SUMIFS(Practices_SubPractices[E],Practices_SubPractices[CP],"9",Practices_SubPractices[Org],"Medium"),IF(AND(Practices_SubPractices[CP]=10,Practices_SubPractices[Org] ="Medium"),SUMIFS(Practices_SubPractices[E],Practices_SubPractices[CP],"10",Practices_SubPractices[Org],"Medium"),IF(AND(Practices_SubPractices[CP]=1,Practices_SubPractices[Org]="Large"),SUMIFS(Practices_SubPractices[E],Practices_SubPractices[CP],"1",Practices_SubPractices[Org],"Large"),IF(AND(Practices_SubPractices[CP]=2,Practices_SubPractices[Org]="Large"),SUMIFS(Practices_SubPractices[E],Practices_SubPractices[CP],"2",Practices_SubPractices[Org],"Large"),IF(AND(Practices_SubPractices[CP]=3,Practices_SubPractices[Org]="Large"),SUMIFS(Practices_SubPractices[E],Practices_SubPractices[CP],"3",Practices_SubPractices[Org],"Large"),IF(AND(Practices_SubPractices[CP]=4,Practices_SubPractices[Org]="Large"),SUMIFS(Practices_SubPractices[E],Practices_SubPractices[CP],"4",Practices_SubPractices[Org],"Large"),IF(AND(Practices_SubPractices[CP]=5,Practices_SubPractices[Org]="Large"),SUMIFS(Practices_SubPractices[E],Practices_SubPractices[CP],"5",Practices_SubPractices[Org],"Large"),IF(AND(Practices_SubPractices[CP]=6,Practices_SubPractices[Org]="Large"),SUMIFS(Practices_SubPractices[E],Practices_SubPractices[CP],"6",Practices_SubPractices[Org],"Large"),IF(AND(Practices_SubPractices[CP]=7,Practices_SubPractices[Org] ="Large"),SUMIFS(Practices_SubPractices[E],Practices_SubPractices[CP],"7",Practices_SubPractices[Org],"Large"),IF(AND(Practices_SubPractices[CP]=8,Practices_SubPractices[Org] ="Large"),SUMIFS(Practices_SubPractices[E],Practices_SubPractices[CP],"8",Practices_SubPractices[Org],"Large"),IF(AND(Practices_SubPractices[CP]=9,Practices_SubPractices[Org] ="Large"),SUMIFS(Practices_SubPractices[E],Practices_SubPractices[CP],"9",Practices_SubPractices[Org],"Large"),IF(AND(Practices_SubPractices[CP]=10,Practices_SubPractices[Org] ="Large"),SUMIFS(Practices_SubPractices[E],Practices_SubPractices[CP],"10",Practices_SubPractices[Org],"Large"),"TBD"))))))))))))))))))))))))))))))</f>
        <v>3</v>
      </c>
      <c r="S19" s="84" t="s">
        <v>394</v>
      </c>
    </row>
    <row r="20" spans="1:19" x14ac:dyDescent="0.35">
      <c r="A20" s="73">
        <v>10</v>
      </c>
      <c r="B20" s="73">
        <v>5</v>
      </c>
      <c r="C20" s="73" t="s">
        <v>10</v>
      </c>
      <c r="D20" s="73" t="str">
        <f>Practices_SubPractices[[#This Row],[CP]]&amp;LEFT(Practices_SubPractices[[#This Row],[Org]],1)</f>
        <v>5S</v>
      </c>
      <c r="E20" s="73" t="s">
        <v>266</v>
      </c>
      <c r="F20" s="74" t="s">
        <v>34</v>
      </c>
      <c r="G20" s="74" t="s">
        <v>35</v>
      </c>
      <c r="H20" s="74" t="s">
        <v>227</v>
      </c>
      <c r="I20" s="75">
        <v>0</v>
      </c>
      <c r="J20" s="75">
        <v>1</v>
      </c>
      <c r="K20" s="75">
        <v>2</v>
      </c>
      <c r="L20" s="75">
        <v>2</v>
      </c>
      <c r="M20" s="75">
        <v>1</v>
      </c>
      <c r="N20" s="76"/>
      <c r="O20" s="77">
        <f>IF(AND(Practices_SubPractices[CP]=1,Practices_SubPractices[Org]="Small"),SUMIFS(Practices_SubPractices[B],Practices_SubPractices[CP],"1",Practices_SubPractices[Org],"Small"),IF(AND(Practices_SubPractices[CP]=2,Practices_SubPractices[Org]="Small"),SUMIFS(Practices_SubPractices[B],Practices_SubPractices[CP],"2",Practices_SubPractices[Org],"Small"),IF(AND(Practices_SubPractices[CP]=3,Practices_SubPractices[Org]="Small"),SUMIFS(Practices_SubPractices[B],Practices_SubPractices[CP],"3",Practices_SubPractices[Org],"Small"),IF(AND(Practices_SubPractices[CP]=4,Practices_SubPractices[Org]="Small"),SUMIFS(Practices_SubPractices[B],Practices_SubPractices[CP],"4",Practices_SubPractices[Org],"Small"),IF(AND(Practices_SubPractices[CP]=5,Practices_SubPractices[Org]="Small"),SUMIFS(Practices_SubPractices[B],Practices_SubPractices[CP],"5",Practices_SubPractices[Org],"Small"),IF(AND(Practices_SubPractices[CP]=6,Practices_SubPractices[Org]="Small"),SUMIFS(Practices_SubPractices[B],Practices_SubPractices[CP],"6",Practices_SubPractices[Org],"Small"),IF(AND(Practices_SubPractices[CP]=7,Practices_SubPractices[Org] ="Small"),SUMIFS(Practices_SubPractices[B],Practices_SubPractices[CP],"7",Practices_SubPractices[Org],"Small"),IF(AND(Practices_SubPractices[CP]=8,Practices_SubPractices[Org] ="Small"),SUMIFS(Practices_SubPractices[B],Practices_SubPractices[CP],"8",Practices_SubPractices[Org],"Small"),IF(AND(Practices_SubPractices[CP]=9,Practices_SubPractices[Org] ="Small"),SUMIFS(Practices_SubPractices[B],Practices_SubPractices[CP],"9",Practices_SubPractices[Org],"Small"),IF(AND(Practices_SubPractices[CP]=10,Practices_SubPractices[Org] ="Small"),SUMIFS(Practices_SubPractices[B],Practices_SubPractices[CP],"10",Practices_SubPractices[Org],"Small"),IF(AND(Practices_SubPractices[CP]=1,Practices_SubPractices[Org]="Medium"),SUMIFS(Practices_SubPractices[B],Practices_SubPractices[CP],"1",Practices_SubPractices[Org],"Medium"),IF(AND(Practices_SubPractices[CP]=2,Practices_SubPractices[Org]="Medium"),SUMIFS(Practices_SubPractices[B],Practices_SubPractices[CP],"2",Practices_SubPractices[Org],"Medium"),IF(AND(Practices_SubPractices[CP]=3,Practices_SubPractices[Org]="Medium"),SUMIFS(Practices_SubPractices[B],Practices_SubPractices[CP],"3",Practices_SubPractices[Org],"Medium"),IF(AND(Practices_SubPractices[CP]=4,Practices_SubPractices[Org]="Medium"),SUMIFS(Practices_SubPractices[B],Practices_SubPractices[CP],"4",Practices_SubPractices[Org],"Medium"),IF(AND(Practices_SubPractices[CP]=5,Practices_SubPractices[Org]="Medium"),SUMIFS(Practices_SubPractices[B],Practices_SubPractices[CP],"5",Practices_SubPractices[Org],"Medium"),IF(AND(Practices_SubPractices[CP]=6,Practices_SubPractices[Org]="Medium"),SUMIFS(Practices_SubPractices[B],Practices_SubPractices[CP],"6",Practices_SubPractices[Org],"Medium"),IF(AND(Practices_SubPractices[CP]=7,Practices_SubPractices[Org] ="Medium"),SUMIFS(Practices_SubPractices[B],Practices_SubPractices[CP],"7",Practices_SubPractices[Org],"Medium"),IF(AND(Practices_SubPractices[CP]=8,Practices_SubPractices[Org] ="Medium"),SUMIFS(Practices_SubPractices[B],Practices_SubPractices[CP],"8",Practices_SubPractices[Org],"Medium"),IF(AND(Practices_SubPractices[CP]=9,Practices_SubPractices[Org] ="Medium"),SUMIFS(Practices_SubPractices[B],Practices_SubPractices[CP],"9",Practices_SubPractices[Org],"Medium"),IF(AND(Practices_SubPractices[CP]=10,Practices_SubPractices[Org] ="Medium"),SUMIFS(Practices_SubPractices[B],Practices_SubPractices[CP],"10",Practices_SubPractices[Org],"Medium"),IF(AND(Practices_SubPractices[CP]=1,Practices_SubPractices[Org]="Large"),SUMIFS(Practices_SubPractices[B],Practices_SubPractices[CP],"1",Practices_SubPractices[Org],"Large"),IF(AND(Practices_SubPractices[CP]=2,Practices_SubPractices[Org]="Large"),SUMIFS(Practices_SubPractices[B],Practices_SubPractices[CP],"2",Practices_SubPractices[Org],"Large"),IF(AND(Practices_SubPractices[CP]=3,Practices_SubPractices[Org]="Large"),SUMIFS(Practices_SubPractices[B],Practices_SubPractices[CP],"3",Practices_SubPractices[Org],"Large"),IF(AND(Practices_SubPractices[CP]=4,Practices_SubPractices[Org]="Large"),SUMIFS(Practices_SubPractices[B],Practices_SubPractices[CP],"4",Practices_SubPractices[Org],"Large"),IF(AND(Practices_SubPractices[CP]=5,Practices_SubPractices[Org]="Large"),SUMIFS(Practices_SubPractices[B],Practices_SubPractices[CP],"5",Practices_SubPractices[Org],"Large"),IF(AND(Practices_SubPractices[CP]=6,Practices_SubPractices[Org]="Large"),SUMIFS(Practices_SubPractices[B],Practices_SubPractices[CP],"6",Practices_SubPractices[Org],"Large"),IF(AND(Practices_SubPractices[CP]=7,Practices_SubPractices[Org] ="Large"),SUMIFS(Practices_SubPractices[B],Practices_SubPractices[CP],"7",Practices_SubPractices[Org],"Large"),IF(AND(Practices_SubPractices[CP]=8,Practices_SubPractices[Org] ="Large"),SUMIFS(Practices_SubPractices[B],Practices_SubPractices[CP],"8",Practices_SubPractices[Org],"Large"),IF(AND(Practices_SubPractices[CP]=9,Practices_SubPractices[Org] ="Large"),SUMIFS(Practices_SubPractices[B],Practices_SubPractices[CP],"9",Practices_SubPractices[Org],"Large"),IF(AND(Practices_SubPractices[CP]=10,Practices_SubPractices[Org] ="Large"),SUMIFS(Practices_SubPractices[B],Practices_SubPractices[CP],"10",Practices_SubPractices[Org],"Large"),"TBD"))))))))))))))))))))))))))))))</f>
        <v>2</v>
      </c>
      <c r="P20" s="77">
        <f>IF(AND(Practices_SubPractices[CP]=1,Practices_SubPractices[Org]="Small"),SUMIFS(Practices_SubPractices[C],Practices_SubPractices[CP],"1",Practices_SubPractices[Org],"Small"),IF(AND(Practices_SubPractices[CP]=2,Practices_SubPractices[Org]="Small"),SUMIFS(Practices_SubPractices[C],Practices_SubPractices[CP],"2",Practices_SubPractices[Org],"Small"),IF(AND(Practices_SubPractices[CP]=3,Practices_SubPractices[Org]="Small"),SUMIFS(Practices_SubPractices[C],Practices_SubPractices[CP],"3",Practices_SubPractices[Org],"Small"),IF(AND(Practices_SubPractices[CP]=4,Practices_SubPractices[Org]="Small"),SUMIFS(Practices_SubPractices[C],Practices_SubPractices[CP],"4",Practices_SubPractices[Org],"Small"),IF(AND(Practices_SubPractices[CP]=5,Practices_SubPractices[Org]="Small"),SUMIFS(Practices_SubPractices[C],Practices_SubPractices[CP],"5",Practices_SubPractices[Org],"Small"),IF(AND(Practices_SubPractices[CP]=6,Practices_SubPractices[Org]="Small"),SUMIFS(Practices_SubPractices[C],Practices_SubPractices[CP],"6",Practices_SubPractices[Org],"Small"),IF(AND(Practices_SubPractices[CP]=7,Practices_SubPractices[Org] ="Small"),SUMIFS(Practices_SubPractices[C],Practices_SubPractices[CP],"7",Practices_SubPractices[Org],"Small"),IF(AND(Practices_SubPractices[CP]=8,Practices_SubPractices[Org] ="Small"),SUMIFS(Practices_SubPractices[C],Practices_SubPractices[CP],"8",Practices_SubPractices[Org],"Small"),IF(AND(Practices_SubPractices[CP]=9,Practices_SubPractices[Org] ="Small"),SUMIFS(Practices_SubPractices[C],Practices_SubPractices[CP],"9",Practices_SubPractices[Org],"Small"),IF(AND(Practices_SubPractices[CP]=10,Practices_SubPractices[Org] ="Small"),SUMIFS(Practices_SubPractices[C],Practices_SubPractices[CP],"10",Practices_SubPractices[Org],"Small"),IF(AND(Practices_SubPractices[CP]=1,Practices_SubPractices[Org]="Medium"),SUMIFS(Practices_SubPractices[C],Practices_SubPractices[CP],"1",Practices_SubPractices[Org],"Medium"),IF(AND(Practices_SubPractices[CP]=2,Practices_SubPractices[Org]="Medium"),SUMIFS(Practices_SubPractices[C],Practices_SubPractices[CP],"2",Practices_SubPractices[Org],"Medium"),IF(AND(Practices_SubPractices[CP]=3,Practices_SubPractices[Org]="Medium"),SUMIFS(Practices_SubPractices[C],Practices_SubPractices[CP],"3",Practices_SubPractices[Org],"Medium"),IF(AND(Practices_SubPractices[CP]=4,Practices_SubPractices[Org]="Medium"),SUMIFS(Practices_SubPractices[C],Practices_SubPractices[CP],"4",Practices_SubPractices[Org],"Medium"),IF(AND(Practices_SubPractices[CP]=5,Practices_SubPractices[Org]="Medium"),SUMIFS(Practices_SubPractices[C],Practices_SubPractices[CP],"5",Practices_SubPractices[Org],"Medium"),IF(AND(Practices_SubPractices[CP]=6,Practices_SubPractices[Org]="Medium"),SUMIFS(Practices_SubPractices[C],Practices_SubPractices[CP],"6",Practices_SubPractices[Org],"Medium"),IF(AND(Practices_SubPractices[CP]=7,Practices_SubPractices[Org] ="Medium"),SUMIFS(Practices_SubPractices[C],Practices_SubPractices[CP],"7",Practices_SubPractices[Org],"Medium"),IF(AND(Practices_SubPractices[CP]=8,Practices_SubPractices[Org] ="Medium"),SUMIFS(Practices_SubPractices[C],Practices_SubPractices[CP],"8",Practices_SubPractices[Org],"Medium"),IF(AND(Practices_SubPractices[CP]=9,Practices_SubPractices[Org] ="Medium"),SUMIFS(Practices_SubPractices[C],Practices_SubPractices[CP],"9",Practices_SubPractices[Org],"Medium"),IF(AND(Practices_SubPractices[CP]=10,Practices_SubPractices[Org] ="Medium"),SUMIFS(Practices_SubPractices[C],Practices_SubPractices[CP],"10",Practices_SubPractices[Org],"Medium"),IF(AND(Practices_SubPractices[CP]=1,Practices_SubPractices[Org]="Large"),SUMIFS(Practices_SubPractices[C],Practices_SubPractices[CP],"1",Practices_SubPractices[Org],"Large"),IF(AND(Practices_SubPractices[CP]=2,Practices_SubPractices[Org]="Large"),SUMIFS(Practices_SubPractices[C],Practices_SubPractices[CP],"2",Practices_SubPractices[Org],"Large"),IF(AND(Practices_SubPractices[CP]=3,Practices_SubPractices[Org]="Large"),SUMIFS(Practices_SubPractices[C],Practices_SubPractices[CP],"3",Practices_SubPractices[Org],"Large"),IF(AND(Practices_SubPractices[CP]=4,Practices_SubPractices[Org]="Large"),SUMIFS(Practices_SubPractices[C],Practices_SubPractices[CP],"4",Practices_SubPractices[Org],"Large"),IF(AND(Practices_SubPractices[CP]=5,Practices_SubPractices[Org]="Large"),SUMIFS(Practices_SubPractices[C],Practices_SubPractices[CP],"5",Practices_SubPractices[Org],"Large"),IF(AND(Practices_SubPractices[CP]=6,Practices_SubPractices[Org]="Large"),SUMIFS(Practices_SubPractices[C],Practices_SubPractices[CP],"6",Practices_SubPractices[Org],"Large"),IF(AND(Practices_SubPractices[CP]=7,Practices_SubPractices[Org] ="Large"),SUMIFS(Practices_SubPractices[C],Practices_SubPractices[CP],"7",Practices_SubPractices[Org],"Large"),IF(AND(Practices_SubPractices[CP]=8,Practices_SubPractices[Org] ="Large"),SUMIFS(Practices_SubPractices[C],Practices_SubPractices[CP],"8",Practices_SubPractices[Org],"Large"),IF(AND(Practices_SubPractices[CP]=9,Practices_SubPractices[Org] ="Large"),SUMIFS(Practices_SubPractices[C],Practices_SubPractices[CP],"9",Practices_SubPractices[Org],"Large"),IF(AND(Practices_SubPractices[CP]=10,Practices_SubPractices[Org] ="Large"),SUMIFS(Practices_SubPractices[C],Practices_SubPractices[CP],"10",Practices_SubPractices[Org],"Large"),"TBD"))))))))))))))))))))))))))))))</f>
        <v>6</v>
      </c>
      <c r="Q20" s="77">
        <f>IF(AND(Practices_SubPractices[CP]=1,Practices_SubPractices[Org]="Small"),SUMIFS(Practices_SubPractices[D],Practices_SubPractices[CP],"1",Practices_SubPractices[Org],"Small"),IF(AND(Practices_SubPractices[CP]=2,Practices_SubPractices[Org]="Small"),SUMIFS(Practices_SubPractices[D],Practices_SubPractices[CP],"2",Practices_SubPractices[Org],"Small"),IF(AND(Practices_SubPractices[CP]=3,Practices_SubPractices[Org]="Small"),SUMIFS(Practices_SubPractices[D],Practices_SubPractices[CP],"3",Practices_SubPractices[Org],"Small"),IF(AND(Practices_SubPractices[CP]=4,Practices_SubPractices[Org]="Small"),SUMIFS(Practices_SubPractices[D],Practices_SubPractices[CP],"4",Practices_SubPractices[Org],"Small"),IF(AND(Practices_SubPractices[CP]=5,Practices_SubPractices[Org]="Small"),SUMIFS(Practices_SubPractices[D],Practices_SubPractices[CP],"5",Practices_SubPractices[Org],"Small"),IF(AND(Practices_SubPractices[CP]=6,Practices_SubPractices[Org]="Small"),SUMIFS(Practices_SubPractices[D],Practices_SubPractices[CP],"6",Practices_SubPractices[Org],"Small"),IF(AND(Practices_SubPractices[CP]=7,Practices_SubPractices[Org] ="Small"),SUMIFS(Practices_SubPractices[D],Practices_SubPractices[CP],"7",Practices_SubPractices[Org],"Small"),IF(AND(Practices_SubPractices[CP]=8,Practices_SubPractices[Org] ="Small"),SUMIFS(Practices_SubPractices[D],Practices_SubPractices[CP],"8",Practices_SubPractices[Org],"Small"),IF(AND(Practices_SubPractices[CP]=9,Practices_SubPractices[Org] ="Small"),SUMIFS(Practices_SubPractices[D],Practices_SubPractices[CP],"9",Practices_SubPractices[Org],"Small"),IF(AND(Practices_SubPractices[CP]=10,Practices_SubPractices[Org] ="Small"),SUMIFS(Practices_SubPractices[D],Practices_SubPractices[CP],"10",Practices_SubPractices[Org],"Small"),IF(AND(Practices_SubPractices[CP]=1,Practices_SubPractices[Org]="Medium"),SUMIFS(Practices_SubPractices[D],Practices_SubPractices[CP],"1",Practices_SubPractices[Org],"Medium"),IF(AND(Practices_SubPractices[CP]=2,Practices_SubPractices[Org]="Medium"),SUMIFS(Practices_SubPractices[D],Practices_SubPractices[CP],"2",Practices_SubPractices[Org],"Medium"),IF(AND(Practices_SubPractices[CP]=3,Practices_SubPractices[Org]="Medium"),SUMIFS(Practices_SubPractices[D],Practices_SubPractices[CP],"3",Practices_SubPractices[Org],"Medium"),IF(AND(Practices_SubPractices[CP]=4,Practices_SubPractices[Org]="Medium"),SUMIFS(Practices_SubPractices[D],Practices_SubPractices[CP],"4",Practices_SubPractices[Org],"Medium"),IF(AND(Practices_SubPractices[CP]=5,Practices_SubPractices[Org]="Medium"),SUMIFS(Practices_SubPractices[D],Practices_SubPractices[CP],"5",Practices_SubPractices[Org],"Medium"),IF(AND(Practices_SubPractices[CP]=6,Practices_SubPractices[Org]="Medium"),SUMIFS(Practices_SubPractices[D],Practices_SubPractices[CP],"6",Practices_SubPractices[Org],"Medium"),IF(AND(Practices_SubPractices[CP]=7,Practices_SubPractices[Org] ="Medium"),SUMIFS(Practices_SubPractices[D],Practices_SubPractices[CP],"7",Practices_SubPractices[Org],"Medium"),IF(AND(Practices_SubPractices[CP]=8,Practices_SubPractices[Org] ="Medium"),SUMIFS(Practices_SubPractices[D],Practices_SubPractices[CP],"8",Practices_SubPractices[Org],"Medium"),IF(AND(Practices_SubPractices[CP]=9,Practices_SubPractices[Org] ="Medium"),SUMIFS(Practices_SubPractices[D],Practices_SubPractices[CP],"9",Practices_SubPractices[Org],"Medium"),IF(AND(Practices_SubPractices[CP]=10,Practices_SubPractices[Org] ="Medium"),SUMIFS(Practices_SubPractices[D],Practices_SubPractices[CP],"10",Practices_SubPractices[Org],"Medium"),IF(AND(Practices_SubPractices[CP]=1,Practices_SubPractices[Org]="Large"),SUMIFS(Practices_SubPractices[D],Practices_SubPractices[CP],"1",Practices_SubPractices[Org],"Large"),IF(AND(Practices_SubPractices[CP]=2,Practices_SubPractices[Org]="Large"),SUMIFS(Practices_SubPractices[D],Practices_SubPractices[CP],"2",Practices_SubPractices[Org],"Large"),IF(AND(Practices_SubPractices[CP]=3,Practices_SubPractices[Org]="Large"),SUMIFS(Practices_SubPractices[D],Practices_SubPractices[CP],"3",Practices_SubPractices[Org],"Large"),IF(AND(Practices_SubPractices[CP]=4,Practices_SubPractices[Org]="Large"),SUMIFS(Practices_SubPractices[D],Practices_SubPractices[CP],"4",Practices_SubPractices[Org],"Large"),IF(AND(Practices_SubPractices[CP]=5,Practices_SubPractices[Org]="Large"),SUMIFS(Practices_SubPractices[D],Practices_SubPractices[CP],"5",Practices_SubPractices[Org],"Large"),IF(AND(Practices_SubPractices[CP]=6,Practices_SubPractices[Org]="Large"),SUMIFS(Practices_SubPractices[D],Practices_SubPractices[CP],"6",Practices_SubPractices[Org],"Large"),IF(AND(Practices_SubPractices[CP]=7,Practices_SubPractices[Org] ="Large"),SUMIFS(Practices_SubPractices[D],Practices_SubPractices[CP],"7",Practices_SubPractices[Org],"Large"),IF(AND(Practices_SubPractices[CP]=8,Practices_SubPractices[Org] ="Large"),SUMIFS(Practices_SubPractices[D],Practices_SubPractices[CP],"8",Practices_SubPractices[Org],"Large"),IF(AND(Practices_SubPractices[CP]=9,Practices_SubPractices[Org] ="Large"),SUMIFS(Practices_SubPractices[D],Practices_SubPractices[CP],"9",Practices_SubPractices[Org],"Large"),IF(AND(Practices_SubPractices[CP]=10,Practices_SubPractices[Org] ="Large"),SUMIFS(Practices_SubPractices[D],Practices_SubPractices[CP],"10",Practices_SubPractices[Org],"Large"),"TBD"))))))))))))))))))))))))))))))</f>
        <v>6</v>
      </c>
      <c r="R20" s="77">
        <f>IF(AND(Practices_SubPractices[CP]=1,Practices_SubPractices[Org]="Small"),SUMIFS(Practices_SubPractices[E],Practices_SubPractices[CP],"1",Practices_SubPractices[Org],"Small"),IF(AND(Practices_SubPractices[CP]=2,Practices_SubPractices[Org]="Small"),SUMIFS(Practices_SubPractices[E],Practices_SubPractices[CP],"2",Practices_SubPractices[Org],"Small"),IF(AND(Practices_SubPractices[CP]=3,Practices_SubPractices[Org]="Small"),SUMIFS(Practices_SubPractices[E],Practices_SubPractices[CP],"3",Practices_SubPractices[Org],"Small"),IF(AND(Practices_SubPractices[CP]=4,Practices_SubPractices[Org]="Small"),SUMIFS(Practices_SubPractices[E],Practices_SubPractices[CP],"4",Practices_SubPractices[Org],"Small"),IF(AND(Practices_SubPractices[CP]=5,Practices_SubPractices[Org]="Small"),SUMIFS(Practices_SubPractices[E],Practices_SubPractices[CP],"5",Practices_SubPractices[Org],"Small"),IF(AND(Practices_SubPractices[CP]=6,Practices_SubPractices[Org]="Small"),SUMIFS(Practices_SubPractices[E],Practices_SubPractices[CP],"6",Practices_SubPractices[Org],"Small"),IF(AND(Practices_SubPractices[CP]=7,Practices_SubPractices[Org] ="Small"),SUMIFS(Practices_SubPractices[E],Practices_SubPractices[CP],"7",Practices_SubPractices[Org],"Small"),IF(AND(Practices_SubPractices[CP]=8,Practices_SubPractices[Org] ="Small"),SUMIFS(Practices_SubPractices[E],Practices_SubPractices[CP],"8",Practices_SubPractices[Org],"Small"),IF(AND(Practices_SubPractices[CP]=9,Practices_SubPractices[Org] ="Small"),SUMIFS(Practices_SubPractices[E],Practices_SubPractices[CP],"9",Practices_SubPractices[Org],"Small"),IF(AND(Practices_SubPractices[CP]=10,Practices_SubPractices[Org] ="Small"),SUMIFS(Practices_SubPractices[E],Practices_SubPractices[CP],"10",Practices_SubPractices[Org],"Small"),IF(AND(Practices_SubPractices[CP]=1,Practices_SubPractices[Org]="Medium"),SUMIFS(Practices_SubPractices[E],Practices_SubPractices[CP],"1",Practices_SubPractices[Org],"Medium"),IF(AND(Practices_SubPractices[CP]=2,Practices_SubPractices[Org]="Medium"),SUMIFS(Practices_SubPractices[E],Practices_SubPractices[CP],"2",Practices_SubPractices[Org],"Medium"),IF(AND(Practices_SubPractices[CP]=3,Practices_SubPractices[Org]="Medium"),SUMIFS(Practices_SubPractices[E],Practices_SubPractices[CP],"3",Practices_SubPractices[Org],"Medium"),IF(AND(Practices_SubPractices[CP]=4,Practices_SubPractices[Org]="Medium"),SUMIFS(Practices_SubPractices[E],Practices_SubPractices[CP],"4",Practices_SubPractices[Org],"Medium"),IF(AND(Practices_SubPractices[CP]=5,Practices_SubPractices[Org]="Medium"),SUMIFS(Practices_SubPractices[E],Practices_SubPractices[CP],"5",Practices_SubPractices[Org],"Medium"),IF(AND(Practices_SubPractices[CP]=6,Practices_SubPractices[Org]="Medium"),SUMIFS(Practices_SubPractices[E],Practices_SubPractices[CP],"6",Practices_SubPractices[Org],"Medium"),IF(AND(Practices_SubPractices[CP]=7,Practices_SubPractices[Org] ="Medium"),SUMIFS(Practices_SubPractices[E],Practices_SubPractices[CP],"7",Practices_SubPractices[Org],"Medium"),IF(AND(Practices_SubPractices[CP]=8,Practices_SubPractices[Org] ="Medium"),SUMIFS(Practices_SubPractices[E],Practices_SubPractices[CP],"8",Practices_SubPractices[Org],"Medium"),IF(AND(Practices_SubPractices[CP]=9,Practices_SubPractices[Org] ="Medium"),SUMIFS(Practices_SubPractices[E],Practices_SubPractices[CP],"9",Practices_SubPractices[Org],"Medium"),IF(AND(Practices_SubPractices[CP]=10,Practices_SubPractices[Org] ="Medium"),SUMIFS(Practices_SubPractices[E],Practices_SubPractices[CP],"10",Practices_SubPractices[Org],"Medium"),IF(AND(Practices_SubPractices[CP]=1,Practices_SubPractices[Org]="Large"),SUMIFS(Practices_SubPractices[E],Practices_SubPractices[CP],"1",Practices_SubPractices[Org],"Large"),IF(AND(Practices_SubPractices[CP]=2,Practices_SubPractices[Org]="Large"),SUMIFS(Practices_SubPractices[E],Practices_SubPractices[CP],"2",Practices_SubPractices[Org],"Large"),IF(AND(Practices_SubPractices[CP]=3,Practices_SubPractices[Org]="Large"),SUMIFS(Practices_SubPractices[E],Practices_SubPractices[CP],"3",Practices_SubPractices[Org],"Large"),IF(AND(Practices_SubPractices[CP]=4,Practices_SubPractices[Org]="Large"),SUMIFS(Practices_SubPractices[E],Practices_SubPractices[CP],"4",Practices_SubPractices[Org],"Large"),IF(AND(Practices_SubPractices[CP]=5,Practices_SubPractices[Org]="Large"),SUMIFS(Practices_SubPractices[E],Practices_SubPractices[CP],"5",Practices_SubPractices[Org],"Large"),IF(AND(Practices_SubPractices[CP]=6,Practices_SubPractices[Org]="Large"),SUMIFS(Practices_SubPractices[E],Practices_SubPractices[CP],"6",Practices_SubPractices[Org],"Large"),IF(AND(Practices_SubPractices[CP]=7,Practices_SubPractices[Org] ="Large"),SUMIFS(Practices_SubPractices[E],Practices_SubPractices[CP],"7",Practices_SubPractices[Org],"Large"),IF(AND(Practices_SubPractices[CP]=8,Practices_SubPractices[Org] ="Large"),SUMIFS(Practices_SubPractices[E],Practices_SubPractices[CP],"8",Practices_SubPractices[Org],"Large"),IF(AND(Practices_SubPractices[CP]=9,Practices_SubPractices[Org] ="Large"),SUMIFS(Practices_SubPractices[E],Practices_SubPractices[CP],"9",Practices_SubPractices[Org],"Large"),IF(AND(Practices_SubPractices[CP]=10,Practices_SubPractices[Org] ="Large"),SUMIFS(Practices_SubPractices[E],Practices_SubPractices[CP],"10",Practices_SubPractices[Org],"Large"),"TBD"))))))))))))))))))))))))))))))</f>
        <v>3</v>
      </c>
      <c r="S20" s="84" t="s">
        <v>395</v>
      </c>
    </row>
    <row r="21" spans="1:19" x14ac:dyDescent="0.35">
      <c r="A21" s="73">
        <v>11</v>
      </c>
      <c r="B21" s="73">
        <v>5</v>
      </c>
      <c r="C21" s="73" t="s">
        <v>10</v>
      </c>
      <c r="D21" s="73" t="str">
        <f>Practices_SubPractices[[#This Row],[CP]]&amp;LEFT(Practices_SubPractices[[#This Row],[Org]],1)</f>
        <v>5S</v>
      </c>
      <c r="E21" s="73" t="s">
        <v>267</v>
      </c>
      <c r="F21" s="74" t="s">
        <v>36</v>
      </c>
      <c r="G21" s="74" t="s">
        <v>37</v>
      </c>
      <c r="H21" s="74" t="s">
        <v>229</v>
      </c>
      <c r="I21" s="75">
        <v>0</v>
      </c>
      <c r="J21" s="75">
        <v>0</v>
      </c>
      <c r="K21" s="75">
        <v>2</v>
      </c>
      <c r="L21" s="75">
        <v>2</v>
      </c>
      <c r="M21" s="75">
        <v>1</v>
      </c>
      <c r="N21" s="76"/>
      <c r="O21" s="77">
        <f>IF(AND(Practices_SubPractices[CP]=1,Practices_SubPractices[Org]="Small"),SUMIFS(Practices_SubPractices[B],Practices_SubPractices[CP],"1",Practices_SubPractices[Org],"Small"),IF(AND(Practices_SubPractices[CP]=2,Practices_SubPractices[Org]="Small"),SUMIFS(Practices_SubPractices[B],Practices_SubPractices[CP],"2",Practices_SubPractices[Org],"Small"),IF(AND(Practices_SubPractices[CP]=3,Practices_SubPractices[Org]="Small"),SUMIFS(Practices_SubPractices[B],Practices_SubPractices[CP],"3",Practices_SubPractices[Org],"Small"),IF(AND(Practices_SubPractices[CP]=4,Practices_SubPractices[Org]="Small"),SUMIFS(Practices_SubPractices[B],Practices_SubPractices[CP],"4",Practices_SubPractices[Org],"Small"),IF(AND(Practices_SubPractices[CP]=5,Practices_SubPractices[Org]="Small"),SUMIFS(Practices_SubPractices[B],Practices_SubPractices[CP],"5",Practices_SubPractices[Org],"Small"),IF(AND(Practices_SubPractices[CP]=6,Practices_SubPractices[Org]="Small"),SUMIFS(Practices_SubPractices[B],Practices_SubPractices[CP],"6",Practices_SubPractices[Org],"Small"),IF(AND(Practices_SubPractices[CP]=7,Practices_SubPractices[Org] ="Small"),SUMIFS(Practices_SubPractices[B],Practices_SubPractices[CP],"7",Practices_SubPractices[Org],"Small"),IF(AND(Practices_SubPractices[CP]=8,Practices_SubPractices[Org] ="Small"),SUMIFS(Practices_SubPractices[B],Practices_SubPractices[CP],"8",Practices_SubPractices[Org],"Small"),IF(AND(Practices_SubPractices[CP]=9,Practices_SubPractices[Org] ="Small"),SUMIFS(Practices_SubPractices[B],Practices_SubPractices[CP],"9",Practices_SubPractices[Org],"Small"),IF(AND(Practices_SubPractices[CP]=10,Practices_SubPractices[Org] ="Small"),SUMIFS(Practices_SubPractices[B],Practices_SubPractices[CP],"10",Practices_SubPractices[Org],"Small"),IF(AND(Practices_SubPractices[CP]=1,Practices_SubPractices[Org]="Medium"),SUMIFS(Practices_SubPractices[B],Practices_SubPractices[CP],"1",Practices_SubPractices[Org],"Medium"),IF(AND(Practices_SubPractices[CP]=2,Practices_SubPractices[Org]="Medium"),SUMIFS(Practices_SubPractices[B],Practices_SubPractices[CP],"2",Practices_SubPractices[Org],"Medium"),IF(AND(Practices_SubPractices[CP]=3,Practices_SubPractices[Org]="Medium"),SUMIFS(Practices_SubPractices[B],Practices_SubPractices[CP],"3",Practices_SubPractices[Org],"Medium"),IF(AND(Practices_SubPractices[CP]=4,Practices_SubPractices[Org]="Medium"),SUMIFS(Practices_SubPractices[B],Practices_SubPractices[CP],"4",Practices_SubPractices[Org],"Medium"),IF(AND(Practices_SubPractices[CP]=5,Practices_SubPractices[Org]="Medium"),SUMIFS(Practices_SubPractices[B],Practices_SubPractices[CP],"5",Practices_SubPractices[Org],"Medium"),IF(AND(Practices_SubPractices[CP]=6,Practices_SubPractices[Org]="Medium"),SUMIFS(Practices_SubPractices[B],Practices_SubPractices[CP],"6",Practices_SubPractices[Org],"Medium"),IF(AND(Practices_SubPractices[CP]=7,Practices_SubPractices[Org] ="Medium"),SUMIFS(Practices_SubPractices[B],Practices_SubPractices[CP],"7",Practices_SubPractices[Org],"Medium"),IF(AND(Practices_SubPractices[CP]=8,Practices_SubPractices[Org] ="Medium"),SUMIFS(Practices_SubPractices[B],Practices_SubPractices[CP],"8",Practices_SubPractices[Org],"Medium"),IF(AND(Practices_SubPractices[CP]=9,Practices_SubPractices[Org] ="Medium"),SUMIFS(Practices_SubPractices[B],Practices_SubPractices[CP],"9",Practices_SubPractices[Org],"Medium"),IF(AND(Practices_SubPractices[CP]=10,Practices_SubPractices[Org] ="Medium"),SUMIFS(Practices_SubPractices[B],Practices_SubPractices[CP],"10",Practices_SubPractices[Org],"Medium"),IF(AND(Practices_SubPractices[CP]=1,Practices_SubPractices[Org]="Large"),SUMIFS(Practices_SubPractices[B],Practices_SubPractices[CP],"1",Practices_SubPractices[Org],"Large"),IF(AND(Practices_SubPractices[CP]=2,Practices_SubPractices[Org]="Large"),SUMIFS(Practices_SubPractices[B],Practices_SubPractices[CP],"2",Practices_SubPractices[Org],"Large"),IF(AND(Practices_SubPractices[CP]=3,Practices_SubPractices[Org]="Large"),SUMIFS(Practices_SubPractices[B],Practices_SubPractices[CP],"3",Practices_SubPractices[Org],"Large"),IF(AND(Practices_SubPractices[CP]=4,Practices_SubPractices[Org]="Large"),SUMIFS(Practices_SubPractices[B],Practices_SubPractices[CP],"4",Practices_SubPractices[Org],"Large"),IF(AND(Practices_SubPractices[CP]=5,Practices_SubPractices[Org]="Large"),SUMIFS(Practices_SubPractices[B],Practices_SubPractices[CP],"5",Practices_SubPractices[Org],"Large"),IF(AND(Practices_SubPractices[CP]=6,Practices_SubPractices[Org]="Large"),SUMIFS(Practices_SubPractices[B],Practices_SubPractices[CP],"6",Practices_SubPractices[Org],"Large"),IF(AND(Practices_SubPractices[CP]=7,Practices_SubPractices[Org] ="Large"),SUMIFS(Practices_SubPractices[B],Practices_SubPractices[CP],"7",Practices_SubPractices[Org],"Large"),IF(AND(Practices_SubPractices[CP]=8,Practices_SubPractices[Org] ="Large"),SUMIFS(Practices_SubPractices[B],Practices_SubPractices[CP],"8",Practices_SubPractices[Org],"Large"),IF(AND(Practices_SubPractices[CP]=9,Practices_SubPractices[Org] ="Large"),SUMIFS(Practices_SubPractices[B],Practices_SubPractices[CP],"9",Practices_SubPractices[Org],"Large"),IF(AND(Practices_SubPractices[CP]=10,Practices_SubPractices[Org] ="Large"),SUMIFS(Practices_SubPractices[B],Practices_SubPractices[CP],"10",Practices_SubPractices[Org],"Large"),"TBD"))))))))))))))))))))))))))))))</f>
        <v>2</v>
      </c>
      <c r="P21" s="77">
        <f>IF(AND(Practices_SubPractices[CP]=1,Practices_SubPractices[Org]="Small"),SUMIFS(Practices_SubPractices[C],Practices_SubPractices[CP],"1",Practices_SubPractices[Org],"Small"),IF(AND(Practices_SubPractices[CP]=2,Practices_SubPractices[Org]="Small"),SUMIFS(Practices_SubPractices[C],Practices_SubPractices[CP],"2",Practices_SubPractices[Org],"Small"),IF(AND(Practices_SubPractices[CP]=3,Practices_SubPractices[Org]="Small"),SUMIFS(Practices_SubPractices[C],Practices_SubPractices[CP],"3",Practices_SubPractices[Org],"Small"),IF(AND(Practices_SubPractices[CP]=4,Practices_SubPractices[Org]="Small"),SUMIFS(Practices_SubPractices[C],Practices_SubPractices[CP],"4",Practices_SubPractices[Org],"Small"),IF(AND(Practices_SubPractices[CP]=5,Practices_SubPractices[Org]="Small"),SUMIFS(Practices_SubPractices[C],Practices_SubPractices[CP],"5",Practices_SubPractices[Org],"Small"),IF(AND(Practices_SubPractices[CP]=6,Practices_SubPractices[Org]="Small"),SUMIFS(Practices_SubPractices[C],Practices_SubPractices[CP],"6",Practices_SubPractices[Org],"Small"),IF(AND(Practices_SubPractices[CP]=7,Practices_SubPractices[Org] ="Small"),SUMIFS(Practices_SubPractices[C],Practices_SubPractices[CP],"7",Practices_SubPractices[Org],"Small"),IF(AND(Practices_SubPractices[CP]=8,Practices_SubPractices[Org] ="Small"),SUMIFS(Practices_SubPractices[C],Practices_SubPractices[CP],"8",Practices_SubPractices[Org],"Small"),IF(AND(Practices_SubPractices[CP]=9,Practices_SubPractices[Org] ="Small"),SUMIFS(Practices_SubPractices[C],Practices_SubPractices[CP],"9",Practices_SubPractices[Org],"Small"),IF(AND(Practices_SubPractices[CP]=10,Practices_SubPractices[Org] ="Small"),SUMIFS(Practices_SubPractices[C],Practices_SubPractices[CP],"10",Practices_SubPractices[Org],"Small"),IF(AND(Practices_SubPractices[CP]=1,Practices_SubPractices[Org]="Medium"),SUMIFS(Practices_SubPractices[C],Practices_SubPractices[CP],"1",Practices_SubPractices[Org],"Medium"),IF(AND(Practices_SubPractices[CP]=2,Practices_SubPractices[Org]="Medium"),SUMIFS(Practices_SubPractices[C],Practices_SubPractices[CP],"2",Practices_SubPractices[Org],"Medium"),IF(AND(Practices_SubPractices[CP]=3,Practices_SubPractices[Org]="Medium"),SUMIFS(Practices_SubPractices[C],Practices_SubPractices[CP],"3",Practices_SubPractices[Org],"Medium"),IF(AND(Practices_SubPractices[CP]=4,Practices_SubPractices[Org]="Medium"),SUMIFS(Practices_SubPractices[C],Practices_SubPractices[CP],"4",Practices_SubPractices[Org],"Medium"),IF(AND(Practices_SubPractices[CP]=5,Practices_SubPractices[Org]="Medium"),SUMIFS(Practices_SubPractices[C],Practices_SubPractices[CP],"5",Practices_SubPractices[Org],"Medium"),IF(AND(Practices_SubPractices[CP]=6,Practices_SubPractices[Org]="Medium"),SUMIFS(Practices_SubPractices[C],Practices_SubPractices[CP],"6",Practices_SubPractices[Org],"Medium"),IF(AND(Practices_SubPractices[CP]=7,Practices_SubPractices[Org] ="Medium"),SUMIFS(Practices_SubPractices[C],Practices_SubPractices[CP],"7",Practices_SubPractices[Org],"Medium"),IF(AND(Practices_SubPractices[CP]=8,Practices_SubPractices[Org] ="Medium"),SUMIFS(Practices_SubPractices[C],Practices_SubPractices[CP],"8",Practices_SubPractices[Org],"Medium"),IF(AND(Practices_SubPractices[CP]=9,Practices_SubPractices[Org] ="Medium"),SUMIFS(Practices_SubPractices[C],Practices_SubPractices[CP],"9",Practices_SubPractices[Org],"Medium"),IF(AND(Practices_SubPractices[CP]=10,Practices_SubPractices[Org] ="Medium"),SUMIFS(Practices_SubPractices[C],Practices_SubPractices[CP],"10",Practices_SubPractices[Org],"Medium"),IF(AND(Practices_SubPractices[CP]=1,Practices_SubPractices[Org]="Large"),SUMIFS(Practices_SubPractices[C],Practices_SubPractices[CP],"1",Practices_SubPractices[Org],"Large"),IF(AND(Practices_SubPractices[CP]=2,Practices_SubPractices[Org]="Large"),SUMIFS(Practices_SubPractices[C],Practices_SubPractices[CP],"2",Practices_SubPractices[Org],"Large"),IF(AND(Practices_SubPractices[CP]=3,Practices_SubPractices[Org]="Large"),SUMIFS(Practices_SubPractices[C],Practices_SubPractices[CP],"3",Practices_SubPractices[Org],"Large"),IF(AND(Practices_SubPractices[CP]=4,Practices_SubPractices[Org]="Large"),SUMIFS(Practices_SubPractices[C],Practices_SubPractices[CP],"4",Practices_SubPractices[Org],"Large"),IF(AND(Practices_SubPractices[CP]=5,Practices_SubPractices[Org]="Large"),SUMIFS(Practices_SubPractices[C],Practices_SubPractices[CP],"5",Practices_SubPractices[Org],"Large"),IF(AND(Practices_SubPractices[CP]=6,Practices_SubPractices[Org]="Large"),SUMIFS(Practices_SubPractices[C],Practices_SubPractices[CP],"6",Practices_SubPractices[Org],"Large"),IF(AND(Practices_SubPractices[CP]=7,Practices_SubPractices[Org] ="Large"),SUMIFS(Practices_SubPractices[C],Practices_SubPractices[CP],"7",Practices_SubPractices[Org],"Large"),IF(AND(Practices_SubPractices[CP]=8,Practices_SubPractices[Org] ="Large"),SUMIFS(Practices_SubPractices[C],Practices_SubPractices[CP],"8",Practices_SubPractices[Org],"Large"),IF(AND(Practices_SubPractices[CP]=9,Practices_SubPractices[Org] ="Large"),SUMIFS(Practices_SubPractices[C],Practices_SubPractices[CP],"9",Practices_SubPractices[Org],"Large"),IF(AND(Practices_SubPractices[CP]=10,Practices_SubPractices[Org] ="Large"),SUMIFS(Practices_SubPractices[C],Practices_SubPractices[CP],"10",Practices_SubPractices[Org],"Large"),"TBD"))))))))))))))))))))))))))))))</f>
        <v>6</v>
      </c>
      <c r="Q21" s="77">
        <f>IF(AND(Practices_SubPractices[CP]=1,Practices_SubPractices[Org]="Small"),SUMIFS(Practices_SubPractices[D],Practices_SubPractices[CP],"1",Practices_SubPractices[Org],"Small"),IF(AND(Practices_SubPractices[CP]=2,Practices_SubPractices[Org]="Small"),SUMIFS(Practices_SubPractices[D],Practices_SubPractices[CP],"2",Practices_SubPractices[Org],"Small"),IF(AND(Practices_SubPractices[CP]=3,Practices_SubPractices[Org]="Small"),SUMIFS(Practices_SubPractices[D],Practices_SubPractices[CP],"3",Practices_SubPractices[Org],"Small"),IF(AND(Practices_SubPractices[CP]=4,Practices_SubPractices[Org]="Small"),SUMIFS(Practices_SubPractices[D],Practices_SubPractices[CP],"4",Practices_SubPractices[Org],"Small"),IF(AND(Practices_SubPractices[CP]=5,Practices_SubPractices[Org]="Small"),SUMIFS(Practices_SubPractices[D],Practices_SubPractices[CP],"5",Practices_SubPractices[Org],"Small"),IF(AND(Practices_SubPractices[CP]=6,Practices_SubPractices[Org]="Small"),SUMIFS(Practices_SubPractices[D],Practices_SubPractices[CP],"6",Practices_SubPractices[Org],"Small"),IF(AND(Practices_SubPractices[CP]=7,Practices_SubPractices[Org] ="Small"),SUMIFS(Practices_SubPractices[D],Practices_SubPractices[CP],"7",Practices_SubPractices[Org],"Small"),IF(AND(Practices_SubPractices[CP]=8,Practices_SubPractices[Org] ="Small"),SUMIFS(Practices_SubPractices[D],Practices_SubPractices[CP],"8",Practices_SubPractices[Org],"Small"),IF(AND(Practices_SubPractices[CP]=9,Practices_SubPractices[Org] ="Small"),SUMIFS(Practices_SubPractices[D],Practices_SubPractices[CP],"9",Practices_SubPractices[Org],"Small"),IF(AND(Practices_SubPractices[CP]=10,Practices_SubPractices[Org] ="Small"),SUMIFS(Practices_SubPractices[D],Practices_SubPractices[CP],"10",Practices_SubPractices[Org],"Small"),IF(AND(Practices_SubPractices[CP]=1,Practices_SubPractices[Org]="Medium"),SUMIFS(Practices_SubPractices[D],Practices_SubPractices[CP],"1",Practices_SubPractices[Org],"Medium"),IF(AND(Practices_SubPractices[CP]=2,Practices_SubPractices[Org]="Medium"),SUMIFS(Practices_SubPractices[D],Practices_SubPractices[CP],"2",Practices_SubPractices[Org],"Medium"),IF(AND(Practices_SubPractices[CP]=3,Practices_SubPractices[Org]="Medium"),SUMIFS(Practices_SubPractices[D],Practices_SubPractices[CP],"3",Practices_SubPractices[Org],"Medium"),IF(AND(Practices_SubPractices[CP]=4,Practices_SubPractices[Org]="Medium"),SUMIFS(Practices_SubPractices[D],Practices_SubPractices[CP],"4",Practices_SubPractices[Org],"Medium"),IF(AND(Practices_SubPractices[CP]=5,Practices_SubPractices[Org]="Medium"),SUMIFS(Practices_SubPractices[D],Practices_SubPractices[CP],"5",Practices_SubPractices[Org],"Medium"),IF(AND(Practices_SubPractices[CP]=6,Practices_SubPractices[Org]="Medium"),SUMIFS(Practices_SubPractices[D],Practices_SubPractices[CP],"6",Practices_SubPractices[Org],"Medium"),IF(AND(Practices_SubPractices[CP]=7,Practices_SubPractices[Org] ="Medium"),SUMIFS(Practices_SubPractices[D],Practices_SubPractices[CP],"7",Practices_SubPractices[Org],"Medium"),IF(AND(Practices_SubPractices[CP]=8,Practices_SubPractices[Org] ="Medium"),SUMIFS(Practices_SubPractices[D],Practices_SubPractices[CP],"8",Practices_SubPractices[Org],"Medium"),IF(AND(Practices_SubPractices[CP]=9,Practices_SubPractices[Org] ="Medium"),SUMIFS(Practices_SubPractices[D],Practices_SubPractices[CP],"9",Practices_SubPractices[Org],"Medium"),IF(AND(Practices_SubPractices[CP]=10,Practices_SubPractices[Org] ="Medium"),SUMIFS(Practices_SubPractices[D],Practices_SubPractices[CP],"10",Practices_SubPractices[Org],"Medium"),IF(AND(Practices_SubPractices[CP]=1,Practices_SubPractices[Org]="Large"),SUMIFS(Practices_SubPractices[D],Practices_SubPractices[CP],"1",Practices_SubPractices[Org],"Large"),IF(AND(Practices_SubPractices[CP]=2,Practices_SubPractices[Org]="Large"),SUMIFS(Practices_SubPractices[D],Practices_SubPractices[CP],"2",Practices_SubPractices[Org],"Large"),IF(AND(Practices_SubPractices[CP]=3,Practices_SubPractices[Org]="Large"),SUMIFS(Practices_SubPractices[D],Practices_SubPractices[CP],"3",Practices_SubPractices[Org],"Large"),IF(AND(Practices_SubPractices[CP]=4,Practices_SubPractices[Org]="Large"),SUMIFS(Practices_SubPractices[D],Practices_SubPractices[CP],"4",Practices_SubPractices[Org],"Large"),IF(AND(Practices_SubPractices[CP]=5,Practices_SubPractices[Org]="Large"),SUMIFS(Practices_SubPractices[D],Practices_SubPractices[CP],"5",Practices_SubPractices[Org],"Large"),IF(AND(Practices_SubPractices[CP]=6,Practices_SubPractices[Org]="Large"),SUMIFS(Practices_SubPractices[D],Practices_SubPractices[CP],"6",Practices_SubPractices[Org],"Large"),IF(AND(Practices_SubPractices[CP]=7,Practices_SubPractices[Org] ="Large"),SUMIFS(Practices_SubPractices[D],Practices_SubPractices[CP],"7",Practices_SubPractices[Org],"Large"),IF(AND(Practices_SubPractices[CP]=8,Practices_SubPractices[Org] ="Large"),SUMIFS(Practices_SubPractices[D],Practices_SubPractices[CP],"8",Practices_SubPractices[Org],"Large"),IF(AND(Practices_SubPractices[CP]=9,Practices_SubPractices[Org] ="Large"),SUMIFS(Practices_SubPractices[D],Practices_SubPractices[CP],"9",Practices_SubPractices[Org],"Large"),IF(AND(Practices_SubPractices[CP]=10,Practices_SubPractices[Org] ="Large"),SUMIFS(Practices_SubPractices[D],Practices_SubPractices[CP],"10",Practices_SubPractices[Org],"Large"),"TBD"))))))))))))))))))))))))))))))</f>
        <v>6</v>
      </c>
      <c r="R21" s="77">
        <f>IF(AND(Practices_SubPractices[CP]=1,Practices_SubPractices[Org]="Small"),SUMIFS(Practices_SubPractices[E],Practices_SubPractices[CP],"1",Practices_SubPractices[Org],"Small"),IF(AND(Practices_SubPractices[CP]=2,Practices_SubPractices[Org]="Small"),SUMIFS(Practices_SubPractices[E],Practices_SubPractices[CP],"2",Practices_SubPractices[Org],"Small"),IF(AND(Practices_SubPractices[CP]=3,Practices_SubPractices[Org]="Small"),SUMIFS(Practices_SubPractices[E],Practices_SubPractices[CP],"3",Practices_SubPractices[Org],"Small"),IF(AND(Practices_SubPractices[CP]=4,Practices_SubPractices[Org]="Small"),SUMIFS(Practices_SubPractices[E],Practices_SubPractices[CP],"4",Practices_SubPractices[Org],"Small"),IF(AND(Practices_SubPractices[CP]=5,Practices_SubPractices[Org]="Small"),SUMIFS(Practices_SubPractices[E],Practices_SubPractices[CP],"5",Practices_SubPractices[Org],"Small"),IF(AND(Practices_SubPractices[CP]=6,Practices_SubPractices[Org]="Small"),SUMIFS(Practices_SubPractices[E],Practices_SubPractices[CP],"6",Practices_SubPractices[Org],"Small"),IF(AND(Practices_SubPractices[CP]=7,Practices_SubPractices[Org] ="Small"),SUMIFS(Practices_SubPractices[E],Practices_SubPractices[CP],"7",Practices_SubPractices[Org],"Small"),IF(AND(Practices_SubPractices[CP]=8,Practices_SubPractices[Org] ="Small"),SUMIFS(Practices_SubPractices[E],Practices_SubPractices[CP],"8",Practices_SubPractices[Org],"Small"),IF(AND(Practices_SubPractices[CP]=9,Practices_SubPractices[Org] ="Small"),SUMIFS(Practices_SubPractices[E],Practices_SubPractices[CP],"9",Practices_SubPractices[Org],"Small"),IF(AND(Practices_SubPractices[CP]=10,Practices_SubPractices[Org] ="Small"),SUMIFS(Practices_SubPractices[E],Practices_SubPractices[CP],"10",Practices_SubPractices[Org],"Small"),IF(AND(Practices_SubPractices[CP]=1,Practices_SubPractices[Org]="Medium"),SUMIFS(Practices_SubPractices[E],Practices_SubPractices[CP],"1",Practices_SubPractices[Org],"Medium"),IF(AND(Practices_SubPractices[CP]=2,Practices_SubPractices[Org]="Medium"),SUMIFS(Practices_SubPractices[E],Practices_SubPractices[CP],"2",Practices_SubPractices[Org],"Medium"),IF(AND(Practices_SubPractices[CP]=3,Practices_SubPractices[Org]="Medium"),SUMIFS(Practices_SubPractices[E],Practices_SubPractices[CP],"3",Practices_SubPractices[Org],"Medium"),IF(AND(Practices_SubPractices[CP]=4,Practices_SubPractices[Org]="Medium"),SUMIFS(Practices_SubPractices[E],Practices_SubPractices[CP],"4",Practices_SubPractices[Org],"Medium"),IF(AND(Practices_SubPractices[CP]=5,Practices_SubPractices[Org]="Medium"),SUMIFS(Practices_SubPractices[E],Practices_SubPractices[CP],"5",Practices_SubPractices[Org],"Medium"),IF(AND(Practices_SubPractices[CP]=6,Practices_SubPractices[Org]="Medium"),SUMIFS(Practices_SubPractices[E],Practices_SubPractices[CP],"6",Practices_SubPractices[Org],"Medium"),IF(AND(Practices_SubPractices[CP]=7,Practices_SubPractices[Org] ="Medium"),SUMIFS(Practices_SubPractices[E],Practices_SubPractices[CP],"7",Practices_SubPractices[Org],"Medium"),IF(AND(Practices_SubPractices[CP]=8,Practices_SubPractices[Org] ="Medium"),SUMIFS(Practices_SubPractices[E],Practices_SubPractices[CP],"8",Practices_SubPractices[Org],"Medium"),IF(AND(Practices_SubPractices[CP]=9,Practices_SubPractices[Org] ="Medium"),SUMIFS(Practices_SubPractices[E],Practices_SubPractices[CP],"9",Practices_SubPractices[Org],"Medium"),IF(AND(Practices_SubPractices[CP]=10,Practices_SubPractices[Org] ="Medium"),SUMIFS(Practices_SubPractices[E],Practices_SubPractices[CP],"10",Practices_SubPractices[Org],"Medium"),IF(AND(Practices_SubPractices[CP]=1,Practices_SubPractices[Org]="Large"),SUMIFS(Practices_SubPractices[E],Practices_SubPractices[CP],"1",Practices_SubPractices[Org],"Large"),IF(AND(Practices_SubPractices[CP]=2,Practices_SubPractices[Org]="Large"),SUMIFS(Practices_SubPractices[E],Practices_SubPractices[CP],"2",Practices_SubPractices[Org],"Large"),IF(AND(Practices_SubPractices[CP]=3,Practices_SubPractices[Org]="Large"),SUMIFS(Practices_SubPractices[E],Practices_SubPractices[CP],"3",Practices_SubPractices[Org],"Large"),IF(AND(Practices_SubPractices[CP]=4,Practices_SubPractices[Org]="Large"),SUMIFS(Practices_SubPractices[E],Practices_SubPractices[CP],"4",Practices_SubPractices[Org],"Large"),IF(AND(Practices_SubPractices[CP]=5,Practices_SubPractices[Org]="Large"),SUMIFS(Practices_SubPractices[E],Practices_SubPractices[CP],"5",Practices_SubPractices[Org],"Large"),IF(AND(Practices_SubPractices[CP]=6,Practices_SubPractices[Org]="Large"),SUMIFS(Practices_SubPractices[E],Practices_SubPractices[CP],"6",Practices_SubPractices[Org],"Large"),IF(AND(Practices_SubPractices[CP]=7,Practices_SubPractices[Org] ="Large"),SUMIFS(Practices_SubPractices[E],Practices_SubPractices[CP],"7",Practices_SubPractices[Org],"Large"),IF(AND(Practices_SubPractices[CP]=8,Practices_SubPractices[Org] ="Large"),SUMIFS(Practices_SubPractices[E],Practices_SubPractices[CP],"8",Practices_SubPractices[Org],"Large"),IF(AND(Practices_SubPractices[CP]=9,Practices_SubPractices[Org] ="Large"),SUMIFS(Practices_SubPractices[E],Practices_SubPractices[CP],"9",Practices_SubPractices[Org],"Large"),IF(AND(Practices_SubPractices[CP]=10,Practices_SubPractices[Org] ="Large"),SUMIFS(Practices_SubPractices[E],Practices_SubPractices[CP],"10",Practices_SubPractices[Org],"Large"),"TBD"))))))))))))))))))))))))))))))</f>
        <v>3</v>
      </c>
      <c r="S21" s="84" t="s">
        <v>396</v>
      </c>
    </row>
    <row r="22" spans="1:19" x14ac:dyDescent="0.35">
      <c r="A22" s="73">
        <v>12</v>
      </c>
      <c r="B22" s="73">
        <v>6</v>
      </c>
      <c r="C22" s="73" t="s">
        <v>10</v>
      </c>
      <c r="D22" s="73" t="str">
        <f>Practices_SubPractices[[#This Row],[CP]]&amp;LEFT(Practices_SubPractices[[#This Row],[Org]],1)</f>
        <v>6S</v>
      </c>
      <c r="E22" s="73" t="s">
        <v>265</v>
      </c>
      <c r="F22" s="74" t="s">
        <v>38</v>
      </c>
      <c r="G22" s="74" t="s">
        <v>39</v>
      </c>
      <c r="H22" s="74" t="s">
        <v>186</v>
      </c>
      <c r="I22" s="75">
        <v>1</v>
      </c>
      <c r="J22" s="75">
        <v>2</v>
      </c>
      <c r="K22" s="75">
        <v>0</v>
      </c>
      <c r="L22" s="75">
        <v>2</v>
      </c>
      <c r="M22" s="75">
        <v>2</v>
      </c>
      <c r="N22" s="76"/>
      <c r="O22" s="77">
        <f>IF(AND(Practices_SubPractices[CP]=1,Practices_SubPractices[Org]="Small"),SUMIFS(Practices_SubPractices[B],Practices_SubPractices[CP],"1",Practices_SubPractices[Org],"Small"),IF(AND(Practices_SubPractices[CP]=2,Practices_SubPractices[Org]="Small"),SUMIFS(Practices_SubPractices[B],Practices_SubPractices[CP],"2",Practices_SubPractices[Org],"Small"),IF(AND(Practices_SubPractices[CP]=3,Practices_SubPractices[Org]="Small"),SUMIFS(Practices_SubPractices[B],Practices_SubPractices[CP],"3",Practices_SubPractices[Org],"Small"),IF(AND(Practices_SubPractices[CP]=4,Practices_SubPractices[Org]="Small"),SUMIFS(Practices_SubPractices[B],Practices_SubPractices[CP],"4",Practices_SubPractices[Org],"Small"),IF(AND(Practices_SubPractices[CP]=5,Practices_SubPractices[Org]="Small"),SUMIFS(Practices_SubPractices[B],Practices_SubPractices[CP],"5",Practices_SubPractices[Org],"Small"),IF(AND(Practices_SubPractices[CP]=6,Practices_SubPractices[Org]="Small"),SUMIFS(Practices_SubPractices[B],Practices_SubPractices[CP],"6",Practices_SubPractices[Org],"Small"),IF(AND(Practices_SubPractices[CP]=7,Practices_SubPractices[Org] ="Small"),SUMIFS(Practices_SubPractices[B],Practices_SubPractices[CP],"7",Practices_SubPractices[Org],"Small"),IF(AND(Practices_SubPractices[CP]=8,Practices_SubPractices[Org] ="Small"),SUMIFS(Practices_SubPractices[B],Practices_SubPractices[CP],"8",Practices_SubPractices[Org],"Small"),IF(AND(Practices_SubPractices[CP]=9,Practices_SubPractices[Org] ="Small"),SUMIFS(Practices_SubPractices[B],Practices_SubPractices[CP],"9",Practices_SubPractices[Org],"Small"),IF(AND(Practices_SubPractices[CP]=10,Practices_SubPractices[Org] ="Small"),SUMIFS(Practices_SubPractices[B],Practices_SubPractices[CP],"10",Practices_SubPractices[Org],"Small"),IF(AND(Practices_SubPractices[CP]=1,Practices_SubPractices[Org]="Medium"),SUMIFS(Practices_SubPractices[B],Practices_SubPractices[CP],"1",Practices_SubPractices[Org],"Medium"),IF(AND(Practices_SubPractices[CP]=2,Practices_SubPractices[Org]="Medium"),SUMIFS(Practices_SubPractices[B],Practices_SubPractices[CP],"2",Practices_SubPractices[Org],"Medium"),IF(AND(Practices_SubPractices[CP]=3,Practices_SubPractices[Org]="Medium"),SUMIFS(Practices_SubPractices[B],Practices_SubPractices[CP],"3",Practices_SubPractices[Org],"Medium"),IF(AND(Practices_SubPractices[CP]=4,Practices_SubPractices[Org]="Medium"),SUMIFS(Practices_SubPractices[B],Practices_SubPractices[CP],"4",Practices_SubPractices[Org],"Medium"),IF(AND(Practices_SubPractices[CP]=5,Practices_SubPractices[Org]="Medium"),SUMIFS(Practices_SubPractices[B],Practices_SubPractices[CP],"5",Practices_SubPractices[Org],"Medium"),IF(AND(Practices_SubPractices[CP]=6,Practices_SubPractices[Org]="Medium"),SUMIFS(Practices_SubPractices[B],Practices_SubPractices[CP],"6",Practices_SubPractices[Org],"Medium"),IF(AND(Practices_SubPractices[CP]=7,Practices_SubPractices[Org] ="Medium"),SUMIFS(Practices_SubPractices[B],Practices_SubPractices[CP],"7",Practices_SubPractices[Org],"Medium"),IF(AND(Practices_SubPractices[CP]=8,Practices_SubPractices[Org] ="Medium"),SUMIFS(Practices_SubPractices[B],Practices_SubPractices[CP],"8",Practices_SubPractices[Org],"Medium"),IF(AND(Practices_SubPractices[CP]=9,Practices_SubPractices[Org] ="Medium"),SUMIFS(Practices_SubPractices[B],Practices_SubPractices[CP],"9",Practices_SubPractices[Org],"Medium"),IF(AND(Practices_SubPractices[CP]=10,Practices_SubPractices[Org] ="Medium"),SUMIFS(Practices_SubPractices[B],Practices_SubPractices[CP],"10",Practices_SubPractices[Org],"Medium"),IF(AND(Practices_SubPractices[CP]=1,Practices_SubPractices[Org]="Large"),SUMIFS(Practices_SubPractices[B],Practices_SubPractices[CP],"1",Practices_SubPractices[Org],"Large"),IF(AND(Practices_SubPractices[CP]=2,Practices_SubPractices[Org]="Large"),SUMIFS(Practices_SubPractices[B],Practices_SubPractices[CP],"2",Practices_SubPractices[Org],"Large"),IF(AND(Practices_SubPractices[CP]=3,Practices_SubPractices[Org]="Large"),SUMIFS(Practices_SubPractices[B],Practices_SubPractices[CP],"3",Practices_SubPractices[Org],"Large"),IF(AND(Practices_SubPractices[CP]=4,Practices_SubPractices[Org]="Large"),SUMIFS(Practices_SubPractices[B],Practices_SubPractices[CP],"4",Practices_SubPractices[Org],"Large"),IF(AND(Practices_SubPractices[CP]=5,Practices_SubPractices[Org]="Large"),SUMIFS(Practices_SubPractices[B],Practices_SubPractices[CP],"5",Practices_SubPractices[Org],"Large"),IF(AND(Practices_SubPractices[CP]=6,Practices_SubPractices[Org]="Large"),SUMIFS(Practices_SubPractices[B],Practices_SubPractices[CP],"6",Practices_SubPractices[Org],"Large"),IF(AND(Practices_SubPractices[CP]=7,Practices_SubPractices[Org] ="Large"),SUMIFS(Practices_SubPractices[B],Practices_SubPractices[CP],"7",Practices_SubPractices[Org],"Large"),IF(AND(Practices_SubPractices[CP]=8,Practices_SubPractices[Org] ="Large"),SUMIFS(Practices_SubPractices[B],Practices_SubPractices[CP],"8",Practices_SubPractices[Org],"Large"),IF(AND(Practices_SubPractices[CP]=9,Practices_SubPractices[Org] ="Large"),SUMIFS(Practices_SubPractices[B],Practices_SubPractices[CP],"9",Practices_SubPractices[Org],"Large"),IF(AND(Practices_SubPractices[CP]=10,Practices_SubPractices[Org] ="Large"),SUMIFS(Practices_SubPractices[B],Practices_SubPractices[CP],"10",Practices_SubPractices[Org],"Large"),"TBD"))))))))))))))))))))))))))))))</f>
        <v>4</v>
      </c>
      <c r="P22" s="77">
        <f>IF(AND(Practices_SubPractices[CP]=1,Practices_SubPractices[Org]="Small"),SUMIFS(Practices_SubPractices[C],Practices_SubPractices[CP],"1",Practices_SubPractices[Org],"Small"),IF(AND(Practices_SubPractices[CP]=2,Practices_SubPractices[Org]="Small"),SUMIFS(Practices_SubPractices[C],Practices_SubPractices[CP],"2",Practices_SubPractices[Org],"Small"),IF(AND(Practices_SubPractices[CP]=3,Practices_SubPractices[Org]="Small"),SUMIFS(Practices_SubPractices[C],Practices_SubPractices[CP],"3",Practices_SubPractices[Org],"Small"),IF(AND(Practices_SubPractices[CP]=4,Practices_SubPractices[Org]="Small"),SUMIFS(Practices_SubPractices[C],Practices_SubPractices[CP],"4",Practices_SubPractices[Org],"Small"),IF(AND(Practices_SubPractices[CP]=5,Practices_SubPractices[Org]="Small"),SUMIFS(Practices_SubPractices[C],Practices_SubPractices[CP],"5",Practices_SubPractices[Org],"Small"),IF(AND(Practices_SubPractices[CP]=6,Practices_SubPractices[Org]="Small"),SUMIFS(Practices_SubPractices[C],Practices_SubPractices[CP],"6",Practices_SubPractices[Org],"Small"),IF(AND(Practices_SubPractices[CP]=7,Practices_SubPractices[Org] ="Small"),SUMIFS(Practices_SubPractices[C],Practices_SubPractices[CP],"7",Practices_SubPractices[Org],"Small"),IF(AND(Practices_SubPractices[CP]=8,Practices_SubPractices[Org] ="Small"),SUMIFS(Practices_SubPractices[C],Practices_SubPractices[CP],"8",Practices_SubPractices[Org],"Small"),IF(AND(Practices_SubPractices[CP]=9,Practices_SubPractices[Org] ="Small"),SUMIFS(Practices_SubPractices[C],Practices_SubPractices[CP],"9",Practices_SubPractices[Org],"Small"),IF(AND(Practices_SubPractices[CP]=10,Practices_SubPractices[Org] ="Small"),SUMIFS(Practices_SubPractices[C],Practices_SubPractices[CP],"10",Practices_SubPractices[Org],"Small"),IF(AND(Practices_SubPractices[CP]=1,Practices_SubPractices[Org]="Medium"),SUMIFS(Practices_SubPractices[C],Practices_SubPractices[CP],"1",Practices_SubPractices[Org],"Medium"),IF(AND(Practices_SubPractices[CP]=2,Practices_SubPractices[Org]="Medium"),SUMIFS(Practices_SubPractices[C],Practices_SubPractices[CP],"2",Practices_SubPractices[Org],"Medium"),IF(AND(Practices_SubPractices[CP]=3,Practices_SubPractices[Org]="Medium"),SUMIFS(Practices_SubPractices[C],Practices_SubPractices[CP],"3",Practices_SubPractices[Org],"Medium"),IF(AND(Practices_SubPractices[CP]=4,Practices_SubPractices[Org]="Medium"),SUMIFS(Practices_SubPractices[C],Practices_SubPractices[CP],"4",Practices_SubPractices[Org],"Medium"),IF(AND(Practices_SubPractices[CP]=5,Practices_SubPractices[Org]="Medium"),SUMIFS(Practices_SubPractices[C],Practices_SubPractices[CP],"5",Practices_SubPractices[Org],"Medium"),IF(AND(Practices_SubPractices[CP]=6,Practices_SubPractices[Org]="Medium"),SUMIFS(Practices_SubPractices[C],Practices_SubPractices[CP],"6",Practices_SubPractices[Org],"Medium"),IF(AND(Practices_SubPractices[CP]=7,Practices_SubPractices[Org] ="Medium"),SUMIFS(Practices_SubPractices[C],Practices_SubPractices[CP],"7",Practices_SubPractices[Org],"Medium"),IF(AND(Practices_SubPractices[CP]=8,Practices_SubPractices[Org] ="Medium"),SUMIFS(Practices_SubPractices[C],Practices_SubPractices[CP],"8",Practices_SubPractices[Org],"Medium"),IF(AND(Practices_SubPractices[CP]=9,Practices_SubPractices[Org] ="Medium"),SUMIFS(Practices_SubPractices[C],Practices_SubPractices[CP],"9",Practices_SubPractices[Org],"Medium"),IF(AND(Practices_SubPractices[CP]=10,Practices_SubPractices[Org] ="Medium"),SUMIFS(Practices_SubPractices[C],Practices_SubPractices[CP],"10",Practices_SubPractices[Org],"Medium"),IF(AND(Practices_SubPractices[CP]=1,Practices_SubPractices[Org]="Large"),SUMIFS(Practices_SubPractices[C],Practices_SubPractices[CP],"1",Practices_SubPractices[Org],"Large"),IF(AND(Practices_SubPractices[CP]=2,Practices_SubPractices[Org]="Large"),SUMIFS(Practices_SubPractices[C],Practices_SubPractices[CP],"2",Practices_SubPractices[Org],"Large"),IF(AND(Practices_SubPractices[CP]=3,Practices_SubPractices[Org]="Large"),SUMIFS(Practices_SubPractices[C],Practices_SubPractices[CP],"3",Practices_SubPractices[Org],"Large"),IF(AND(Practices_SubPractices[CP]=4,Practices_SubPractices[Org]="Large"),SUMIFS(Practices_SubPractices[C],Practices_SubPractices[CP],"4",Practices_SubPractices[Org],"Large"),IF(AND(Practices_SubPractices[CP]=5,Practices_SubPractices[Org]="Large"),SUMIFS(Practices_SubPractices[C],Practices_SubPractices[CP],"5",Practices_SubPractices[Org],"Large"),IF(AND(Practices_SubPractices[CP]=6,Practices_SubPractices[Org]="Large"),SUMIFS(Practices_SubPractices[C],Practices_SubPractices[CP],"6",Practices_SubPractices[Org],"Large"),IF(AND(Practices_SubPractices[CP]=7,Practices_SubPractices[Org] ="Large"),SUMIFS(Practices_SubPractices[C],Practices_SubPractices[CP],"7",Practices_SubPractices[Org],"Large"),IF(AND(Practices_SubPractices[CP]=8,Practices_SubPractices[Org] ="Large"),SUMIFS(Practices_SubPractices[C],Practices_SubPractices[CP],"8",Practices_SubPractices[Org],"Large"),IF(AND(Practices_SubPractices[CP]=9,Practices_SubPractices[Org] ="Large"),SUMIFS(Practices_SubPractices[C],Practices_SubPractices[CP],"9",Practices_SubPractices[Org],"Large"),IF(AND(Practices_SubPractices[CP]=10,Practices_SubPractices[Org] ="Large"),SUMIFS(Practices_SubPractices[C],Practices_SubPractices[CP],"10",Practices_SubPractices[Org],"Large"),"TBD"))))))))))))))))))))))))))))))</f>
        <v>2</v>
      </c>
      <c r="Q22" s="77">
        <f>IF(AND(Practices_SubPractices[CP]=1,Practices_SubPractices[Org]="Small"),SUMIFS(Practices_SubPractices[D],Practices_SubPractices[CP],"1",Practices_SubPractices[Org],"Small"),IF(AND(Practices_SubPractices[CP]=2,Practices_SubPractices[Org]="Small"),SUMIFS(Practices_SubPractices[D],Practices_SubPractices[CP],"2",Practices_SubPractices[Org],"Small"),IF(AND(Practices_SubPractices[CP]=3,Practices_SubPractices[Org]="Small"),SUMIFS(Practices_SubPractices[D],Practices_SubPractices[CP],"3",Practices_SubPractices[Org],"Small"),IF(AND(Practices_SubPractices[CP]=4,Practices_SubPractices[Org]="Small"),SUMIFS(Practices_SubPractices[D],Practices_SubPractices[CP],"4",Practices_SubPractices[Org],"Small"),IF(AND(Practices_SubPractices[CP]=5,Practices_SubPractices[Org]="Small"),SUMIFS(Practices_SubPractices[D],Practices_SubPractices[CP],"5",Practices_SubPractices[Org],"Small"),IF(AND(Practices_SubPractices[CP]=6,Practices_SubPractices[Org]="Small"),SUMIFS(Practices_SubPractices[D],Practices_SubPractices[CP],"6",Practices_SubPractices[Org],"Small"),IF(AND(Practices_SubPractices[CP]=7,Practices_SubPractices[Org] ="Small"),SUMIFS(Practices_SubPractices[D],Practices_SubPractices[CP],"7",Practices_SubPractices[Org],"Small"),IF(AND(Practices_SubPractices[CP]=8,Practices_SubPractices[Org] ="Small"),SUMIFS(Practices_SubPractices[D],Practices_SubPractices[CP],"8",Practices_SubPractices[Org],"Small"),IF(AND(Practices_SubPractices[CP]=9,Practices_SubPractices[Org] ="Small"),SUMIFS(Practices_SubPractices[D],Practices_SubPractices[CP],"9",Practices_SubPractices[Org],"Small"),IF(AND(Practices_SubPractices[CP]=10,Practices_SubPractices[Org] ="Small"),SUMIFS(Practices_SubPractices[D],Practices_SubPractices[CP],"10",Practices_SubPractices[Org],"Small"),IF(AND(Practices_SubPractices[CP]=1,Practices_SubPractices[Org]="Medium"),SUMIFS(Practices_SubPractices[D],Practices_SubPractices[CP],"1",Practices_SubPractices[Org],"Medium"),IF(AND(Practices_SubPractices[CP]=2,Practices_SubPractices[Org]="Medium"),SUMIFS(Practices_SubPractices[D],Practices_SubPractices[CP],"2",Practices_SubPractices[Org],"Medium"),IF(AND(Practices_SubPractices[CP]=3,Practices_SubPractices[Org]="Medium"),SUMIFS(Practices_SubPractices[D],Practices_SubPractices[CP],"3",Practices_SubPractices[Org],"Medium"),IF(AND(Practices_SubPractices[CP]=4,Practices_SubPractices[Org]="Medium"),SUMIFS(Practices_SubPractices[D],Practices_SubPractices[CP],"4",Practices_SubPractices[Org],"Medium"),IF(AND(Practices_SubPractices[CP]=5,Practices_SubPractices[Org]="Medium"),SUMIFS(Practices_SubPractices[D],Practices_SubPractices[CP],"5",Practices_SubPractices[Org],"Medium"),IF(AND(Practices_SubPractices[CP]=6,Practices_SubPractices[Org]="Medium"),SUMIFS(Practices_SubPractices[D],Practices_SubPractices[CP],"6",Practices_SubPractices[Org],"Medium"),IF(AND(Practices_SubPractices[CP]=7,Practices_SubPractices[Org] ="Medium"),SUMIFS(Practices_SubPractices[D],Practices_SubPractices[CP],"7",Practices_SubPractices[Org],"Medium"),IF(AND(Practices_SubPractices[CP]=8,Practices_SubPractices[Org] ="Medium"),SUMIFS(Practices_SubPractices[D],Practices_SubPractices[CP],"8",Practices_SubPractices[Org],"Medium"),IF(AND(Practices_SubPractices[CP]=9,Practices_SubPractices[Org] ="Medium"),SUMIFS(Practices_SubPractices[D],Practices_SubPractices[CP],"9",Practices_SubPractices[Org],"Medium"),IF(AND(Practices_SubPractices[CP]=10,Practices_SubPractices[Org] ="Medium"),SUMIFS(Practices_SubPractices[D],Practices_SubPractices[CP],"10",Practices_SubPractices[Org],"Medium"),IF(AND(Practices_SubPractices[CP]=1,Practices_SubPractices[Org]="Large"),SUMIFS(Practices_SubPractices[D],Practices_SubPractices[CP],"1",Practices_SubPractices[Org],"Large"),IF(AND(Practices_SubPractices[CP]=2,Practices_SubPractices[Org]="Large"),SUMIFS(Practices_SubPractices[D],Practices_SubPractices[CP],"2",Practices_SubPractices[Org],"Large"),IF(AND(Practices_SubPractices[CP]=3,Practices_SubPractices[Org]="Large"),SUMIFS(Practices_SubPractices[D],Practices_SubPractices[CP],"3",Practices_SubPractices[Org],"Large"),IF(AND(Practices_SubPractices[CP]=4,Practices_SubPractices[Org]="Large"),SUMIFS(Practices_SubPractices[D],Practices_SubPractices[CP],"4",Practices_SubPractices[Org],"Large"),IF(AND(Practices_SubPractices[CP]=5,Practices_SubPractices[Org]="Large"),SUMIFS(Practices_SubPractices[D],Practices_SubPractices[CP],"5",Practices_SubPractices[Org],"Large"),IF(AND(Practices_SubPractices[CP]=6,Practices_SubPractices[Org]="Large"),SUMIFS(Practices_SubPractices[D],Practices_SubPractices[CP],"6",Practices_SubPractices[Org],"Large"),IF(AND(Practices_SubPractices[CP]=7,Practices_SubPractices[Org] ="Large"),SUMIFS(Practices_SubPractices[D],Practices_SubPractices[CP],"7",Practices_SubPractices[Org],"Large"),IF(AND(Practices_SubPractices[CP]=8,Practices_SubPractices[Org] ="Large"),SUMIFS(Practices_SubPractices[D],Practices_SubPractices[CP],"8",Practices_SubPractices[Org],"Large"),IF(AND(Practices_SubPractices[CP]=9,Practices_SubPractices[Org] ="Large"),SUMIFS(Practices_SubPractices[D],Practices_SubPractices[CP],"9",Practices_SubPractices[Org],"Large"),IF(AND(Practices_SubPractices[CP]=10,Practices_SubPractices[Org] ="Large"),SUMIFS(Practices_SubPractices[D],Practices_SubPractices[CP],"10",Practices_SubPractices[Org],"Large"),"TBD"))))))))))))))))))))))))))))))</f>
        <v>5</v>
      </c>
      <c r="R22" s="77">
        <f>IF(AND(Practices_SubPractices[CP]=1,Practices_SubPractices[Org]="Small"),SUMIFS(Practices_SubPractices[E],Practices_SubPractices[CP],"1",Practices_SubPractices[Org],"Small"),IF(AND(Practices_SubPractices[CP]=2,Practices_SubPractices[Org]="Small"),SUMIFS(Practices_SubPractices[E],Practices_SubPractices[CP],"2",Practices_SubPractices[Org],"Small"),IF(AND(Practices_SubPractices[CP]=3,Practices_SubPractices[Org]="Small"),SUMIFS(Practices_SubPractices[E],Practices_SubPractices[CP],"3",Practices_SubPractices[Org],"Small"),IF(AND(Practices_SubPractices[CP]=4,Practices_SubPractices[Org]="Small"),SUMIFS(Practices_SubPractices[E],Practices_SubPractices[CP],"4",Practices_SubPractices[Org],"Small"),IF(AND(Practices_SubPractices[CP]=5,Practices_SubPractices[Org]="Small"),SUMIFS(Practices_SubPractices[E],Practices_SubPractices[CP],"5",Practices_SubPractices[Org],"Small"),IF(AND(Practices_SubPractices[CP]=6,Practices_SubPractices[Org]="Small"),SUMIFS(Practices_SubPractices[E],Practices_SubPractices[CP],"6",Practices_SubPractices[Org],"Small"),IF(AND(Practices_SubPractices[CP]=7,Practices_SubPractices[Org] ="Small"),SUMIFS(Practices_SubPractices[E],Practices_SubPractices[CP],"7",Practices_SubPractices[Org],"Small"),IF(AND(Practices_SubPractices[CP]=8,Practices_SubPractices[Org] ="Small"),SUMIFS(Practices_SubPractices[E],Practices_SubPractices[CP],"8",Practices_SubPractices[Org],"Small"),IF(AND(Practices_SubPractices[CP]=9,Practices_SubPractices[Org] ="Small"),SUMIFS(Practices_SubPractices[E],Practices_SubPractices[CP],"9",Practices_SubPractices[Org],"Small"),IF(AND(Practices_SubPractices[CP]=10,Practices_SubPractices[Org] ="Small"),SUMIFS(Practices_SubPractices[E],Practices_SubPractices[CP],"10",Practices_SubPractices[Org],"Small"),IF(AND(Practices_SubPractices[CP]=1,Practices_SubPractices[Org]="Medium"),SUMIFS(Practices_SubPractices[E],Practices_SubPractices[CP],"1",Practices_SubPractices[Org],"Medium"),IF(AND(Practices_SubPractices[CP]=2,Practices_SubPractices[Org]="Medium"),SUMIFS(Practices_SubPractices[E],Practices_SubPractices[CP],"2",Practices_SubPractices[Org],"Medium"),IF(AND(Practices_SubPractices[CP]=3,Practices_SubPractices[Org]="Medium"),SUMIFS(Practices_SubPractices[E],Practices_SubPractices[CP],"3",Practices_SubPractices[Org],"Medium"),IF(AND(Practices_SubPractices[CP]=4,Practices_SubPractices[Org]="Medium"),SUMIFS(Practices_SubPractices[E],Practices_SubPractices[CP],"4",Practices_SubPractices[Org],"Medium"),IF(AND(Practices_SubPractices[CP]=5,Practices_SubPractices[Org]="Medium"),SUMIFS(Practices_SubPractices[E],Practices_SubPractices[CP],"5",Practices_SubPractices[Org],"Medium"),IF(AND(Practices_SubPractices[CP]=6,Practices_SubPractices[Org]="Medium"),SUMIFS(Practices_SubPractices[E],Practices_SubPractices[CP],"6",Practices_SubPractices[Org],"Medium"),IF(AND(Practices_SubPractices[CP]=7,Practices_SubPractices[Org] ="Medium"),SUMIFS(Practices_SubPractices[E],Practices_SubPractices[CP],"7",Practices_SubPractices[Org],"Medium"),IF(AND(Practices_SubPractices[CP]=8,Practices_SubPractices[Org] ="Medium"),SUMIFS(Practices_SubPractices[E],Practices_SubPractices[CP],"8",Practices_SubPractices[Org],"Medium"),IF(AND(Practices_SubPractices[CP]=9,Practices_SubPractices[Org] ="Medium"),SUMIFS(Practices_SubPractices[E],Practices_SubPractices[CP],"9",Practices_SubPractices[Org],"Medium"),IF(AND(Practices_SubPractices[CP]=10,Practices_SubPractices[Org] ="Medium"),SUMIFS(Practices_SubPractices[E],Practices_SubPractices[CP],"10",Practices_SubPractices[Org],"Medium"),IF(AND(Practices_SubPractices[CP]=1,Practices_SubPractices[Org]="Large"),SUMIFS(Practices_SubPractices[E],Practices_SubPractices[CP],"1",Practices_SubPractices[Org],"Large"),IF(AND(Practices_SubPractices[CP]=2,Practices_SubPractices[Org]="Large"),SUMIFS(Practices_SubPractices[E],Practices_SubPractices[CP],"2",Practices_SubPractices[Org],"Large"),IF(AND(Practices_SubPractices[CP]=3,Practices_SubPractices[Org]="Large"),SUMIFS(Practices_SubPractices[E],Practices_SubPractices[CP],"3",Practices_SubPractices[Org],"Large"),IF(AND(Practices_SubPractices[CP]=4,Practices_SubPractices[Org]="Large"),SUMIFS(Practices_SubPractices[E],Practices_SubPractices[CP],"4",Practices_SubPractices[Org],"Large"),IF(AND(Practices_SubPractices[CP]=5,Practices_SubPractices[Org]="Large"),SUMIFS(Practices_SubPractices[E],Practices_SubPractices[CP],"5",Practices_SubPractices[Org],"Large"),IF(AND(Practices_SubPractices[CP]=6,Practices_SubPractices[Org]="Large"),SUMIFS(Practices_SubPractices[E],Practices_SubPractices[CP],"6",Practices_SubPractices[Org],"Large"),IF(AND(Practices_SubPractices[CP]=7,Practices_SubPractices[Org] ="Large"),SUMIFS(Practices_SubPractices[E],Practices_SubPractices[CP],"7",Practices_SubPractices[Org],"Large"),IF(AND(Practices_SubPractices[CP]=8,Practices_SubPractices[Org] ="Large"),SUMIFS(Practices_SubPractices[E],Practices_SubPractices[CP],"8",Practices_SubPractices[Org],"Large"),IF(AND(Practices_SubPractices[CP]=9,Practices_SubPractices[Org] ="Large"),SUMIFS(Practices_SubPractices[E],Practices_SubPractices[CP],"9",Practices_SubPractices[Org],"Large"),IF(AND(Practices_SubPractices[CP]=10,Practices_SubPractices[Org] ="Large"),SUMIFS(Practices_SubPractices[E],Practices_SubPractices[CP],"10",Practices_SubPractices[Org],"Large"),"TBD"))))))))))))))))))))))))))))))</f>
        <v>4</v>
      </c>
      <c r="S22" s="84" t="s">
        <v>397</v>
      </c>
    </row>
    <row r="23" spans="1:19" x14ac:dyDescent="0.35">
      <c r="A23" s="73">
        <v>13</v>
      </c>
      <c r="B23" s="73">
        <v>6</v>
      </c>
      <c r="C23" s="73" t="s">
        <v>10</v>
      </c>
      <c r="D23" s="73" t="str">
        <f>Practices_SubPractices[[#This Row],[CP]]&amp;LEFT(Practices_SubPractices[[#This Row],[Org]],1)</f>
        <v>6S</v>
      </c>
      <c r="E23" s="73" t="s">
        <v>266</v>
      </c>
      <c r="F23" s="74" t="s">
        <v>40</v>
      </c>
      <c r="G23" s="74" t="s">
        <v>41</v>
      </c>
      <c r="H23" s="74" t="s">
        <v>366</v>
      </c>
      <c r="I23" s="75">
        <v>0</v>
      </c>
      <c r="J23" s="75">
        <v>1</v>
      </c>
      <c r="K23" s="75">
        <v>2</v>
      </c>
      <c r="L23" s="75">
        <v>1</v>
      </c>
      <c r="M23" s="75">
        <v>1</v>
      </c>
      <c r="N23" s="76"/>
      <c r="O23" s="77">
        <f>IF(AND(Practices_SubPractices[CP]=1,Practices_SubPractices[Org]="Small"),SUMIFS(Practices_SubPractices[B],Practices_SubPractices[CP],"1",Practices_SubPractices[Org],"Small"),IF(AND(Practices_SubPractices[CP]=2,Practices_SubPractices[Org]="Small"),SUMIFS(Practices_SubPractices[B],Practices_SubPractices[CP],"2",Practices_SubPractices[Org],"Small"),IF(AND(Practices_SubPractices[CP]=3,Practices_SubPractices[Org]="Small"),SUMIFS(Practices_SubPractices[B],Practices_SubPractices[CP],"3",Practices_SubPractices[Org],"Small"),IF(AND(Practices_SubPractices[CP]=4,Practices_SubPractices[Org]="Small"),SUMIFS(Practices_SubPractices[B],Practices_SubPractices[CP],"4",Practices_SubPractices[Org],"Small"),IF(AND(Practices_SubPractices[CP]=5,Practices_SubPractices[Org]="Small"),SUMIFS(Practices_SubPractices[B],Practices_SubPractices[CP],"5",Practices_SubPractices[Org],"Small"),IF(AND(Practices_SubPractices[CP]=6,Practices_SubPractices[Org]="Small"),SUMIFS(Practices_SubPractices[B],Practices_SubPractices[CP],"6",Practices_SubPractices[Org],"Small"),IF(AND(Practices_SubPractices[CP]=7,Practices_SubPractices[Org] ="Small"),SUMIFS(Practices_SubPractices[B],Practices_SubPractices[CP],"7",Practices_SubPractices[Org],"Small"),IF(AND(Practices_SubPractices[CP]=8,Practices_SubPractices[Org] ="Small"),SUMIFS(Practices_SubPractices[B],Practices_SubPractices[CP],"8",Practices_SubPractices[Org],"Small"),IF(AND(Practices_SubPractices[CP]=9,Practices_SubPractices[Org] ="Small"),SUMIFS(Practices_SubPractices[B],Practices_SubPractices[CP],"9",Practices_SubPractices[Org],"Small"),IF(AND(Practices_SubPractices[CP]=10,Practices_SubPractices[Org] ="Small"),SUMIFS(Practices_SubPractices[B],Practices_SubPractices[CP],"10",Practices_SubPractices[Org],"Small"),IF(AND(Practices_SubPractices[CP]=1,Practices_SubPractices[Org]="Medium"),SUMIFS(Practices_SubPractices[B],Practices_SubPractices[CP],"1",Practices_SubPractices[Org],"Medium"),IF(AND(Practices_SubPractices[CP]=2,Practices_SubPractices[Org]="Medium"),SUMIFS(Practices_SubPractices[B],Practices_SubPractices[CP],"2",Practices_SubPractices[Org],"Medium"),IF(AND(Practices_SubPractices[CP]=3,Practices_SubPractices[Org]="Medium"),SUMIFS(Practices_SubPractices[B],Practices_SubPractices[CP],"3",Practices_SubPractices[Org],"Medium"),IF(AND(Practices_SubPractices[CP]=4,Practices_SubPractices[Org]="Medium"),SUMIFS(Practices_SubPractices[B],Practices_SubPractices[CP],"4",Practices_SubPractices[Org],"Medium"),IF(AND(Practices_SubPractices[CP]=5,Practices_SubPractices[Org]="Medium"),SUMIFS(Practices_SubPractices[B],Practices_SubPractices[CP],"5",Practices_SubPractices[Org],"Medium"),IF(AND(Practices_SubPractices[CP]=6,Practices_SubPractices[Org]="Medium"),SUMIFS(Practices_SubPractices[B],Practices_SubPractices[CP],"6",Practices_SubPractices[Org],"Medium"),IF(AND(Practices_SubPractices[CP]=7,Practices_SubPractices[Org] ="Medium"),SUMIFS(Practices_SubPractices[B],Practices_SubPractices[CP],"7",Practices_SubPractices[Org],"Medium"),IF(AND(Practices_SubPractices[CP]=8,Practices_SubPractices[Org] ="Medium"),SUMIFS(Practices_SubPractices[B],Practices_SubPractices[CP],"8",Practices_SubPractices[Org],"Medium"),IF(AND(Practices_SubPractices[CP]=9,Practices_SubPractices[Org] ="Medium"),SUMIFS(Practices_SubPractices[B],Practices_SubPractices[CP],"9",Practices_SubPractices[Org],"Medium"),IF(AND(Practices_SubPractices[CP]=10,Practices_SubPractices[Org] ="Medium"),SUMIFS(Practices_SubPractices[B],Practices_SubPractices[CP],"10",Practices_SubPractices[Org],"Medium"),IF(AND(Practices_SubPractices[CP]=1,Practices_SubPractices[Org]="Large"),SUMIFS(Practices_SubPractices[B],Practices_SubPractices[CP],"1",Practices_SubPractices[Org],"Large"),IF(AND(Practices_SubPractices[CP]=2,Practices_SubPractices[Org]="Large"),SUMIFS(Practices_SubPractices[B],Practices_SubPractices[CP],"2",Practices_SubPractices[Org],"Large"),IF(AND(Practices_SubPractices[CP]=3,Practices_SubPractices[Org]="Large"),SUMIFS(Practices_SubPractices[B],Practices_SubPractices[CP],"3",Practices_SubPractices[Org],"Large"),IF(AND(Practices_SubPractices[CP]=4,Practices_SubPractices[Org]="Large"),SUMIFS(Practices_SubPractices[B],Practices_SubPractices[CP],"4",Practices_SubPractices[Org],"Large"),IF(AND(Practices_SubPractices[CP]=5,Practices_SubPractices[Org]="Large"),SUMIFS(Practices_SubPractices[B],Practices_SubPractices[CP],"5",Practices_SubPractices[Org],"Large"),IF(AND(Practices_SubPractices[CP]=6,Practices_SubPractices[Org]="Large"),SUMIFS(Practices_SubPractices[B],Practices_SubPractices[CP],"6",Practices_SubPractices[Org],"Large"),IF(AND(Practices_SubPractices[CP]=7,Practices_SubPractices[Org] ="Large"),SUMIFS(Practices_SubPractices[B],Practices_SubPractices[CP],"7",Practices_SubPractices[Org],"Large"),IF(AND(Practices_SubPractices[CP]=8,Practices_SubPractices[Org] ="Large"),SUMIFS(Practices_SubPractices[B],Practices_SubPractices[CP],"8",Practices_SubPractices[Org],"Large"),IF(AND(Practices_SubPractices[CP]=9,Practices_SubPractices[Org] ="Large"),SUMIFS(Practices_SubPractices[B],Practices_SubPractices[CP],"9",Practices_SubPractices[Org],"Large"),IF(AND(Practices_SubPractices[CP]=10,Practices_SubPractices[Org] ="Large"),SUMIFS(Practices_SubPractices[B],Practices_SubPractices[CP],"10",Practices_SubPractices[Org],"Large"),"TBD"))))))))))))))))))))))))))))))</f>
        <v>4</v>
      </c>
      <c r="P23" s="77">
        <f>IF(AND(Practices_SubPractices[CP]=1,Practices_SubPractices[Org]="Small"),SUMIFS(Practices_SubPractices[C],Practices_SubPractices[CP],"1",Practices_SubPractices[Org],"Small"),IF(AND(Practices_SubPractices[CP]=2,Practices_SubPractices[Org]="Small"),SUMIFS(Practices_SubPractices[C],Practices_SubPractices[CP],"2",Practices_SubPractices[Org],"Small"),IF(AND(Practices_SubPractices[CP]=3,Practices_SubPractices[Org]="Small"),SUMIFS(Practices_SubPractices[C],Practices_SubPractices[CP],"3",Practices_SubPractices[Org],"Small"),IF(AND(Practices_SubPractices[CP]=4,Practices_SubPractices[Org]="Small"),SUMIFS(Practices_SubPractices[C],Practices_SubPractices[CP],"4",Practices_SubPractices[Org],"Small"),IF(AND(Practices_SubPractices[CP]=5,Practices_SubPractices[Org]="Small"),SUMIFS(Practices_SubPractices[C],Practices_SubPractices[CP],"5",Practices_SubPractices[Org],"Small"),IF(AND(Practices_SubPractices[CP]=6,Practices_SubPractices[Org]="Small"),SUMIFS(Practices_SubPractices[C],Practices_SubPractices[CP],"6",Practices_SubPractices[Org],"Small"),IF(AND(Practices_SubPractices[CP]=7,Practices_SubPractices[Org] ="Small"),SUMIFS(Practices_SubPractices[C],Practices_SubPractices[CP],"7",Practices_SubPractices[Org],"Small"),IF(AND(Practices_SubPractices[CP]=8,Practices_SubPractices[Org] ="Small"),SUMIFS(Practices_SubPractices[C],Practices_SubPractices[CP],"8",Practices_SubPractices[Org],"Small"),IF(AND(Practices_SubPractices[CP]=9,Practices_SubPractices[Org] ="Small"),SUMIFS(Practices_SubPractices[C],Practices_SubPractices[CP],"9",Practices_SubPractices[Org],"Small"),IF(AND(Practices_SubPractices[CP]=10,Practices_SubPractices[Org] ="Small"),SUMIFS(Practices_SubPractices[C],Practices_SubPractices[CP],"10",Practices_SubPractices[Org],"Small"),IF(AND(Practices_SubPractices[CP]=1,Practices_SubPractices[Org]="Medium"),SUMIFS(Practices_SubPractices[C],Practices_SubPractices[CP],"1",Practices_SubPractices[Org],"Medium"),IF(AND(Practices_SubPractices[CP]=2,Practices_SubPractices[Org]="Medium"),SUMIFS(Practices_SubPractices[C],Practices_SubPractices[CP],"2",Practices_SubPractices[Org],"Medium"),IF(AND(Practices_SubPractices[CP]=3,Practices_SubPractices[Org]="Medium"),SUMIFS(Practices_SubPractices[C],Practices_SubPractices[CP],"3",Practices_SubPractices[Org],"Medium"),IF(AND(Practices_SubPractices[CP]=4,Practices_SubPractices[Org]="Medium"),SUMIFS(Practices_SubPractices[C],Practices_SubPractices[CP],"4",Practices_SubPractices[Org],"Medium"),IF(AND(Practices_SubPractices[CP]=5,Practices_SubPractices[Org]="Medium"),SUMIFS(Practices_SubPractices[C],Practices_SubPractices[CP],"5",Practices_SubPractices[Org],"Medium"),IF(AND(Practices_SubPractices[CP]=6,Practices_SubPractices[Org]="Medium"),SUMIFS(Practices_SubPractices[C],Practices_SubPractices[CP],"6",Practices_SubPractices[Org],"Medium"),IF(AND(Practices_SubPractices[CP]=7,Practices_SubPractices[Org] ="Medium"),SUMIFS(Practices_SubPractices[C],Practices_SubPractices[CP],"7",Practices_SubPractices[Org],"Medium"),IF(AND(Practices_SubPractices[CP]=8,Practices_SubPractices[Org] ="Medium"),SUMIFS(Practices_SubPractices[C],Practices_SubPractices[CP],"8",Practices_SubPractices[Org],"Medium"),IF(AND(Practices_SubPractices[CP]=9,Practices_SubPractices[Org] ="Medium"),SUMIFS(Practices_SubPractices[C],Practices_SubPractices[CP],"9",Practices_SubPractices[Org],"Medium"),IF(AND(Practices_SubPractices[CP]=10,Practices_SubPractices[Org] ="Medium"),SUMIFS(Practices_SubPractices[C],Practices_SubPractices[CP],"10",Practices_SubPractices[Org],"Medium"),IF(AND(Practices_SubPractices[CP]=1,Practices_SubPractices[Org]="Large"),SUMIFS(Practices_SubPractices[C],Practices_SubPractices[CP],"1",Practices_SubPractices[Org],"Large"),IF(AND(Practices_SubPractices[CP]=2,Practices_SubPractices[Org]="Large"),SUMIFS(Practices_SubPractices[C],Practices_SubPractices[CP],"2",Practices_SubPractices[Org],"Large"),IF(AND(Practices_SubPractices[CP]=3,Practices_SubPractices[Org]="Large"),SUMIFS(Practices_SubPractices[C],Practices_SubPractices[CP],"3",Practices_SubPractices[Org],"Large"),IF(AND(Practices_SubPractices[CP]=4,Practices_SubPractices[Org]="Large"),SUMIFS(Practices_SubPractices[C],Practices_SubPractices[CP],"4",Practices_SubPractices[Org],"Large"),IF(AND(Practices_SubPractices[CP]=5,Practices_SubPractices[Org]="Large"),SUMIFS(Practices_SubPractices[C],Practices_SubPractices[CP],"5",Practices_SubPractices[Org],"Large"),IF(AND(Practices_SubPractices[CP]=6,Practices_SubPractices[Org]="Large"),SUMIFS(Practices_SubPractices[C],Practices_SubPractices[CP],"6",Practices_SubPractices[Org],"Large"),IF(AND(Practices_SubPractices[CP]=7,Practices_SubPractices[Org] ="Large"),SUMIFS(Practices_SubPractices[C],Practices_SubPractices[CP],"7",Practices_SubPractices[Org],"Large"),IF(AND(Practices_SubPractices[CP]=8,Practices_SubPractices[Org] ="Large"),SUMIFS(Practices_SubPractices[C],Practices_SubPractices[CP],"8",Practices_SubPractices[Org],"Large"),IF(AND(Practices_SubPractices[CP]=9,Practices_SubPractices[Org] ="Large"),SUMIFS(Practices_SubPractices[C],Practices_SubPractices[CP],"9",Practices_SubPractices[Org],"Large"),IF(AND(Practices_SubPractices[CP]=10,Practices_SubPractices[Org] ="Large"),SUMIFS(Practices_SubPractices[C],Practices_SubPractices[CP],"10",Practices_SubPractices[Org],"Large"),"TBD"))))))))))))))))))))))))))))))</f>
        <v>2</v>
      </c>
      <c r="Q23" s="77">
        <f>IF(AND(Practices_SubPractices[CP]=1,Practices_SubPractices[Org]="Small"),SUMIFS(Practices_SubPractices[D],Practices_SubPractices[CP],"1",Practices_SubPractices[Org],"Small"),IF(AND(Practices_SubPractices[CP]=2,Practices_SubPractices[Org]="Small"),SUMIFS(Practices_SubPractices[D],Practices_SubPractices[CP],"2",Practices_SubPractices[Org],"Small"),IF(AND(Practices_SubPractices[CP]=3,Practices_SubPractices[Org]="Small"),SUMIFS(Practices_SubPractices[D],Practices_SubPractices[CP],"3",Practices_SubPractices[Org],"Small"),IF(AND(Practices_SubPractices[CP]=4,Practices_SubPractices[Org]="Small"),SUMIFS(Practices_SubPractices[D],Practices_SubPractices[CP],"4",Practices_SubPractices[Org],"Small"),IF(AND(Practices_SubPractices[CP]=5,Practices_SubPractices[Org]="Small"),SUMIFS(Practices_SubPractices[D],Practices_SubPractices[CP],"5",Practices_SubPractices[Org],"Small"),IF(AND(Practices_SubPractices[CP]=6,Practices_SubPractices[Org]="Small"),SUMIFS(Practices_SubPractices[D],Practices_SubPractices[CP],"6",Practices_SubPractices[Org],"Small"),IF(AND(Practices_SubPractices[CP]=7,Practices_SubPractices[Org] ="Small"),SUMIFS(Practices_SubPractices[D],Practices_SubPractices[CP],"7",Practices_SubPractices[Org],"Small"),IF(AND(Practices_SubPractices[CP]=8,Practices_SubPractices[Org] ="Small"),SUMIFS(Practices_SubPractices[D],Practices_SubPractices[CP],"8",Practices_SubPractices[Org],"Small"),IF(AND(Practices_SubPractices[CP]=9,Practices_SubPractices[Org] ="Small"),SUMIFS(Practices_SubPractices[D],Practices_SubPractices[CP],"9",Practices_SubPractices[Org],"Small"),IF(AND(Practices_SubPractices[CP]=10,Practices_SubPractices[Org] ="Small"),SUMIFS(Practices_SubPractices[D],Practices_SubPractices[CP],"10",Practices_SubPractices[Org],"Small"),IF(AND(Practices_SubPractices[CP]=1,Practices_SubPractices[Org]="Medium"),SUMIFS(Practices_SubPractices[D],Practices_SubPractices[CP],"1",Practices_SubPractices[Org],"Medium"),IF(AND(Practices_SubPractices[CP]=2,Practices_SubPractices[Org]="Medium"),SUMIFS(Practices_SubPractices[D],Practices_SubPractices[CP],"2",Practices_SubPractices[Org],"Medium"),IF(AND(Practices_SubPractices[CP]=3,Practices_SubPractices[Org]="Medium"),SUMIFS(Practices_SubPractices[D],Practices_SubPractices[CP],"3",Practices_SubPractices[Org],"Medium"),IF(AND(Practices_SubPractices[CP]=4,Practices_SubPractices[Org]="Medium"),SUMIFS(Practices_SubPractices[D],Practices_SubPractices[CP],"4",Practices_SubPractices[Org],"Medium"),IF(AND(Practices_SubPractices[CP]=5,Practices_SubPractices[Org]="Medium"),SUMIFS(Practices_SubPractices[D],Practices_SubPractices[CP],"5",Practices_SubPractices[Org],"Medium"),IF(AND(Practices_SubPractices[CP]=6,Practices_SubPractices[Org]="Medium"),SUMIFS(Practices_SubPractices[D],Practices_SubPractices[CP],"6",Practices_SubPractices[Org],"Medium"),IF(AND(Practices_SubPractices[CP]=7,Practices_SubPractices[Org] ="Medium"),SUMIFS(Practices_SubPractices[D],Practices_SubPractices[CP],"7",Practices_SubPractices[Org],"Medium"),IF(AND(Practices_SubPractices[CP]=8,Practices_SubPractices[Org] ="Medium"),SUMIFS(Practices_SubPractices[D],Practices_SubPractices[CP],"8",Practices_SubPractices[Org],"Medium"),IF(AND(Practices_SubPractices[CP]=9,Practices_SubPractices[Org] ="Medium"),SUMIFS(Practices_SubPractices[D],Practices_SubPractices[CP],"9",Practices_SubPractices[Org],"Medium"),IF(AND(Practices_SubPractices[CP]=10,Practices_SubPractices[Org] ="Medium"),SUMIFS(Practices_SubPractices[D],Practices_SubPractices[CP],"10",Practices_SubPractices[Org],"Medium"),IF(AND(Practices_SubPractices[CP]=1,Practices_SubPractices[Org]="Large"),SUMIFS(Practices_SubPractices[D],Practices_SubPractices[CP],"1",Practices_SubPractices[Org],"Large"),IF(AND(Practices_SubPractices[CP]=2,Practices_SubPractices[Org]="Large"),SUMIFS(Practices_SubPractices[D],Practices_SubPractices[CP],"2",Practices_SubPractices[Org],"Large"),IF(AND(Practices_SubPractices[CP]=3,Practices_SubPractices[Org]="Large"),SUMIFS(Practices_SubPractices[D],Practices_SubPractices[CP],"3",Practices_SubPractices[Org],"Large"),IF(AND(Practices_SubPractices[CP]=4,Practices_SubPractices[Org]="Large"),SUMIFS(Practices_SubPractices[D],Practices_SubPractices[CP],"4",Practices_SubPractices[Org],"Large"),IF(AND(Practices_SubPractices[CP]=5,Practices_SubPractices[Org]="Large"),SUMIFS(Practices_SubPractices[D],Practices_SubPractices[CP],"5",Practices_SubPractices[Org],"Large"),IF(AND(Practices_SubPractices[CP]=6,Practices_SubPractices[Org]="Large"),SUMIFS(Practices_SubPractices[D],Practices_SubPractices[CP],"6",Practices_SubPractices[Org],"Large"),IF(AND(Practices_SubPractices[CP]=7,Practices_SubPractices[Org] ="Large"),SUMIFS(Practices_SubPractices[D],Practices_SubPractices[CP],"7",Practices_SubPractices[Org],"Large"),IF(AND(Practices_SubPractices[CP]=8,Practices_SubPractices[Org] ="Large"),SUMIFS(Practices_SubPractices[D],Practices_SubPractices[CP],"8",Practices_SubPractices[Org],"Large"),IF(AND(Practices_SubPractices[CP]=9,Practices_SubPractices[Org] ="Large"),SUMIFS(Practices_SubPractices[D],Practices_SubPractices[CP],"9",Practices_SubPractices[Org],"Large"),IF(AND(Practices_SubPractices[CP]=10,Practices_SubPractices[Org] ="Large"),SUMIFS(Practices_SubPractices[D],Practices_SubPractices[CP],"10",Practices_SubPractices[Org],"Large"),"TBD"))))))))))))))))))))))))))))))</f>
        <v>5</v>
      </c>
      <c r="R23" s="77">
        <f>IF(AND(Practices_SubPractices[CP]=1,Practices_SubPractices[Org]="Small"),SUMIFS(Practices_SubPractices[E],Practices_SubPractices[CP],"1",Practices_SubPractices[Org],"Small"),IF(AND(Practices_SubPractices[CP]=2,Practices_SubPractices[Org]="Small"),SUMIFS(Practices_SubPractices[E],Practices_SubPractices[CP],"2",Practices_SubPractices[Org],"Small"),IF(AND(Practices_SubPractices[CP]=3,Practices_SubPractices[Org]="Small"),SUMIFS(Practices_SubPractices[E],Practices_SubPractices[CP],"3",Practices_SubPractices[Org],"Small"),IF(AND(Practices_SubPractices[CP]=4,Practices_SubPractices[Org]="Small"),SUMIFS(Practices_SubPractices[E],Practices_SubPractices[CP],"4",Practices_SubPractices[Org],"Small"),IF(AND(Practices_SubPractices[CP]=5,Practices_SubPractices[Org]="Small"),SUMIFS(Practices_SubPractices[E],Practices_SubPractices[CP],"5",Practices_SubPractices[Org],"Small"),IF(AND(Practices_SubPractices[CP]=6,Practices_SubPractices[Org]="Small"),SUMIFS(Practices_SubPractices[E],Practices_SubPractices[CP],"6",Practices_SubPractices[Org],"Small"),IF(AND(Practices_SubPractices[CP]=7,Practices_SubPractices[Org] ="Small"),SUMIFS(Practices_SubPractices[E],Practices_SubPractices[CP],"7",Practices_SubPractices[Org],"Small"),IF(AND(Practices_SubPractices[CP]=8,Practices_SubPractices[Org] ="Small"),SUMIFS(Practices_SubPractices[E],Practices_SubPractices[CP],"8",Practices_SubPractices[Org],"Small"),IF(AND(Practices_SubPractices[CP]=9,Practices_SubPractices[Org] ="Small"),SUMIFS(Practices_SubPractices[E],Practices_SubPractices[CP],"9",Practices_SubPractices[Org],"Small"),IF(AND(Practices_SubPractices[CP]=10,Practices_SubPractices[Org] ="Small"),SUMIFS(Practices_SubPractices[E],Practices_SubPractices[CP],"10",Practices_SubPractices[Org],"Small"),IF(AND(Practices_SubPractices[CP]=1,Practices_SubPractices[Org]="Medium"),SUMIFS(Practices_SubPractices[E],Practices_SubPractices[CP],"1",Practices_SubPractices[Org],"Medium"),IF(AND(Practices_SubPractices[CP]=2,Practices_SubPractices[Org]="Medium"),SUMIFS(Practices_SubPractices[E],Practices_SubPractices[CP],"2",Practices_SubPractices[Org],"Medium"),IF(AND(Practices_SubPractices[CP]=3,Practices_SubPractices[Org]="Medium"),SUMIFS(Practices_SubPractices[E],Practices_SubPractices[CP],"3",Practices_SubPractices[Org],"Medium"),IF(AND(Practices_SubPractices[CP]=4,Practices_SubPractices[Org]="Medium"),SUMIFS(Practices_SubPractices[E],Practices_SubPractices[CP],"4",Practices_SubPractices[Org],"Medium"),IF(AND(Practices_SubPractices[CP]=5,Practices_SubPractices[Org]="Medium"),SUMIFS(Practices_SubPractices[E],Practices_SubPractices[CP],"5",Practices_SubPractices[Org],"Medium"),IF(AND(Practices_SubPractices[CP]=6,Practices_SubPractices[Org]="Medium"),SUMIFS(Practices_SubPractices[E],Practices_SubPractices[CP],"6",Practices_SubPractices[Org],"Medium"),IF(AND(Practices_SubPractices[CP]=7,Practices_SubPractices[Org] ="Medium"),SUMIFS(Practices_SubPractices[E],Practices_SubPractices[CP],"7",Practices_SubPractices[Org],"Medium"),IF(AND(Practices_SubPractices[CP]=8,Practices_SubPractices[Org] ="Medium"),SUMIFS(Practices_SubPractices[E],Practices_SubPractices[CP],"8",Practices_SubPractices[Org],"Medium"),IF(AND(Practices_SubPractices[CP]=9,Practices_SubPractices[Org] ="Medium"),SUMIFS(Practices_SubPractices[E],Practices_SubPractices[CP],"9",Practices_SubPractices[Org],"Medium"),IF(AND(Practices_SubPractices[CP]=10,Practices_SubPractices[Org] ="Medium"),SUMIFS(Practices_SubPractices[E],Practices_SubPractices[CP],"10",Practices_SubPractices[Org],"Medium"),IF(AND(Practices_SubPractices[CP]=1,Practices_SubPractices[Org]="Large"),SUMIFS(Practices_SubPractices[E],Practices_SubPractices[CP],"1",Practices_SubPractices[Org],"Large"),IF(AND(Practices_SubPractices[CP]=2,Practices_SubPractices[Org]="Large"),SUMIFS(Practices_SubPractices[E],Practices_SubPractices[CP],"2",Practices_SubPractices[Org],"Large"),IF(AND(Practices_SubPractices[CP]=3,Practices_SubPractices[Org]="Large"),SUMIFS(Practices_SubPractices[E],Practices_SubPractices[CP],"3",Practices_SubPractices[Org],"Large"),IF(AND(Practices_SubPractices[CP]=4,Practices_SubPractices[Org]="Large"),SUMIFS(Practices_SubPractices[E],Practices_SubPractices[CP],"4",Practices_SubPractices[Org],"Large"),IF(AND(Practices_SubPractices[CP]=5,Practices_SubPractices[Org]="Large"),SUMIFS(Practices_SubPractices[E],Practices_SubPractices[CP],"5",Practices_SubPractices[Org],"Large"),IF(AND(Practices_SubPractices[CP]=6,Practices_SubPractices[Org]="Large"),SUMIFS(Practices_SubPractices[E],Practices_SubPractices[CP],"6",Practices_SubPractices[Org],"Large"),IF(AND(Practices_SubPractices[CP]=7,Practices_SubPractices[Org] ="Large"),SUMIFS(Practices_SubPractices[E],Practices_SubPractices[CP],"7",Practices_SubPractices[Org],"Large"),IF(AND(Practices_SubPractices[CP]=8,Practices_SubPractices[Org] ="Large"),SUMIFS(Practices_SubPractices[E],Practices_SubPractices[CP],"8",Practices_SubPractices[Org],"Large"),IF(AND(Practices_SubPractices[CP]=9,Practices_SubPractices[Org] ="Large"),SUMIFS(Practices_SubPractices[E],Practices_SubPractices[CP],"9",Practices_SubPractices[Org],"Large"),IF(AND(Practices_SubPractices[CP]=10,Practices_SubPractices[Org] ="Large"),SUMIFS(Practices_SubPractices[E],Practices_SubPractices[CP],"10",Practices_SubPractices[Org],"Large"),"TBD"))))))))))))))))))))))))))))))</f>
        <v>4</v>
      </c>
      <c r="S23" s="84" t="s">
        <v>398</v>
      </c>
    </row>
    <row r="24" spans="1:19" x14ac:dyDescent="0.35">
      <c r="A24" s="73">
        <v>14</v>
      </c>
      <c r="B24" s="73">
        <v>6</v>
      </c>
      <c r="C24" s="73" t="s">
        <v>10</v>
      </c>
      <c r="D24" s="73" t="str">
        <f>Practices_SubPractices[[#This Row],[CP]]&amp;LEFT(Practices_SubPractices[[#This Row],[Org]],1)</f>
        <v>6S</v>
      </c>
      <c r="E24" s="73" t="s">
        <v>267</v>
      </c>
      <c r="F24" s="74" t="s">
        <v>43</v>
      </c>
      <c r="G24" s="74" t="s">
        <v>42</v>
      </c>
      <c r="H24" s="74" t="s">
        <v>367</v>
      </c>
      <c r="I24" s="75">
        <v>1</v>
      </c>
      <c r="J24" s="75">
        <v>1</v>
      </c>
      <c r="K24" s="75">
        <v>0</v>
      </c>
      <c r="L24" s="75">
        <v>2</v>
      </c>
      <c r="M24" s="75">
        <v>1</v>
      </c>
      <c r="N24" s="76"/>
      <c r="O24" s="77">
        <f>IF(AND(Practices_SubPractices[CP]=1,Practices_SubPractices[Org]="Small"),SUMIFS(Practices_SubPractices[B],Practices_SubPractices[CP],"1",Practices_SubPractices[Org],"Small"),IF(AND(Practices_SubPractices[CP]=2,Practices_SubPractices[Org]="Small"),SUMIFS(Practices_SubPractices[B],Practices_SubPractices[CP],"2",Practices_SubPractices[Org],"Small"),IF(AND(Practices_SubPractices[CP]=3,Practices_SubPractices[Org]="Small"),SUMIFS(Practices_SubPractices[B],Practices_SubPractices[CP],"3",Practices_SubPractices[Org],"Small"),IF(AND(Practices_SubPractices[CP]=4,Practices_SubPractices[Org]="Small"),SUMIFS(Practices_SubPractices[B],Practices_SubPractices[CP],"4",Practices_SubPractices[Org],"Small"),IF(AND(Practices_SubPractices[CP]=5,Practices_SubPractices[Org]="Small"),SUMIFS(Practices_SubPractices[B],Practices_SubPractices[CP],"5",Practices_SubPractices[Org],"Small"),IF(AND(Practices_SubPractices[CP]=6,Practices_SubPractices[Org]="Small"),SUMIFS(Practices_SubPractices[B],Practices_SubPractices[CP],"6",Practices_SubPractices[Org],"Small"),IF(AND(Practices_SubPractices[CP]=7,Practices_SubPractices[Org] ="Small"),SUMIFS(Practices_SubPractices[B],Practices_SubPractices[CP],"7",Practices_SubPractices[Org],"Small"),IF(AND(Practices_SubPractices[CP]=8,Practices_SubPractices[Org] ="Small"),SUMIFS(Practices_SubPractices[B],Practices_SubPractices[CP],"8",Practices_SubPractices[Org],"Small"),IF(AND(Practices_SubPractices[CP]=9,Practices_SubPractices[Org] ="Small"),SUMIFS(Practices_SubPractices[B],Practices_SubPractices[CP],"9",Practices_SubPractices[Org],"Small"),IF(AND(Practices_SubPractices[CP]=10,Practices_SubPractices[Org] ="Small"),SUMIFS(Practices_SubPractices[B],Practices_SubPractices[CP],"10",Practices_SubPractices[Org],"Small"),IF(AND(Practices_SubPractices[CP]=1,Practices_SubPractices[Org]="Medium"),SUMIFS(Practices_SubPractices[B],Practices_SubPractices[CP],"1",Practices_SubPractices[Org],"Medium"),IF(AND(Practices_SubPractices[CP]=2,Practices_SubPractices[Org]="Medium"),SUMIFS(Practices_SubPractices[B],Practices_SubPractices[CP],"2",Practices_SubPractices[Org],"Medium"),IF(AND(Practices_SubPractices[CP]=3,Practices_SubPractices[Org]="Medium"),SUMIFS(Practices_SubPractices[B],Practices_SubPractices[CP],"3",Practices_SubPractices[Org],"Medium"),IF(AND(Practices_SubPractices[CP]=4,Practices_SubPractices[Org]="Medium"),SUMIFS(Practices_SubPractices[B],Practices_SubPractices[CP],"4",Practices_SubPractices[Org],"Medium"),IF(AND(Practices_SubPractices[CP]=5,Practices_SubPractices[Org]="Medium"),SUMIFS(Practices_SubPractices[B],Practices_SubPractices[CP],"5",Practices_SubPractices[Org],"Medium"),IF(AND(Practices_SubPractices[CP]=6,Practices_SubPractices[Org]="Medium"),SUMIFS(Practices_SubPractices[B],Practices_SubPractices[CP],"6",Practices_SubPractices[Org],"Medium"),IF(AND(Practices_SubPractices[CP]=7,Practices_SubPractices[Org] ="Medium"),SUMIFS(Practices_SubPractices[B],Practices_SubPractices[CP],"7",Practices_SubPractices[Org],"Medium"),IF(AND(Practices_SubPractices[CP]=8,Practices_SubPractices[Org] ="Medium"),SUMIFS(Practices_SubPractices[B],Practices_SubPractices[CP],"8",Practices_SubPractices[Org],"Medium"),IF(AND(Practices_SubPractices[CP]=9,Practices_SubPractices[Org] ="Medium"),SUMIFS(Practices_SubPractices[B],Practices_SubPractices[CP],"9",Practices_SubPractices[Org],"Medium"),IF(AND(Practices_SubPractices[CP]=10,Practices_SubPractices[Org] ="Medium"),SUMIFS(Practices_SubPractices[B],Practices_SubPractices[CP],"10",Practices_SubPractices[Org],"Medium"),IF(AND(Practices_SubPractices[CP]=1,Practices_SubPractices[Org]="Large"),SUMIFS(Practices_SubPractices[B],Practices_SubPractices[CP],"1",Practices_SubPractices[Org],"Large"),IF(AND(Practices_SubPractices[CP]=2,Practices_SubPractices[Org]="Large"),SUMIFS(Practices_SubPractices[B],Practices_SubPractices[CP],"2",Practices_SubPractices[Org],"Large"),IF(AND(Practices_SubPractices[CP]=3,Practices_SubPractices[Org]="Large"),SUMIFS(Practices_SubPractices[B],Practices_SubPractices[CP],"3",Practices_SubPractices[Org],"Large"),IF(AND(Practices_SubPractices[CP]=4,Practices_SubPractices[Org]="Large"),SUMIFS(Practices_SubPractices[B],Practices_SubPractices[CP],"4",Practices_SubPractices[Org],"Large"),IF(AND(Practices_SubPractices[CP]=5,Practices_SubPractices[Org]="Large"),SUMIFS(Practices_SubPractices[B],Practices_SubPractices[CP],"5",Practices_SubPractices[Org],"Large"),IF(AND(Practices_SubPractices[CP]=6,Practices_SubPractices[Org]="Large"),SUMIFS(Practices_SubPractices[B],Practices_SubPractices[CP],"6",Practices_SubPractices[Org],"Large"),IF(AND(Practices_SubPractices[CP]=7,Practices_SubPractices[Org] ="Large"),SUMIFS(Practices_SubPractices[B],Practices_SubPractices[CP],"7",Practices_SubPractices[Org],"Large"),IF(AND(Practices_SubPractices[CP]=8,Practices_SubPractices[Org] ="Large"),SUMIFS(Practices_SubPractices[B],Practices_SubPractices[CP],"8",Practices_SubPractices[Org],"Large"),IF(AND(Practices_SubPractices[CP]=9,Practices_SubPractices[Org] ="Large"),SUMIFS(Practices_SubPractices[B],Practices_SubPractices[CP],"9",Practices_SubPractices[Org],"Large"),IF(AND(Practices_SubPractices[CP]=10,Practices_SubPractices[Org] ="Large"),SUMIFS(Practices_SubPractices[B],Practices_SubPractices[CP],"10",Practices_SubPractices[Org],"Large"),"TBD"))))))))))))))))))))))))))))))</f>
        <v>4</v>
      </c>
      <c r="P24" s="77">
        <f>IF(AND(Practices_SubPractices[CP]=1,Practices_SubPractices[Org]="Small"),SUMIFS(Practices_SubPractices[C],Practices_SubPractices[CP],"1",Practices_SubPractices[Org],"Small"),IF(AND(Practices_SubPractices[CP]=2,Practices_SubPractices[Org]="Small"),SUMIFS(Practices_SubPractices[C],Practices_SubPractices[CP],"2",Practices_SubPractices[Org],"Small"),IF(AND(Practices_SubPractices[CP]=3,Practices_SubPractices[Org]="Small"),SUMIFS(Practices_SubPractices[C],Practices_SubPractices[CP],"3",Practices_SubPractices[Org],"Small"),IF(AND(Practices_SubPractices[CP]=4,Practices_SubPractices[Org]="Small"),SUMIFS(Practices_SubPractices[C],Practices_SubPractices[CP],"4",Practices_SubPractices[Org],"Small"),IF(AND(Practices_SubPractices[CP]=5,Practices_SubPractices[Org]="Small"),SUMIFS(Practices_SubPractices[C],Practices_SubPractices[CP],"5",Practices_SubPractices[Org],"Small"),IF(AND(Practices_SubPractices[CP]=6,Practices_SubPractices[Org]="Small"),SUMIFS(Practices_SubPractices[C],Practices_SubPractices[CP],"6",Practices_SubPractices[Org],"Small"),IF(AND(Practices_SubPractices[CP]=7,Practices_SubPractices[Org] ="Small"),SUMIFS(Practices_SubPractices[C],Practices_SubPractices[CP],"7",Practices_SubPractices[Org],"Small"),IF(AND(Practices_SubPractices[CP]=8,Practices_SubPractices[Org] ="Small"),SUMIFS(Practices_SubPractices[C],Practices_SubPractices[CP],"8",Practices_SubPractices[Org],"Small"),IF(AND(Practices_SubPractices[CP]=9,Practices_SubPractices[Org] ="Small"),SUMIFS(Practices_SubPractices[C],Practices_SubPractices[CP],"9",Practices_SubPractices[Org],"Small"),IF(AND(Practices_SubPractices[CP]=10,Practices_SubPractices[Org] ="Small"),SUMIFS(Practices_SubPractices[C],Practices_SubPractices[CP],"10",Practices_SubPractices[Org],"Small"),IF(AND(Practices_SubPractices[CP]=1,Practices_SubPractices[Org]="Medium"),SUMIFS(Practices_SubPractices[C],Practices_SubPractices[CP],"1",Practices_SubPractices[Org],"Medium"),IF(AND(Practices_SubPractices[CP]=2,Practices_SubPractices[Org]="Medium"),SUMIFS(Practices_SubPractices[C],Practices_SubPractices[CP],"2",Practices_SubPractices[Org],"Medium"),IF(AND(Practices_SubPractices[CP]=3,Practices_SubPractices[Org]="Medium"),SUMIFS(Practices_SubPractices[C],Practices_SubPractices[CP],"3",Practices_SubPractices[Org],"Medium"),IF(AND(Practices_SubPractices[CP]=4,Practices_SubPractices[Org]="Medium"),SUMIFS(Practices_SubPractices[C],Practices_SubPractices[CP],"4",Practices_SubPractices[Org],"Medium"),IF(AND(Practices_SubPractices[CP]=5,Practices_SubPractices[Org]="Medium"),SUMIFS(Practices_SubPractices[C],Practices_SubPractices[CP],"5",Practices_SubPractices[Org],"Medium"),IF(AND(Practices_SubPractices[CP]=6,Practices_SubPractices[Org]="Medium"),SUMIFS(Practices_SubPractices[C],Practices_SubPractices[CP],"6",Practices_SubPractices[Org],"Medium"),IF(AND(Practices_SubPractices[CP]=7,Practices_SubPractices[Org] ="Medium"),SUMIFS(Practices_SubPractices[C],Practices_SubPractices[CP],"7",Practices_SubPractices[Org],"Medium"),IF(AND(Practices_SubPractices[CP]=8,Practices_SubPractices[Org] ="Medium"),SUMIFS(Practices_SubPractices[C],Practices_SubPractices[CP],"8",Practices_SubPractices[Org],"Medium"),IF(AND(Practices_SubPractices[CP]=9,Practices_SubPractices[Org] ="Medium"),SUMIFS(Practices_SubPractices[C],Practices_SubPractices[CP],"9",Practices_SubPractices[Org],"Medium"),IF(AND(Practices_SubPractices[CP]=10,Practices_SubPractices[Org] ="Medium"),SUMIFS(Practices_SubPractices[C],Practices_SubPractices[CP],"10",Practices_SubPractices[Org],"Medium"),IF(AND(Practices_SubPractices[CP]=1,Practices_SubPractices[Org]="Large"),SUMIFS(Practices_SubPractices[C],Practices_SubPractices[CP],"1",Practices_SubPractices[Org],"Large"),IF(AND(Practices_SubPractices[CP]=2,Practices_SubPractices[Org]="Large"),SUMIFS(Practices_SubPractices[C],Practices_SubPractices[CP],"2",Practices_SubPractices[Org],"Large"),IF(AND(Practices_SubPractices[CP]=3,Practices_SubPractices[Org]="Large"),SUMIFS(Practices_SubPractices[C],Practices_SubPractices[CP],"3",Practices_SubPractices[Org],"Large"),IF(AND(Practices_SubPractices[CP]=4,Practices_SubPractices[Org]="Large"),SUMIFS(Practices_SubPractices[C],Practices_SubPractices[CP],"4",Practices_SubPractices[Org],"Large"),IF(AND(Practices_SubPractices[CP]=5,Practices_SubPractices[Org]="Large"),SUMIFS(Practices_SubPractices[C],Practices_SubPractices[CP],"5",Practices_SubPractices[Org],"Large"),IF(AND(Practices_SubPractices[CP]=6,Practices_SubPractices[Org]="Large"),SUMIFS(Practices_SubPractices[C],Practices_SubPractices[CP],"6",Practices_SubPractices[Org],"Large"),IF(AND(Practices_SubPractices[CP]=7,Practices_SubPractices[Org] ="Large"),SUMIFS(Practices_SubPractices[C],Practices_SubPractices[CP],"7",Practices_SubPractices[Org],"Large"),IF(AND(Practices_SubPractices[CP]=8,Practices_SubPractices[Org] ="Large"),SUMIFS(Practices_SubPractices[C],Practices_SubPractices[CP],"8",Practices_SubPractices[Org],"Large"),IF(AND(Practices_SubPractices[CP]=9,Practices_SubPractices[Org] ="Large"),SUMIFS(Practices_SubPractices[C],Practices_SubPractices[CP],"9",Practices_SubPractices[Org],"Large"),IF(AND(Practices_SubPractices[CP]=10,Practices_SubPractices[Org] ="Large"),SUMIFS(Practices_SubPractices[C],Practices_SubPractices[CP],"10",Practices_SubPractices[Org],"Large"),"TBD"))))))))))))))))))))))))))))))</f>
        <v>2</v>
      </c>
      <c r="Q24" s="77">
        <f>IF(AND(Practices_SubPractices[CP]=1,Practices_SubPractices[Org]="Small"),SUMIFS(Practices_SubPractices[D],Practices_SubPractices[CP],"1",Practices_SubPractices[Org],"Small"),IF(AND(Practices_SubPractices[CP]=2,Practices_SubPractices[Org]="Small"),SUMIFS(Practices_SubPractices[D],Practices_SubPractices[CP],"2",Practices_SubPractices[Org],"Small"),IF(AND(Practices_SubPractices[CP]=3,Practices_SubPractices[Org]="Small"),SUMIFS(Practices_SubPractices[D],Practices_SubPractices[CP],"3",Practices_SubPractices[Org],"Small"),IF(AND(Practices_SubPractices[CP]=4,Practices_SubPractices[Org]="Small"),SUMIFS(Practices_SubPractices[D],Practices_SubPractices[CP],"4",Practices_SubPractices[Org],"Small"),IF(AND(Practices_SubPractices[CP]=5,Practices_SubPractices[Org]="Small"),SUMIFS(Practices_SubPractices[D],Practices_SubPractices[CP],"5",Practices_SubPractices[Org],"Small"),IF(AND(Practices_SubPractices[CP]=6,Practices_SubPractices[Org]="Small"),SUMIFS(Practices_SubPractices[D],Practices_SubPractices[CP],"6",Practices_SubPractices[Org],"Small"),IF(AND(Practices_SubPractices[CP]=7,Practices_SubPractices[Org] ="Small"),SUMIFS(Practices_SubPractices[D],Practices_SubPractices[CP],"7",Practices_SubPractices[Org],"Small"),IF(AND(Practices_SubPractices[CP]=8,Practices_SubPractices[Org] ="Small"),SUMIFS(Practices_SubPractices[D],Practices_SubPractices[CP],"8",Practices_SubPractices[Org],"Small"),IF(AND(Practices_SubPractices[CP]=9,Practices_SubPractices[Org] ="Small"),SUMIFS(Practices_SubPractices[D],Practices_SubPractices[CP],"9",Practices_SubPractices[Org],"Small"),IF(AND(Practices_SubPractices[CP]=10,Practices_SubPractices[Org] ="Small"),SUMIFS(Practices_SubPractices[D],Practices_SubPractices[CP],"10",Practices_SubPractices[Org],"Small"),IF(AND(Practices_SubPractices[CP]=1,Practices_SubPractices[Org]="Medium"),SUMIFS(Practices_SubPractices[D],Practices_SubPractices[CP],"1",Practices_SubPractices[Org],"Medium"),IF(AND(Practices_SubPractices[CP]=2,Practices_SubPractices[Org]="Medium"),SUMIFS(Practices_SubPractices[D],Practices_SubPractices[CP],"2",Practices_SubPractices[Org],"Medium"),IF(AND(Practices_SubPractices[CP]=3,Practices_SubPractices[Org]="Medium"),SUMIFS(Practices_SubPractices[D],Practices_SubPractices[CP],"3",Practices_SubPractices[Org],"Medium"),IF(AND(Practices_SubPractices[CP]=4,Practices_SubPractices[Org]="Medium"),SUMIFS(Practices_SubPractices[D],Practices_SubPractices[CP],"4",Practices_SubPractices[Org],"Medium"),IF(AND(Practices_SubPractices[CP]=5,Practices_SubPractices[Org]="Medium"),SUMIFS(Practices_SubPractices[D],Practices_SubPractices[CP],"5",Practices_SubPractices[Org],"Medium"),IF(AND(Practices_SubPractices[CP]=6,Practices_SubPractices[Org]="Medium"),SUMIFS(Practices_SubPractices[D],Practices_SubPractices[CP],"6",Practices_SubPractices[Org],"Medium"),IF(AND(Practices_SubPractices[CP]=7,Practices_SubPractices[Org] ="Medium"),SUMIFS(Practices_SubPractices[D],Practices_SubPractices[CP],"7",Practices_SubPractices[Org],"Medium"),IF(AND(Practices_SubPractices[CP]=8,Practices_SubPractices[Org] ="Medium"),SUMIFS(Practices_SubPractices[D],Practices_SubPractices[CP],"8",Practices_SubPractices[Org],"Medium"),IF(AND(Practices_SubPractices[CP]=9,Practices_SubPractices[Org] ="Medium"),SUMIFS(Practices_SubPractices[D],Practices_SubPractices[CP],"9",Practices_SubPractices[Org],"Medium"),IF(AND(Practices_SubPractices[CP]=10,Practices_SubPractices[Org] ="Medium"),SUMIFS(Practices_SubPractices[D],Practices_SubPractices[CP],"10",Practices_SubPractices[Org],"Medium"),IF(AND(Practices_SubPractices[CP]=1,Practices_SubPractices[Org]="Large"),SUMIFS(Practices_SubPractices[D],Practices_SubPractices[CP],"1",Practices_SubPractices[Org],"Large"),IF(AND(Practices_SubPractices[CP]=2,Practices_SubPractices[Org]="Large"),SUMIFS(Practices_SubPractices[D],Practices_SubPractices[CP],"2",Practices_SubPractices[Org],"Large"),IF(AND(Practices_SubPractices[CP]=3,Practices_SubPractices[Org]="Large"),SUMIFS(Practices_SubPractices[D],Practices_SubPractices[CP],"3",Practices_SubPractices[Org],"Large"),IF(AND(Practices_SubPractices[CP]=4,Practices_SubPractices[Org]="Large"),SUMIFS(Practices_SubPractices[D],Practices_SubPractices[CP],"4",Practices_SubPractices[Org],"Large"),IF(AND(Practices_SubPractices[CP]=5,Practices_SubPractices[Org]="Large"),SUMIFS(Practices_SubPractices[D],Practices_SubPractices[CP],"5",Practices_SubPractices[Org],"Large"),IF(AND(Practices_SubPractices[CP]=6,Practices_SubPractices[Org]="Large"),SUMIFS(Practices_SubPractices[D],Practices_SubPractices[CP],"6",Practices_SubPractices[Org],"Large"),IF(AND(Practices_SubPractices[CP]=7,Practices_SubPractices[Org] ="Large"),SUMIFS(Practices_SubPractices[D],Practices_SubPractices[CP],"7",Practices_SubPractices[Org],"Large"),IF(AND(Practices_SubPractices[CP]=8,Practices_SubPractices[Org] ="Large"),SUMIFS(Practices_SubPractices[D],Practices_SubPractices[CP],"8",Practices_SubPractices[Org],"Large"),IF(AND(Practices_SubPractices[CP]=9,Practices_SubPractices[Org] ="Large"),SUMIFS(Practices_SubPractices[D],Practices_SubPractices[CP],"9",Practices_SubPractices[Org],"Large"),IF(AND(Practices_SubPractices[CP]=10,Practices_SubPractices[Org] ="Large"),SUMIFS(Practices_SubPractices[D],Practices_SubPractices[CP],"10",Practices_SubPractices[Org],"Large"),"TBD"))))))))))))))))))))))))))))))</f>
        <v>5</v>
      </c>
      <c r="R24" s="77">
        <f>IF(AND(Practices_SubPractices[CP]=1,Practices_SubPractices[Org]="Small"),SUMIFS(Practices_SubPractices[E],Practices_SubPractices[CP],"1",Practices_SubPractices[Org],"Small"),IF(AND(Practices_SubPractices[CP]=2,Practices_SubPractices[Org]="Small"),SUMIFS(Practices_SubPractices[E],Practices_SubPractices[CP],"2",Practices_SubPractices[Org],"Small"),IF(AND(Practices_SubPractices[CP]=3,Practices_SubPractices[Org]="Small"),SUMIFS(Practices_SubPractices[E],Practices_SubPractices[CP],"3",Practices_SubPractices[Org],"Small"),IF(AND(Practices_SubPractices[CP]=4,Practices_SubPractices[Org]="Small"),SUMIFS(Practices_SubPractices[E],Practices_SubPractices[CP],"4",Practices_SubPractices[Org],"Small"),IF(AND(Practices_SubPractices[CP]=5,Practices_SubPractices[Org]="Small"),SUMIFS(Practices_SubPractices[E],Practices_SubPractices[CP],"5",Practices_SubPractices[Org],"Small"),IF(AND(Practices_SubPractices[CP]=6,Practices_SubPractices[Org]="Small"),SUMIFS(Practices_SubPractices[E],Practices_SubPractices[CP],"6",Practices_SubPractices[Org],"Small"),IF(AND(Practices_SubPractices[CP]=7,Practices_SubPractices[Org] ="Small"),SUMIFS(Practices_SubPractices[E],Practices_SubPractices[CP],"7",Practices_SubPractices[Org],"Small"),IF(AND(Practices_SubPractices[CP]=8,Practices_SubPractices[Org] ="Small"),SUMIFS(Practices_SubPractices[E],Practices_SubPractices[CP],"8",Practices_SubPractices[Org],"Small"),IF(AND(Practices_SubPractices[CP]=9,Practices_SubPractices[Org] ="Small"),SUMIFS(Practices_SubPractices[E],Practices_SubPractices[CP],"9",Practices_SubPractices[Org],"Small"),IF(AND(Practices_SubPractices[CP]=10,Practices_SubPractices[Org] ="Small"),SUMIFS(Practices_SubPractices[E],Practices_SubPractices[CP],"10",Practices_SubPractices[Org],"Small"),IF(AND(Practices_SubPractices[CP]=1,Practices_SubPractices[Org]="Medium"),SUMIFS(Practices_SubPractices[E],Practices_SubPractices[CP],"1",Practices_SubPractices[Org],"Medium"),IF(AND(Practices_SubPractices[CP]=2,Practices_SubPractices[Org]="Medium"),SUMIFS(Practices_SubPractices[E],Practices_SubPractices[CP],"2",Practices_SubPractices[Org],"Medium"),IF(AND(Practices_SubPractices[CP]=3,Practices_SubPractices[Org]="Medium"),SUMIFS(Practices_SubPractices[E],Practices_SubPractices[CP],"3",Practices_SubPractices[Org],"Medium"),IF(AND(Practices_SubPractices[CP]=4,Practices_SubPractices[Org]="Medium"),SUMIFS(Practices_SubPractices[E],Practices_SubPractices[CP],"4",Practices_SubPractices[Org],"Medium"),IF(AND(Practices_SubPractices[CP]=5,Practices_SubPractices[Org]="Medium"),SUMIFS(Practices_SubPractices[E],Practices_SubPractices[CP],"5",Practices_SubPractices[Org],"Medium"),IF(AND(Practices_SubPractices[CP]=6,Practices_SubPractices[Org]="Medium"),SUMIFS(Practices_SubPractices[E],Practices_SubPractices[CP],"6",Practices_SubPractices[Org],"Medium"),IF(AND(Practices_SubPractices[CP]=7,Practices_SubPractices[Org] ="Medium"),SUMIFS(Practices_SubPractices[E],Practices_SubPractices[CP],"7",Practices_SubPractices[Org],"Medium"),IF(AND(Practices_SubPractices[CP]=8,Practices_SubPractices[Org] ="Medium"),SUMIFS(Practices_SubPractices[E],Practices_SubPractices[CP],"8",Practices_SubPractices[Org],"Medium"),IF(AND(Practices_SubPractices[CP]=9,Practices_SubPractices[Org] ="Medium"),SUMIFS(Practices_SubPractices[E],Practices_SubPractices[CP],"9",Practices_SubPractices[Org],"Medium"),IF(AND(Practices_SubPractices[CP]=10,Practices_SubPractices[Org] ="Medium"),SUMIFS(Practices_SubPractices[E],Practices_SubPractices[CP],"10",Practices_SubPractices[Org],"Medium"),IF(AND(Practices_SubPractices[CP]=1,Practices_SubPractices[Org]="Large"),SUMIFS(Practices_SubPractices[E],Practices_SubPractices[CP],"1",Practices_SubPractices[Org],"Large"),IF(AND(Practices_SubPractices[CP]=2,Practices_SubPractices[Org]="Large"),SUMIFS(Practices_SubPractices[E],Practices_SubPractices[CP],"2",Practices_SubPractices[Org],"Large"),IF(AND(Practices_SubPractices[CP]=3,Practices_SubPractices[Org]="Large"),SUMIFS(Practices_SubPractices[E],Practices_SubPractices[CP],"3",Practices_SubPractices[Org],"Large"),IF(AND(Practices_SubPractices[CP]=4,Practices_SubPractices[Org]="Large"),SUMIFS(Practices_SubPractices[E],Practices_SubPractices[CP],"4",Practices_SubPractices[Org],"Large"),IF(AND(Practices_SubPractices[CP]=5,Practices_SubPractices[Org]="Large"),SUMIFS(Practices_SubPractices[E],Practices_SubPractices[CP],"5",Practices_SubPractices[Org],"Large"),IF(AND(Practices_SubPractices[CP]=6,Practices_SubPractices[Org]="Large"),SUMIFS(Practices_SubPractices[E],Practices_SubPractices[CP],"6",Practices_SubPractices[Org],"Large"),IF(AND(Practices_SubPractices[CP]=7,Practices_SubPractices[Org] ="Large"),SUMIFS(Practices_SubPractices[E],Practices_SubPractices[CP],"7",Practices_SubPractices[Org],"Large"),IF(AND(Practices_SubPractices[CP]=8,Practices_SubPractices[Org] ="Large"),SUMIFS(Practices_SubPractices[E],Practices_SubPractices[CP],"8",Practices_SubPractices[Org],"Large"),IF(AND(Practices_SubPractices[CP]=9,Practices_SubPractices[Org] ="Large"),SUMIFS(Practices_SubPractices[E],Practices_SubPractices[CP],"9",Practices_SubPractices[Org],"Large"),IF(AND(Practices_SubPractices[CP]=10,Practices_SubPractices[Org] ="Large"),SUMIFS(Practices_SubPractices[E],Practices_SubPractices[CP],"10",Practices_SubPractices[Org],"Large"),"TBD"))))))))))))))))))))))))))))))</f>
        <v>4</v>
      </c>
      <c r="S24" s="84" t="s">
        <v>399</v>
      </c>
    </row>
    <row r="25" spans="1:19" x14ac:dyDescent="0.35">
      <c r="A25" s="73">
        <v>15</v>
      </c>
      <c r="B25" s="73">
        <v>7</v>
      </c>
      <c r="C25" s="73" t="s">
        <v>10</v>
      </c>
      <c r="D25" s="73" t="str">
        <f>Practices_SubPractices[[#This Row],[CP]]&amp;LEFT(Practices_SubPractices[[#This Row],[Org]],1)</f>
        <v>7S</v>
      </c>
      <c r="E25" s="73" t="s">
        <v>265</v>
      </c>
      <c r="F25" s="74" t="s">
        <v>44</v>
      </c>
      <c r="G25" s="74" t="s">
        <v>6</v>
      </c>
      <c r="H25" s="74" t="s">
        <v>187</v>
      </c>
      <c r="I25" s="75">
        <v>0</v>
      </c>
      <c r="J25" s="75">
        <v>2</v>
      </c>
      <c r="K25" s="75">
        <v>0</v>
      </c>
      <c r="L25" s="75">
        <v>2</v>
      </c>
      <c r="M25" s="75">
        <v>1</v>
      </c>
      <c r="N25" s="76"/>
      <c r="O25" s="77">
        <f>IF(AND(Practices_SubPractices[CP]=1,Practices_SubPractices[Org]="Small"),SUMIFS(Practices_SubPractices[B],Practices_SubPractices[CP],"1",Practices_SubPractices[Org],"Small"),IF(AND(Practices_SubPractices[CP]=2,Practices_SubPractices[Org]="Small"),SUMIFS(Practices_SubPractices[B],Practices_SubPractices[CP],"2",Practices_SubPractices[Org],"Small"),IF(AND(Practices_SubPractices[CP]=3,Practices_SubPractices[Org]="Small"),SUMIFS(Practices_SubPractices[B],Practices_SubPractices[CP],"3",Practices_SubPractices[Org],"Small"),IF(AND(Practices_SubPractices[CP]=4,Practices_SubPractices[Org]="Small"),SUMIFS(Practices_SubPractices[B],Practices_SubPractices[CP],"4",Practices_SubPractices[Org],"Small"),IF(AND(Practices_SubPractices[CP]=5,Practices_SubPractices[Org]="Small"),SUMIFS(Practices_SubPractices[B],Practices_SubPractices[CP],"5",Practices_SubPractices[Org],"Small"),IF(AND(Practices_SubPractices[CP]=6,Practices_SubPractices[Org]="Small"),SUMIFS(Practices_SubPractices[B],Practices_SubPractices[CP],"6",Practices_SubPractices[Org],"Small"),IF(AND(Practices_SubPractices[CP]=7,Practices_SubPractices[Org] ="Small"),SUMIFS(Practices_SubPractices[B],Practices_SubPractices[CP],"7",Practices_SubPractices[Org],"Small"),IF(AND(Practices_SubPractices[CP]=8,Practices_SubPractices[Org] ="Small"),SUMIFS(Practices_SubPractices[B],Practices_SubPractices[CP],"8",Practices_SubPractices[Org],"Small"),IF(AND(Practices_SubPractices[CP]=9,Practices_SubPractices[Org] ="Small"),SUMIFS(Practices_SubPractices[B],Practices_SubPractices[CP],"9",Practices_SubPractices[Org],"Small"),IF(AND(Practices_SubPractices[CP]=10,Practices_SubPractices[Org] ="Small"),SUMIFS(Practices_SubPractices[B],Practices_SubPractices[CP],"10",Practices_SubPractices[Org],"Small"),IF(AND(Practices_SubPractices[CP]=1,Practices_SubPractices[Org]="Medium"),SUMIFS(Practices_SubPractices[B],Practices_SubPractices[CP],"1",Practices_SubPractices[Org],"Medium"),IF(AND(Practices_SubPractices[CP]=2,Practices_SubPractices[Org]="Medium"),SUMIFS(Practices_SubPractices[B],Practices_SubPractices[CP],"2",Practices_SubPractices[Org],"Medium"),IF(AND(Practices_SubPractices[CP]=3,Practices_SubPractices[Org]="Medium"),SUMIFS(Practices_SubPractices[B],Practices_SubPractices[CP],"3",Practices_SubPractices[Org],"Medium"),IF(AND(Practices_SubPractices[CP]=4,Practices_SubPractices[Org]="Medium"),SUMIFS(Practices_SubPractices[B],Practices_SubPractices[CP],"4",Practices_SubPractices[Org],"Medium"),IF(AND(Practices_SubPractices[CP]=5,Practices_SubPractices[Org]="Medium"),SUMIFS(Practices_SubPractices[B],Practices_SubPractices[CP],"5",Practices_SubPractices[Org],"Medium"),IF(AND(Practices_SubPractices[CP]=6,Practices_SubPractices[Org]="Medium"),SUMIFS(Practices_SubPractices[B],Practices_SubPractices[CP],"6",Practices_SubPractices[Org],"Medium"),IF(AND(Practices_SubPractices[CP]=7,Practices_SubPractices[Org] ="Medium"),SUMIFS(Practices_SubPractices[B],Practices_SubPractices[CP],"7",Practices_SubPractices[Org],"Medium"),IF(AND(Practices_SubPractices[CP]=8,Practices_SubPractices[Org] ="Medium"),SUMIFS(Practices_SubPractices[B],Practices_SubPractices[CP],"8",Practices_SubPractices[Org],"Medium"),IF(AND(Practices_SubPractices[CP]=9,Practices_SubPractices[Org] ="Medium"),SUMIFS(Practices_SubPractices[B],Practices_SubPractices[CP],"9",Practices_SubPractices[Org],"Medium"),IF(AND(Practices_SubPractices[CP]=10,Practices_SubPractices[Org] ="Medium"),SUMIFS(Practices_SubPractices[B],Practices_SubPractices[CP],"10",Practices_SubPractices[Org],"Medium"),IF(AND(Practices_SubPractices[CP]=1,Practices_SubPractices[Org]="Large"),SUMIFS(Practices_SubPractices[B],Practices_SubPractices[CP],"1",Practices_SubPractices[Org],"Large"),IF(AND(Practices_SubPractices[CP]=2,Practices_SubPractices[Org]="Large"),SUMIFS(Practices_SubPractices[B],Practices_SubPractices[CP],"2",Practices_SubPractices[Org],"Large"),IF(AND(Practices_SubPractices[CP]=3,Practices_SubPractices[Org]="Large"),SUMIFS(Practices_SubPractices[B],Practices_SubPractices[CP],"3",Practices_SubPractices[Org],"Large"),IF(AND(Practices_SubPractices[CP]=4,Practices_SubPractices[Org]="Large"),SUMIFS(Practices_SubPractices[B],Practices_SubPractices[CP],"4",Practices_SubPractices[Org],"Large"),IF(AND(Practices_SubPractices[CP]=5,Practices_SubPractices[Org]="Large"),SUMIFS(Practices_SubPractices[B],Practices_SubPractices[CP],"5",Practices_SubPractices[Org],"Large"),IF(AND(Practices_SubPractices[CP]=6,Practices_SubPractices[Org]="Large"),SUMIFS(Practices_SubPractices[B],Practices_SubPractices[CP],"6",Practices_SubPractices[Org],"Large"),IF(AND(Practices_SubPractices[CP]=7,Practices_SubPractices[Org] ="Large"),SUMIFS(Practices_SubPractices[B],Practices_SubPractices[CP],"7",Practices_SubPractices[Org],"Large"),IF(AND(Practices_SubPractices[CP]=8,Practices_SubPractices[Org] ="Large"),SUMIFS(Practices_SubPractices[B],Practices_SubPractices[CP],"8",Practices_SubPractices[Org],"Large"),IF(AND(Practices_SubPractices[CP]=9,Practices_SubPractices[Org] ="Large"),SUMIFS(Practices_SubPractices[B],Practices_SubPractices[CP],"9",Practices_SubPractices[Org],"Large"),IF(AND(Practices_SubPractices[CP]=10,Practices_SubPractices[Org] ="Large"),SUMIFS(Practices_SubPractices[B],Practices_SubPractices[CP],"10",Practices_SubPractices[Org],"Large"),"TBD"))))))))))))))))))))))))))))))</f>
        <v>2</v>
      </c>
      <c r="P25" s="77">
        <f>IF(AND(Practices_SubPractices[CP]=1,Practices_SubPractices[Org]="Small"),SUMIFS(Practices_SubPractices[C],Practices_SubPractices[CP],"1",Practices_SubPractices[Org],"Small"),IF(AND(Practices_SubPractices[CP]=2,Practices_SubPractices[Org]="Small"),SUMIFS(Practices_SubPractices[C],Practices_SubPractices[CP],"2",Practices_SubPractices[Org],"Small"),IF(AND(Practices_SubPractices[CP]=3,Practices_SubPractices[Org]="Small"),SUMIFS(Practices_SubPractices[C],Practices_SubPractices[CP],"3",Practices_SubPractices[Org],"Small"),IF(AND(Practices_SubPractices[CP]=4,Practices_SubPractices[Org]="Small"),SUMIFS(Practices_SubPractices[C],Practices_SubPractices[CP],"4",Practices_SubPractices[Org],"Small"),IF(AND(Practices_SubPractices[CP]=5,Practices_SubPractices[Org]="Small"),SUMIFS(Practices_SubPractices[C],Practices_SubPractices[CP],"5",Practices_SubPractices[Org],"Small"),IF(AND(Practices_SubPractices[CP]=6,Practices_SubPractices[Org]="Small"),SUMIFS(Practices_SubPractices[C],Practices_SubPractices[CP],"6",Practices_SubPractices[Org],"Small"),IF(AND(Practices_SubPractices[CP]=7,Practices_SubPractices[Org] ="Small"),SUMIFS(Practices_SubPractices[C],Practices_SubPractices[CP],"7",Practices_SubPractices[Org],"Small"),IF(AND(Practices_SubPractices[CP]=8,Practices_SubPractices[Org] ="Small"),SUMIFS(Practices_SubPractices[C],Practices_SubPractices[CP],"8",Practices_SubPractices[Org],"Small"),IF(AND(Practices_SubPractices[CP]=9,Practices_SubPractices[Org] ="Small"),SUMIFS(Practices_SubPractices[C],Practices_SubPractices[CP],"9",Practices_SubPractices[Org],"Small"),IF(AND(Practices_SubPractices[CP]=10,Practices_SubPractices[Org] ="Small"),SUMIFS(Practices_SubPractices[C],Practices_SubPractices[CP],"10",Practices_SubPractices[Org],"Small"),IF(AND(Practices_SubPractices[CP]=1,Practices_SubPractices[Org]="Medium"),SUMIFS(Practices_SubPractices[C],Practices_SubPractices[CP],"1",Practices_SubPractices[Org],"Medium"),IF(AND(Practices_SubPractices[CP]=2,Practices_SubPractices[Org]="Medium"),SUMIFS(Practices_SubPractices[C],Practices_SubPractices[CP],"2",Practices_SubPractices[Org],"Medium"),IF(AND(Practices_SubPractices[CP]=3,Practices_SubPractices[Org]="Medium"),SUMIFS(Practices_SubPractices[C],Practices_SubPractices[CP],"3",Practices_SubPractices[Org],"Medium"),IF(AND(Practices_SubPractices[CP]=4,Practices_SubPractices[Org]="Medium"),SUMIFS(Practices_SubPractices[C],Practices_SubPractices[CP],"4",Practices_SubPractices[Org],"Medium"),IF(AND(Practices_SubPractices[CP]=5,Practices_SubPractices[Org]="Medium"),SUMIFS(Practices_SubPractices[C],Practices_SubPractices[CP],"5",Practices_SubPractices[Org],"Medium"),IF(AND(Practices_SubPractices[CP]=6,Practices_SubPractices[Org]="Medium"),SUMIFS(Practices_SubPractices[C],Practices_SubPractices[CP],"6",Practices_SubPractices[Org],"Medium"),IF(AND(Practices_SubPractices[CP]=7,Practices_SubPractices[Org] ="Medium"),SUMIFS(Practices_SubPractices[C],Practices_SubPractices[CP],"7",Practices_SubPractices[Org],"Medium"),IF(AND(Practices_SubPractices[CP]=8,Practices_SubPractices[Org] ="Medium"),SUMIFS(Practices_SubPractices[C],Practices_SubPractices[CP],"8",Practices_SubPractices[Org],"Medium"),IF(AND(Practices_SubPractices[CP]=9,Practices_SubPractices[Org] ="Medium"),SUMIFS(Practices_SubPractices[C],Practices_SubPractices[CP],"9",Practices_SubPractices[Org],"Medium"),IF(AND(Practices_SubPractices[CP]=10,Practices_SubPractices[Org] ="Medium"),SUMIFS(Practices_SubPractices[C],Practices_SubPractices[CP],"10",Practices_SubPractices[Org],"Medium"),IF(AND(Practices_SubPractices[CP]=1,Practices_SubPractices[Org]="Large"),SUMIFS(Practices_SubPractices[C],Practices_SubPractices[CP],"1",Practices_SubPractices[Org],"Large"),IF(AND(Practices_SubPractices[CP]=2,Practices_SubPractices[Org]="Large"),SUMIFS(Practices_SubPractices[C],Practices_SubPractices[CP],"2",Practices_SubPractices[Org],"Large"),IF(AND(Practices_SubPractices[CP]=3,Practices_SubPractices[Org]="Large"),SUMIFS(Practices_SubPractices[C],Practices_SubPractices[CP],"3",Practices_SubPractices[Org],"Large"),IF(AND(Practices_SubPractices[CP]=4,Practices_SubPractices[Org]="Large"),SUMIFS(Practices_SubPractices[C],Practices_SubPractices[CP],"4",Practices_SubPractices[Org],"Large"),IF(AND(Practices_SubPractices[CP]=5,Practices_SubPractices[Org]="Large"),SUMIFS(Practices_SubPractices[C],Practices_SubPractices[CP],"5",Practices_SubPractices[Org],"Large"),IF(AND(Practices_SubPractices[CP]=6,Practices_SubPractices[Org]="Large"),SUMIFS(Practices_SubPractices[C],Practices_SubPractices[CP],"6",Practices_SubPractices[Org],"Large"),IF(AND(Practices_SubPractices[CP]=7,Practices_SubPractices[Org] ="Large"),SUMIFS(Practices_SubPractices[C],Practices_SubPractices[CP],"7",Practices_SubPractices[Org],"Large"),IF(AND(Practices_SubPractices[CP]=8,Practices_SubPractices[Org] ="Large"),SUMIFS(Practices_SubPractices[C],Practices_SubPractices[CP],"8",Practices_SubPractices[Org],"Large"),IF(AND(Practices_SubPractices[CP]=9,Practices_SubPractices[Org] ="Large"),SUMIFS(Practices_SubPractices[C],Practices_SubPractices[CP],"9",Practices_SubPractices[Org],"Large"),IF(AND(Practices_SubPractices[CP]=10,Practices_SubPractices[Org] ="Large"),SUMIFS(Practices_SubPractices[C],Practices_SubPractices[CP],"10",Practices_SubPractices[Org],"Large"),"TBD"))))))))))))))))))))))))))))))</f>
        <v>0</v>
      </c>
      <c r="Q25" s="77">
        <f>IF(AND(Practices_SubPractices[CP]=1,Practices_SubPractices[Org]="Small"),SUMIFS(Practices_SubPractices[D],Practices_SubPractices[CP],"1",Practices_SubPractices[Org],"Small"),IF(AND(Practices_SubPractices[CP]=2,Practices_SubPractices[Org]="Small"),SUMIFS(Practices_SubPractices[D],Practices_SubPractices[CP],"2",Practices_SubPractices[Org],"Small"),IF(AND(Practices_SubPractices[CP]=3,Practices_SubPractices[Org]="Small"),SUMIFS(Practices_SubPractices[D],Practices_SubPractices[CP],"3",Practices_SubPractices[Org],"Small"),IF(AND(Practices_SubPractices[CP]=4,Practices_SubPractices[Org]="Small"),SUMIFS(Practices_SubPractices[D],Practices_SubPractices[CP],"4",Practices_SubPractices[Org],"Small"),IF(AND(Practices_SubPractices[CP]=5,Practices_SubPractices[Org]="Small"),SUMIFS(Practices_SubPractices[D],Practices_SubPractices[CP],"5",Practices_SubPractices[Org],"Small"),IF(AND(Practices_SubPractices[CP]=6,Practices_SubPractices[Org]="Small"),SUMIFS(Practices_SubPractices[D],Practices_SubPractices[CP],"6",Practices_SubPractices[Org],"Small"),IF(AND(Practices_SubPractices[CP]=7,Practices_SubPractices[Org] ="Small"),SUMIFS(Practices_SubPractices[D],Practices_SubPractices[CP],"7",Practices_SubPractices[Org],"Small"),IF(AND(Practices_SubPractices[CP]=8,Practices_SubPractices[Org] ="Small"),SUMIFS(Practices_SubPractices[D],Practices_SubPractices[CP],"8",Practices_SubPractices[Org],"Small"),IF(AND(Practices_SubPractices[CP]=9,Practices_SubPractices[Org] ="Small"),SUMIFS(Practices_SubPractices[D],Practices_SubPractices[CP],"9",Practices_SubPractices[Org],"Small"),IF(AND(Practices_SubPractices[CP]=10,Practices_SubPractices[Org] ="Small"),SUMIFS(Practices_SubPractices[D],Practices_SubPractices[CP],"10",Practices_SubPractices[Org],"Small"),IF(AND(Practices_SubPractices[CP]=1,Practices_SubPractices[Org]="Medium"),SUMIFS(Practices_SubPractices[D],Practices_SubPractices[CP],"1",Practices_SubPractices[Org],"Medium"),IF(AND(Practices_SubPractices[CP]=2,Practices_SubPractices[Org]="Medium"),SUMIFS(Practices_SubPractices[D],Practices_SubPractices[CP],"2",Practices_SubPractices[Org],"Medium"),IF(AND(Practices_SubPractices[CP]=3,Practices_SubPractices[Org]="Medium"),SUMIFS(Practices_SubPractices[D],Practices_SubPractices[CP],"3",Practices_SubPractices[Org],"Medium"),IF(AND(Practices_SubPractices[CP]=4,Practices_SubPractices[Org]="Medium"),SUMIFS(Practices_SubPractices[D],Practices_SubPractices[CP],"4",Practices_SubPractices[Org],"Medium"),IF(AND(Practices_SubPractices[CP]=5,Practices_SubPractices[Org]="Medium"),SUMIFS(Practices_SubPractices[D],Practices_SubPractices[CP],"5",Practices_SubPractices[Org],"Medium"),IF(AND(Practices_SubPractices[CP]=6,Practices_SubPractices[Org]="Medium"),SUMIFS(Practices_SubPractices[D],Practices_SubPractices[CP],"6",Practices_SubPractices[Org],"Medium"),IF(AND(Practices_SubPractices[CP]=7,Practices_SubPractices[Org] ="Medium"),SUMIFS(Practices_SubPractices[D],Practices_SubPractices[CP],"7",Practices_SubPractices[Org],"Medium"),IF(AND(Practices_SubPractices[CP]=8,Practices_SubPractices[Org] ="Medium"),SUMIFS(Practices_SubPractices[D],Practices_SubPractices[CP],"8",Practices_SubPractices[Org],"Medium"),IF(AND(Practices_SubPractices[CP]=9,Practices_SubPractices[Org] ="Medium"),SUMIFS(Practices_SubPractices[D],Practices_SubPractices[CP],"9",Practices_SubPractices[Org],"Medium"),IF(AND(Practices_SubPractices[CP]=10,Practices_SubPractices[Org] ="Medium"),SUMIFS(Practices_SubPractices[D],Practices_SubPractices[CP],"10",Practices_SubPractices[Org],"Medium"),IF(AND(Practices_SubPractices[CP]=1,Practices_SubPractices[Org]="Large"),SUMIFS(Practices_SubPractices[D],Practices_SubPractices[CP],"1",Practices_SubPractices[Org],"Large"),IF(AND(Practices_SubPractices[CP]=2,Practices_SubPractices[Org]="Large"),SUMIFS(Practices_SubPractices[D],Practices_SubPractices[CP],"2",Practices_SubPractices[Org],"Large"),IF(AND(Practices_SubPractices[CP]=3,Practices_SubPractices[Org]="Large"),SUMIFS(Practices_SubPractices[D],Practices_SubPractices[CP],"3",Practices_SubPractices[Org],"Large"),IF(AND(Practices_SubPractices[CP]=4,Practices_SubPractices[Org]="Large"),SUMIFS(Practices_SubPractices[D],Practices_SubPractices[CP],"4",Practices_SubPractices[Org],"Large"),IF(AND(Practices_SubPractices[CP]=5,Practices_SubPractices[Org]="Large"),SUMIFS(Practices_SubPractices[D],Practices_SubPractices[CP],"5",Practices_SubPractices[Org],"Large"),IF(AND(Practices_SubPractices[CP]=6,Practices_SubPractices[Org]="Large"),SUMIFS(Practices_SubPractices[D],Practices_SubPractices[CP],"6",Practices_SubPractices[Org],"Large"),IF(AND(Practices_SubPractices[CP]=7,Practices_SubPractices[Org] ="Large"),SUMIFS(Practices_SubPractices[D],Practices_SubPractices[CP],"7",Practices_SubPractices[Org],"Large"),IF(AND(Practices_SubPractices[CP]=8,Practices_SubPractices[Org] ="Large"),SUMIFS(Practices_SubPractices[D],Practices_SubPractices[CP],"8",Practices_SubPractices[Org],"Large"),IF(AND(Practices_SubPractices[CP]=9,Practices_SubPractices[Org] ="Large"),SUMIFS(Practices_SubPractices[D],Practices_SubPractices[CP],"9",Practices_SubPractices[Org],"Large"),IF(AND(Practices_SubPractices[CP]=10,Practices_SubPractices[Org] ="Large"),SUMIFS(Practices_SubPractices[D],Practices_SubPractices[CP],"10",Practices_SubPractices[Org],"Large"),"TBD"))))))))))))))))))))))))))))))</f>
        <v>2</v>
      </c>
      <c r="R25" s="77">
        <f>IF(AND(Practices_SubPractices[CP]=1,Practices_SubPractices[Org]="Small"),SUMIFS(Practices_SubPractices[E],Practices_SubPractices[CP],"1",Practices_SubPractices[Org],"Small"),IF(AND(Practices_SubPractices[CP]=2,Practices_SubPractices[Org]="Small"),SUMIFS(Practices_SubPractices[E],Practices_SubPractices[CP],"2",Practices_SubPractices[Org],"Small"),IF(AND(Practices_SubPractices[CP]=3,Practices_SubPractices[Org]="Small"),SUMIFS(Practices_SubPractices[E],Practices_SubPractices[CP],"3",Practices_SubPractices[Org],"Small"),IF(AND(Practices_SubPractices[CP]=4,Practices_SubPractices[Org]="Small"),SUMIFS(Practices_SubPractices[E],Practices_SubPractices[CP],"4",Practices_SubPractices[Org],"Small"),IF(AND(Practices_SubPractices[CP]=5,Practices_SubPractices[Org]="Small"),SUMIFS(Practices_SubPractices[E],Practices_SubPractices[CP],"5",Practices_SubPractices[Org],"Small"),IF(AND(Practices_SubPractices[CP]=6,Practices_SubPractices[Org]="Small"),SUMIFS(Practices_SubPractices[E],Practices_SubPractices[CP],"6",Practices_SubPractices[Org],"Small"),IF(AND(Practices_SubPractices[CP]=7,Practices_SubPractices[Org] ="Small"),SUMIFS(Practices_SubPractices[E],Practices_SubPractices[CP],"7",Practices_SubPractices[Org],"Small"),IF(AND(Practices_SubPractices[CP]=8,Practices_SubPractices[Org] ="Small"),SUMIFS(Practices_SubPractices[E],Practices_SubPractices[CP],"8",Practices_SubPractices[Org],"Small"),IF(AND(Practices_SubPractices[CP]=9,Practices_SubPractices[Org] ="Small"),SUMIFS(Practices_SubPractices[E],Practices_SubPractices[CP],"9",Practices_SubPractices[Org],"Small"),IF(AND(Practices_SubPractices[CP]=10,Practices_SubPractices[Org] ="Small"),SUMIFS(Practices_SubPractices[E],Practices_SubPractices[CP],"10",Practices_SubPractices[Org],"Small"),IF(AND(Practices_SubPractices[CP]=1,Practices_SubPractices[Org]="Medium"),SUMIFS(Practices_SubPractices[E],Practices_SubPractices[CP],"1",Practices_SubPractices[Org],"Medium"),IF(AND(Practices_SubPractices[CP]=2,Practices_SubPractices[Org]="Medium"),SUMIFS(Practices_SubPractices[E],Practices_SubPractices[CP],"2",Practices_SubPractices[Org],"Medium"),IF(AND(Practices_SubPractices[CP]=3,Practices_SubPractices[Org]="Medium"),SUMIFS(Practices_SubPractices[E],Practices_SubPractices[CP],"3",Practices_SubPractices[Org],"Medium"),IF(AND(Practices_SubPractices[CP]=4,Practices_SubPractices[Org]="Medium"),SUMIFS(Practices_SubPractices[E],Practices_SubPractices[CP],"4",Practices_SubPractices[Org],"Medium"),IF(AND(Practices_SubPractices[CP]=5,Practices_SubPractices[Org]="Medium"),SUMIFS(Practices_SubPractices[E],Practices_SubPractices[CP],"5",Practices_SubPractices[Org],"Medium"),IF(AND(Practices_SubPractices[CP]=6,Practices_SubPractices[Org]="Medium"),SUMIFS(Practices_SubPractices[E],Practices_SubPractices[CP],"6",Practices_SubPractices[Org],"Medium"),IF(AND(Practices_SubPractices[CP]=7,Practices_SubPractices[Org] ="Medium"),SUMIFS(Practices_SubPractices[E],Practices_SubPractices[CP],"7",Practices_SubPractices[Org],"Medium"),IF(AND(Practices_SubPractices[CP]=8,Practices_SubPractices[Org] ="Medium"),SUMIFS(Practices_SubPractices[E],Practices_SubPractices[CP],"8",Practices_SubPractices[Org],"Medium"),IF(AND(Practices_SubPractices[CP]=9,Practices_SubPractices[Org] ="Medium"),SUMIFS(Practices_SubPractices[E],Practices_SubPractices[CP],"9",Practices_SubPractices[Org],"Medium"),IF(AND(Practices_SubPractices[CP]=10,Practices_SubPractices[Org] ="Medium"),SUMIFS(Practices_SubPractices[E],Practices_SubPractices[CP],"10",Practices_SubPractices[Org],"Medium"),IF(AND(Practices_SubPractices[CP]=1,Practices_SubPractices[Org]="Large"),SUMIFS(Practices_SubPractices[E],Practices_SubPractices[CP],"1",Practices_SubPractices[Org],"Large"),IF(AND(Practices_SubPractices[CP]=2,Practices_SubPractices[Org]="Large"),SUMIFS(Practices_SubPractices[E],Practices_SubPractices[CP],"2",Practices_SubPractices[Org],"Large"),IF(AND(Practices_SubPractices[CP]=3,Practices_SubPractices[Org]="Large"),SUMIFS(Practices_SubPractices[E],Practices_SubPractices[CP],"3",Practices_SubPractices[Org],"Large"),IF(AND(Practices_SubPractices[CP]=4,Practices_SubPractices[Org]="Large"),SUMIFS(Practices_SubPractices[E],Practices_SubPractices[CP],"4",Practices_SubPractices[Org],"Large"),IF(AND(Practices_SubPractices[CP]=5,Practices_SubPractices[Org]="Large"),SUMIFS(Practices_SubPractices[E],Practices_SubPractices[CP],"5",Practices_SubPractices[Org],"Large"),IF(AND(Practices_SubPractices[CP]=6,Practices_SubPractices[Org]="Large"),SUMIFS(Practices_SubPractices[E],Practices_SubPractices[CP],"6",Practices_SubPractices[Org],"Large"),IF(AND(Practices_SubPractices[CP]=7,Practices_SubPractices[Org] ="Large"),SUMIFS(Practices_SubPractices[E],Practices_SubPractices[CP],"7",Practices_SubPractices[Org],"Large"),IF(AND(Practices_SubPractices[CP]=8,Practices_SubPractices[Org] ="Large"),SUMIFS(Practices_SubPractices[E],Practices_SubPractices[CP],"8",Practices_SubPractices[Org],"Large"),IF(AND(Practices_SubPractices[CP]=9,Practices_SubPractices[Org] ="Large"),SUMIFS(Practices_SubPractices[E],Practices_SubPractices[CP],"9",Practices_SubPractices[Org],"Large"),IF(AND(Practices_SubPractices[CP]=10,Practices_SubPractices[Org] ="Large"),SUMIFS(Practices_SubPractices[E],Practices_SubPractices[CP],"10",Practices_SubPractices[Org],"Large"),"TBD"))))))))))))))))))))))))))))))</f>
        <v>1</v>
      </c>
      <c r="S25" s="84" t="s">
        <v>400</v>
      </c>
    </row>
    <row r="26" spans="1:19" x14ac:dyDescent="0.35">
      <c r="A26" s="73">
        <v>16</v>
      </c>
      <c r="B26" s="73">
        <v>8</v>
      </c>
      <c r="C26" s="73" t="s">
        <v>10</v>
      </c>
      <c r="D26" s="73" t="str">
        <f>Practices_SubPractices[[#This Row],[CP]]&amp;LEFT(Practices_SubPractices[[#This Row],[Org]],1)</f>
        <v>8S</v>
      </c>
      <c r="E26" s="73" t="s">
        <v>265</v>
      </c>
      <c r="F26" s="74" t="s">
        <v>45</v>
      </c>
      <c r="G26" s="74" t="s">
        <v>7</v>
      </c>
      <c r="H26" s="74" t="s">
        <v>188</v>
      </c>
      <c r="I26" s="75">
        <v>2</v>
      </c>
      <c r="J26" s="75">
        <v>2</v>
      </c>
      <c r="K26" s="75">
        <v>2</v>
      </c>
      <c r="L26" s="75">
        <v>2</v>
      </c>
      <c r="M26" s="75">
        <v>1</v>
      </c>
      <c r="N26" s="76"/>
      <c r="O26" s="77">
        <f>IF(AND(Practices_SubPractices[CP]=1,Practices_SubPractices[Org]="Small"),SUMIFS(Practices_SubPractices[B],Practices_SubPractices[CP],"1",Practices_SubPractices[Org],"Small"),IF(AND(Practices_SubPractices[CP]=2,Practices_SubPractices[Org]="Small"),SUMIFS(Practices_SubPractices[B],Practices_SubPractices[CP],"2",Practices_SubPractices[Org],"Small"),IF(AND(Practices_SubPractices[CP]=3,Practices_SubPractices[Org]="Small"),SUMIFS(Practices_SubPractices[B],Practices_SubPractices[CP],"3",Practices_SubPractices[Org],"Small"),IF(AND(Practices_SubPractices[CP]=4,Practices_SubPractices[Org]="Small"),SUMIFS(Practices_SubPractices[B],Practices_SubPractices[CP],"4",Practices_SubPractices[Org],"Small"),IF(AND(Practices_SubPractices[CP]=5,Practices_SubPractices[Org]="Small"),SUMIFS(Practices_SubPractices[B],Practices_SubPractices[CP],"5",Practices_SubPractices[Org],"Small"),IF(AND(Practices_SubPractices[CP]=6,Practices_SubPractices[Org]="Small"),SUMIFS(Practices_SubPractices[B],Practices_SubPractices[CP],"6",Practices_SubPractices[Org],"Small"),IF(AND(Practices_SubPractices[CP]=7,Practices_SubPractices[Org] ="Small"),SUMIFS(Practices_SubPractices[B],Practices_SubPractices[CP],"7",Practices_SubPractices[Org],"Small"),IF(AND(Practices_SubPractices[CP]=8,Practices_SubPractices[Org] ="Small"),SUMIFS(Practices_SubPractices[B],Practices_SubPractices[CP],"8",Practices_SubPractices[Org],"Small"),IF(AND(Practices_SubPractices[CP]=9,Practices_SubPractices[Org] ="Small"),SUMIFS(Practices_SubPractices[B],Practices_SubPractices[CP],"9",Practices_SubPractices[Org],"Small"),IF(AND(Practices_SubPractices[CP]=10,Practices_SubPractices[Org] ="Small"),SUMIFS(Practices_SubPractices[B],Practices_SubPractices[CP],"10",Practices_SubPractices[Org],"Small"),IF(AND(Practices_SubPractices[CP]=1,Practices_SubPractices[Org]="Medium"),SUMIFS(Practices_SubPractices[B],Practices_SubPractices[CP],"1",Practices_SubPractices[Org],"Medium"),IF(AND(Practices_SubPractices[CP]=2,Practices_SubPractices[Org]="Medium"),SUMIFS(Practices_SubPractices[B],Practices_SubPractices[CP],"2",Practices_SubPractices[Org],"Medium"),IF(AND(Practices_SubPractices[CP]=3,Practices_SubPractices[Org]="Medium"),SUMIFS(Practices_SubPractices[B],Practices_SubPractices[CP],"3",Practices_SubPractices[Org],"Medium"),IF(AND(Practices_SubPractices[CP]=4,Practices_SubPractices[Org]="Medium"),SUMIFS(Practices_SubPractices[B],Practices_SubPractices[CP],"4",Practices_SubPractices[Org],"Medium"),IF(AND(Practices_SubPractices[CP]=5,Practices_SubPractices[Org]="Medium"),SUMIFS(Practices_SubPractices[B],Practices_SubPractices[CP],"5",Practices_SubPractices[Org],"Medium"),IF(AND(Practices_SubPractices[CP]=6,Practices_SubPractices[Org]="Medium"),SUMIFS(Practices_SubPractices[B],Practices_SubPractices[CP],"6",Practices_SubPractices[Org],"Medium"),IF(AND(Practices_SubPractices[CP]=7,Practices_SubPractices[Org] ="Medium"),SUMIFS(Practices_SubPractices[B],Practices_SubPractices[CP],"7",Practices_SubPractices[Org],"Medium"),IF(AND(Practices_SubPractices[CP]=8,Practices_SubPractices[Org] ="Medium"),SUMIFS(Practices_SubPractices[B],Practices_SubPractices[CP],"8",Practices_SubPractices[Org],"Medium"),IF(AND(Practices_SubPractices[CP]=9,Practices_SubPractices[Org] ="Medium"),SUMIFS(Practices_SubPractices[B],Practices_SubPractices[CP],"9",Practices_SubPractices[Org],"Medium"),IF(AND(Practices_SubPractices[CP]=10,Practices_SubPractices[Org] ="Medium"),SUMIFS(Practices_SubPractices[B],Practices_SubPractices[CP],"10",Practices_SubPractices[Org],"Medium"),IF(AND(Practices_SubPractices[CP]=1,Practices_SubPractices[Org]="Large"),SUMIFS(Practices_SubPractices[B],Practices_SubPractices[CP],"1",Practices_SubPractices[Org],"Large"),IF(AND(Practices_SubPractices[CP]=2,Practices_SubPractices[Org]="Large"),SUMIFS(Practices_SubPractices[B],Practices_SubPractices[CP],"2",Practices_SubPractices[Org],"Large"),IF(AND(Practices_SubPractices[CP]=3,Practices_SubPractices[Org]="Large"),SUMIFS(Practices_SubPractices[B],Practices_SubPractices[CP],"3",Practices_SubPractices[Org],"Large"),IF(AND(Practices_SubPractices[CP]=4,Practices_SubPractices[Org]="Large"),SUMIFS(Practices_SubPractices[B],Practices_SubPractices[CP],"4",Practices_SubPractices[Org],"Large"),IF(AND(Practices_SubPractices[CP]=5,Practices_SubPractices[Org]="Large"),SUMIFS(Practices_SubPractices[B],Practices_SubPractices[CP],"5",Practices_SubPractices[Org],"Large"),IF(AND(Practices_SubPractices[CP]=6,Practices_SubPractices[Org]="Large"),SUMIFS(Practices_SubPractices[B],Practices_SubPractices[CP],"6",Practices_SubPractices[Org],"Large"),IF(AND(Practices_SubPractices[CP]=7,Practices_SubPractices[Org] ="Large"),SUMIFS(Practices_SubPractices[B],Practices_SubPractices[CP],"7",Practices_SubPractices[Org],"Large"),IF(AND(Practices_SubPractices[CP]=8,Practices_SubPractices[Org] ="Large"),SUMIFS(Practices_SubPractices[B],Practices_SubPractices[CP],"8",Practices_SubPractices[Org],"Large"),IF(AND(Practices_SubPractices[CP]=9,Practices_SubPractices[Org] ="Large"),SUMIFS(Practices_SubPractices[B],Practices_SubPractices[CP],"9",Practices_SubPractices[Org],"Large"),IF(AND(Practices_SubPractices[CP]=10,Practices_SubPractices[Org] ="Large"),SUMIFS(Practices_SubPractices[B],Practices_SubPractices[CP],"10",Practices_SubPractices[Org],"Large"),"TBD"))))))))))))))))))))))))))))))</f>
        <v>3</v>
      </c>
      <c r="P26" s="77">
        <f>IF(AND(Practices_SubPractices[CP]=1,Practices_SubPractices[Org]="Small"),SUMIFS(Practices_SubPractices[C],Practices_SubPractices[CP],"1",Practices_SubPractices[Org],"Small"),IF(AND(Practices_SubPractices[CP]=2,Practices_SubPractices[Org]="Small"),SUMIFS(Practices_SubPractices[C],Practices_SubPractices[CP],"2",Practices_SubPractices[Org],"Small"),IF(AND(Practices_SubPractices[CP]=3,Practices_SubPractices[Org]="Small"),SUMIFS(Practices_SubPractices[C],Practices_SubPractices[CP],"3",Practices_SubPractices[Org],"Small"),IF(AND(Practices_SubPractices[CP]=4,Practices_SubPractices[Org]="Small"),SUMIFS(Practices_SubPractices[C],Practices_SubPractices[CP],"4",Practices_SubPractices[Org],"Small"),IF(AND(Practices_SubPractices[CP]=5,Practices_SubPractices[Org]="Small"),SUMIFS(Practices_SubPractices[C],Practices_SubPractices[CP],"5",Practices_SubPractices[Org],"Small"),IF(AND(Practices_SubPractices[CP]=6,Practices_SubPractices[Org]="Small"),SUMIFS(Practices_SubPractices[C],Practices_SubPractices[CP],"6",Practices_SubPractices[Org],"Small"),IF(AND(Practices_SubPractices[CP]=7,Practices_SubPractices[Org] ="Small"),SUMIFS(Practices_SubPractices[C],Practices_SubPractices[CP],"7",Practices_SubPractices[Org],"Small"),IF(AND(Practices_SubPractices[CP]=8,Practices_SubPractices[Org] ="Small"),SUMIFS(Practices_SubPractices[C],Practices_SubPractices[CP],"8",Practices_SubPractices[Org],"Small"),IF(AND(Practices_SubPractices[CP]=9,Practices_SubPractices[Org] ="Small"),SUMIFS(Practices_SubPractices[C],Practices_SubPractices[CP],"9",Practices_SubPractices[Org],"Small"),IF(AND(Practices_SubPractices[CP]=10,Practices_SubPractices[Org] ="Small"),SUMIFS(Practices_SubPractices[C],Practices_SubPractices[CP],"10",Practices_SubPractices[Org],"Small"),IF(AND(Practices_SubPractices[CP]=1,Practices_SubPractices[Org]="Medium"),SUMIFS(Practices_SubPractices[C],Practices_SubPractices[CP],"1",Practices_SubPractices[Org],"Medium"),IF(AND(Practices_SubPractices[CP]=2,Practices_SubPractices[Org]="Medium"),SUMIFS(Practices_SubPractices[C],Practices_SubPractices[CP],"2",Practices_SubPractices[Org],"Medium"),IF(AND(Practices_SubPractices[CP]=3,Practices_SubPractices[Org]="Medium"),SUMIFS(Practices_SubPractices[C],Practices_SubPractices[CP],"3",Practices_SubPractices[Org],"Medium"),IF(AND(Practices_SubPractices[CP]=4,Practices_SubPractices[Org]="Medium"),SUMIFS(Practices_SubPractices[C],Practices_SubPractices[CP],"4",Practices_SubPractices[Org],"Medium"),IF(AND(Practices_SubPractices[CP]=5,Practices_SubPractices[Org]="Medium"),SUMIFS(Practices_SubPractices[C],Practices_SubPractices[CP],"5",Practices_SubPractices[Org],"Medium"),IF(AND(Practices_SubPractices[CP]=6,Practices_SubPractices[Org]="Medium"),SUMIFS(Practices_SubPractices[C],Practices_SubPractices[CP],"6",Practices_SubPractices[Org],"Medium"),IF(AND(Practices_SubPractices[CP]=7,Practices_SubPractices[Org] ="Medium"),SUMIFS(Practices_SubPractices[C],Practices_SubPractices[CP],"7",Practices_SubPractices[Org],"Medium"),IF(AND(Practices_SubPractices[CP]=8,Practices_SubPractices[Org] ="Medium"),SUMIFS(Practices_SubPractices[C],Practices_SubPractices[CP],"8",Practices_SubPractices[Org],"Medium"),IF(AND(Practices_SubPractices[CP]=9,Practices_SubPractices[Org] ="Medium"),SUMIFS(Practices_SubPractices[C],Practices_SubPractices[CP],"9",Practices_SubPractices[Org],"Medium"),IF(AND(Practices_SubPractices[CP]=10,Practices_SubPractices[Org] ="Medium"),SUMIFS(Practices_SubPractices[C],Practices_SubPractices[CP],"10",Practices_SubPractices[Org],"Medium"),IF(AND(Practices_SubPractices[CP]=1,Practices_SubPractices[Org]="Large"),SUMIFS(Practices_SubPractices[C],Practices_SubPractices[CP],"1",Practices_SubPractices[Org],"Large"),IF(AND(Practices_SubPractices[CP]=2,Practices_SubPractices[Org]="Large"),SUMIFS(Practices_SubPractices[C],Practices_SubPractices[CP],"2",Practices_SubPractices[Org],"Large"),IF(AND(Practices_SubPractices[CP]=3,Practices_SubPractices[Org]="Large"),SUMIFS(Practices_SubPractices[C],Practices_SubPractices[CP],"3",Practices_SubPractices[Org],"Large"),IF(AND(Practices_SubPractices[CP]=4,Practices_SubPractices[Org]="Large"),SUMIFS(Practices_SubPractices[C],Practices_SubPractices[CP],"4",Practices_SubPractices[Org],"Large"),IF(AND(Practices_SubPractices[CP]=5,Practices_SubPractices[Org]="Large"),SUMIFS(Practices_SubPractices[C],Practices_SubPractices[CP],"5",Practices_SubPractices[Org],"Large"),IF(AND(Practices_SubPractices[CP]=6,Practices_SubPractices[Org]="Large"),SUMIFS(Practices_SubPractices[C],Practices_SubPractices[CP],"6",Practices_SubPractices[Org],"Large"),IF(AND(Practices_SubPractices[CP]=7,Practices_SubPractices[Org] ="Large"),SUMIFS(Practices_SubPractices[C],Practices_SubPractices[CP],"7",Practices_SubPractices[Org],"Large"),IF(AND(Practices_SubPractices[CP]=8,Practices_SubPractices[Org] ="Large"),SUMIFS(Practices_SubPractices[C],Practices_SubPractices[CP],"8",Practices_SubPractices[Org],"Large"),IF(AND(Practices_SubPractices[CP]=9,Practices_SubPractices[Org] ="Large"),SUMIFS(Practices_SubPractices[C],Practices_SubPractices[CP],"9",Practices_SubPractices[Org],"Large"),IF(AND(Practices_SubPractices[CP]=10,Practices_SubPractices[Org] ="Large"),SUMIFS(Practices_SubPractices[C],Practices_SubPractices[CP],"10",Practices_SubPractices[Org],"Large"),"TBD"))))))))))))))))))))))))))))))</f>
        <v>3</v>
      </c>
      <c r="Q26" s="77">
        <f>IF(AND(Practices_SubPractices[CP]=1,Practices_SubPractices[Org]="Small"),SUMIFS(Practices_SubPractices[D],Practices_SubPractices[CP],"1",Practices_SubPractices[Org],"Small"),IF(AND(Practices_SubPractices[CP]=2,Practices_SubPractices[Org]="Small"),SUMIFS(Practices_SubPractices[D],Practices_SubPractices[CP],"2",Practices_SubPractices[Org],"Small"),IF(AND(Practices_SubPractices[CP]=3,Practices_SubPractices[Org]="Small"),SUMIFS(Practices_SubPractices[D],Practices_SubPractices[CP],"3",Practices_SubPractices[Org],"Small"),IF(AND(Practices_SubPractices[CP]=4,Practices_SubPractices[Org]="Small"),SUMIFS(Practices_SubPractices[D],Practices_SubPractices[CP],"4",Practices_SubPractices[Org],"Small"),IF(AND(Practices_SubPractices[CP]=5,Practices_SubPractices[Org]="Small"),SUMIFS(Practices_SubPractices[D],Practices_SubPractices[CP],"5",Practices_SubPractices[Org],"Small"),IF(AND(Practices_SubPractices[CP]=6,Practices_SubPractices[Org]="Small"),SUMIFS(Practices_SubPractices[D],Practices_SubPractices[CP],"6",Practices_SubPractices[Org],"Small"),IF(AND(Practices_SubPractices[CP]=7,Practices_SubPractices[Org] ="Small"),SUMIFS(Practices_SubPractices[D],Practices_SubPractices[CP],"7",Practices_SubPractices[Org],"Small"),IF(AND(Practices_SubPractices[CP]=8,Practices_SubPractices[Org] ="Small"),SUMIFS(Practices_SubPractices[D],Practices_SubPractices[CP],"8",Practices_SubPractices[Org],"Small"),IF(AND(Practices_SubPractices[CP]=9,Practices_SubPractices[Org] ="Small"),SUMIFS(Practices_SubPractices[D],Practices_SubPractices[CP],"9",Practices_SubPractices[Org],"Small"),IF(AND(Practices_SubPractices[CP]=10,Practices_SubPractices[Org] ="Small"),SUMIFS(Practices_SubPractices[D],Practices_SubPractices[CP],"10",Practices_SubPractices[Org],"Small"),IF(AND(Practices_SubPractices[CP]=1,Practices_SubPractices[Org]="Medium"),SUMIFS(Practices_SubPractices[D],Practices_SubPractices[CP],"1",Practices_SubPractices[Org],"Medium"),IF(AND(Practices_SubPractices[CP]=2,Practices_SubPractices[Org]="Medium"),SUMIFS(Practices_SubPractices[D],Practices_SubPractices[CP],"2",Practices_SubPractices[Org],"Medium"),IF(AND(Practices_SubPractices[CP]=3,Practices_SubPractices[Org]="Medium"),SUMIFS(Practices_SubPractices[D],Practices_SubPractices[CP],"3",Practices_SubPractices[Org],"Medium"),IF(AND(Practices_SubPractices[CP]=4,Practices_SubPractices[Org]="Medium"),SUMIFS(Practices_SubPractices[D],Practices_SubPractices[CP],"4",Practices_SubPractices[Org],"Medium"),IF(AND(Practices_SubPractices[CP]=5,Practices_SubPractices[Org]="Medium"),SUMIFS(Practices_SubPractices[D],Practices_SubPractices[CP],"5",Practices_SubPractices[Org],"Medium"),IF(AND(Practices_SubPractices[CP]=6,Practices_SubPractices[Org]="Medium"),SUMIFS(Practices_SubPractices[D],Practices_SubPractices[CP],"6",Practices_SubPractices[Org],"Medium"),IF(AND(Practices_SubPractices[CP]=7,Practices_SubPractices[Org] ="Medium"),SUMIFS(Practices_SubPractices[D],Practices_SubPractices[CP],"7",Practices_SubPractices[Org],"Medium"),IF(AND(Practices_SubPractices[CP]=8,Practices_SubPractices[Org] ="Medium"),SUMIFS(Practices_SubPractices[D],Practices_SubPractices[CP],"8",Practices_SubPractices[Org],"Medium"),IF(AND(Practices_SubPractices[CP]=9,Practices_SubPractices[Org] ="Medium"),SUMIFS(Practices_SubPractices[D],Practices_SubPractices[CP],"9",Practices_SubPractices[Org],"Medium"),IF(AND(Practices_SubPractices[CP]=10,Practices_SubPractices[Org] ="Medium"),SUMIFS(Practices_SubPractices[D],Practices_SubPractices[CP],"10",Practices_SubPractices[Org],"Medium"),IF(AND(Practices_SubPractices[CP]=1,Practices_SubPractices[Org]="Large"),SUMIFS(Practices_SubPractices[D],Practices_SubPractices[CP],"1",Practices_SubPractices[Org],"Large"),IF(AND(Practices_SubPractices[CP]=2,Practices_SubPractices[Org]="Large"),SUMIFS(Practices_SubPractices[D],Practices_SubPractices[CP],"2",Practices_SubPractices[Org],"Large"),IF(AND(Practices_SubPractices[CP]=3,Practices_SubPractices[Org]="Large"),SUMIFS(Practices_SubPractices[D],Practices_SubPractices[CP],"3",Practices_SubPractices[Org],"Large"),IF(AND(Practices_SubPractices[CP]=4,Practices_SubPractices[Org]="Large"),SUMIFS(Practices_SubPractices[D],Practices_SubPractices[CP],"4",Practices_SubPractices[Org],"Large"),IF(AND(Practices_SubPractices[CP]=5,Practices_SubPractices[Org]="Large"),SUMIFS(Practices_SubPractices[D],Practices_SubPractices[CP],"5",Practices_SubPractices[Org],"Large"),IF(AND(Practices_SubPractices[CP]=6,Practices_SubPractices[Org]="Large"),SUMIFS(Practices_SubPractices[D],Practices_SubPractices[CP],"6",Practices_SubPractices[Org],"Large"),IF(AND(Practices_SubPractices[CP]=7,Practices_SubPractices[Org] ="Large"),SUMIFS(Practices_SubPractices[D],Practices_SubPractices[CP],"7",Practices_SubPractices[Org],"Large"),IF(AND(Practices_SubPractices[CP]=8,Practices_SubPractices[Org] ="Large"),SUMIFS(Practices_SubPractices[D],Practices_SubPractices[CP],"8",Practices_SubPractices[Org],"Large"),IF(AND(Practices_SubPractices[CP]=9,Practices_SubPractices[Org] ="Large"),SUMIFS(Practices_SubPractices[D],Practices_SubPractices[CP],"9",Practices_SubPractices[Org],"Large"),IF(AND(Practices_SubPractices[CP]=10,Practices_SubPractices[Org] ="Large"),SUMIFS(Practices_SubPractices[D],Practices_SubPractices[CP],"10",Practices_SubPractices[Org],"Large"),"TBD"))))))))))))))))))))))))))))))</f>
        <v>3</v>
      </c>
      <c r="R26" s="77">
        <f>IF(AND(Practices_SubPractices[CP]=1,Practices_SubPractices[Org]="Small"),SUMIFS(Practices_SubPractices[E],Practices_SubPractices[CP],"1",Practices_SubPractices[Org],"Small"),IF(AND(Practices_SubPractices[CP]=2,Practices_SubPractices[Org]="Small"),SUMIFS(Practices_SubPractices[E],Practices_SubPractices[CP],"2",Practices_SubPractices[Org],"Small"),IF(AND(Practices_SubPractices[CP]=3,Practices_SubPractices[Org]="Small"),SUMIFS(Practices_SubPractices[E],Practices_SubPractices[CP],"3",Practices_SubPractices[Org],"Small"),IF(AND(Practices_SubPractices[CP]=4,Practices_SubPractices[Org]="Small"),SUMIFS(Practices_SubPractices[E],Practices_SubPractices[CP],"4",Practices_SubPractices[Org],"Small"),IF(AND(Practices_SubPractices[CP]=5,Practices_SubPractices[Org]="Small"),SUMIFS(Practices_SubPractices[E],Practices_SubPractices[CP],"5",Practices_SubPractices[Org],"Small"),IF(AND(Practices_SubPractices[CP]=6,Practices_SubPractices[Org]="Small"),SUMIFS(Practices_SubPractices[E],Practices_SubPractices[CP],"6",Practices_SubPractices[Org],"Small"),IF(AND(Practices_SubPractices[CP]=7,Practices_SubPractices[Org] ="Small"),SUMIFS(Practices_SubPractices[E],Practices_SubPractices[CP],"7",Practices_SubPractices[Org],"Small"),IF(AND(Practices_SubPractices[CP]=8,Practices_SubPractices[Org] ="Small"),SUMIFS(Practices_SubPractices[E],Practices_SubPractices[CP],"8",Practices_SubPractices[Org],"Small"),IF(AND(Practices_SubPractices[CP]=9,Practices_SubPractices[Org] ="Small"),SUMIFS(Practices_SubPractices[E],Practices_SubPractices[CP],"9",Practices_SubPractices[Org],"Small"),IF(AND(Practices_SubPractices[CP]=10,Practices_SubPractices[Org] ="Small"),SUMIFS(Practices_SubPractices[E],Practices_SubPractices[CP],"10",Practices_SubPractices[Org],"Small"),IF(AND(Practices_SubPractices[CP]=1,Practices_SubPractices[Org]="Medium"),SUMIFS(Practices_SubPractices[E],Practices_SubPractices[CP],"1",Practices_SubPractices[Org],"Medium"),IF(AND(Practices_SubPractices[CP]=2,Practices_SubPractices[Org]="Medium"),SUMIFS(Practices_SubPractices[E],Practices_SubPractices[CP],"2",Practices_SubPractices[Org],"Medium"),IF(AND(Practices_SubPractices[CP]=3,Practices_SubPractices[Org]="Medium"),SUMIFS(Practices_SubPractices[E],Practices_SubPractices[CP],"3",Practices_SubPractices[Org],"Medium"),IF(AND(Practices_SubPractices[CP]=4,Practices_SubPractices[Org]="Medium"),SUMIFS(Practices_SubPractices[E],Practices_SubPractices[CP],"4",Practices_SubPractices[Org],"Medium"),IF(AND(Practices_SubPractices[CP]=5,Practices_SubPractices[Org]="Medium"),SUMIFS(Practices_SubPractices[E],Practices_SubPractices[CP],"5",Practices_SubPractices[Org],"Medium"),IF(AND(Practices_SubPractices[CP]=6,Practices_SubPractices[Org]="Medium"),SUMIFS(Practices_SubPractices[E],Practices_SubPractices[CP],"6",Practices_SubPractices[Org],"Medium"),IF(AND(Practices_SubPractices[CP]=7,Practices_SubPractices[Org] ="Medium"),SUMIFS(Practices_SubPractices[E],Practices_SubPractices[CP],"7",Practices_SubPractices[Org],"Medium"),IF(AND(Practices_SubPractices[CP]=8,Practices_SubPractices[Org] ="Medium"),SUMIFS(Practices_SubPractices[E],Practices_SubPractices[CP],"8",Practices_SubPractices[Org],"Medium"),IF(AND(Practices_SubPractices[CP]=9,Practices_SubPractices[Org] ="Medium"),SUMIFS(Practices_SubPractices[E],Practices_SubPractices[CP],"9",Practices_SubPractices[Org],"Medium"),IF(AND(Practices_SubPractices[CP]=10,Practices_SubPractices[Org] ="Medium"),SUMIFS(Practices_SubPractices[E],Practices_SubPractices[CP],"10",Practices_SubPractices[Org],"Medium"),IF(AND(Practices_SubPractices[CP]=1,Practices_SubPractices[Org]="Large"),SUMIFS(Practices_SubPractices[E],Practices_SubPractices[CP],"1",Practices_SubPractices[Org],"Large"),IF(AND(Practices_SubPractices[CP]=2,Practices_SubPractices[Org]="Large"),SUMIFS(Practices_SubPractices[E],Practices_SubPractices[CP],"2",Practices_SubPractices[Org],"Large"),IF(AND(Practices_SubPractices[CP]=3,Practices_SubPractices[Org]="Large"),SUMIFS(Practices_SubPractices[E],Practices_SubPractices[CP],"3",Practices_SubPractices[Org],"Large"),IF(AND(Practices_SubPractices[CP]=4,Practices_SubPractices[Org]="Large"),SUMIFS(Practices_SubPractices[E],Practices_SubPractices[CP],"4",Practices_SubPractices[Org],"Large"),IF(AND(Practices_SubPractices[CP]=5,Practices_SubPractices[Org]="Large"),SUMIFS(Practices_SubPractices[E],Practices_SubPractices[CP],"5",Practices_SubPractices[Org],"Large"),IF(AND(Practices_SubPractices[CP]=6,Practices_SubPractices[Org]="Large"),SUMIFS(Practices_SubPractices[E],Practices_SubPractices[CP],"6",Practices_SubPractices[Org],"Large"),IF(AND(Practices_SubPractices[CP]=7,Practices_SubPractices[Org] ="Large"),SUMIFS(Practices_SubPractices[E],Practices_SubPractices[CP],"7",Practices_SubPractices[Org],"Large"),IF(AND(Practices_SubPractices[CP]=8,Practices_SubPractices[Org] ="Large"),SUMIFS(Practices_SubPractices[E],Practices_SubPractices[CP],"8",Practices_SubPractices[Org],"Large"),IF(AND(Practices_SubPractices[CP]=9,Practices_SubPractices[Org] ="Large"),SUMIFS(Practices_SubPractices[E],Practices_SubPractices[CP],"9",Practices_SubPractices[Org],"Large"),IF(AND(Practices_SubPractices[CP]=10,Practices_SubPractices[Org] ="Large"),SUMIFS(Practices_SubPractices[E],Practices_SubPractices[CP],"10",Practices_SubPractices[Org],"Large"),"TBD"))))))))))))))))))))))))))))))</f>
        <v>2</v>
      </c>
      <c r="S26" s="84" t="s">
        <v>401</v>
      </c>
    </row>
    <row r="27" spans="1:19" x14ac:dyDescent="0.35">
      <c r="A27" s="73">
        <v>17</v>
      </c>
      <c r="B27" s="73">
        <v>8</v>
      </c>
      <c r="C27" s="73" t="s">
        <v>10</v>
      </c>
      <c r="D27" s="73" t="str">
        <f>Practices_SubPractices[[#This Row],[CP]]&amp;LEFT(Practices_SubPractices[[#This Row],[Org]],1)</f>
        <v>8S</v>
      </c>
      <c r="E27" s="73" t="s">
        <v>266</v>
      </c>
      <c r="F27" s="74" t="s">
        <v>46</v>
      </c>
      <c r="G27" s="74" t="s">
        <v>47</v>
      </c>
      <c r="H27" s="74" t="s">
        <v>189</v>
      </c>
      <c r="I27" s="75">
        <v>1</v>
      </c>
      <c r="J27" s="75">
        <v>1</v>
      </c>
      <c r="K27" s="75">
        <v>1</v>
      </c>
      <c r="L27" s="75">
        <v>1</v>
      </c>
      <c r="M27" s="75">
        <v>1</v>
      </c>
      <c r="N27" s="76"/>
      <c r="O27" s="77">
        <f>IF(AND(Practices_SubPractices[CP]=1,Practices_SubPractices[Org]="Small"),SUMIFS(Practices_SubPractices[B],Practices_SubPractices[CP],"1",Practices_SubPractices[Org],"Small"),IF(AND(Practices_SubPractices[CP]=2,Practices_SubPractices[Org]="Small"),SUMIFS(Practices_SubPractices[B],Practices_SubPractices[CP],"2",Practices_SubPractices[Org],"Small"),IF(AND(Practices_SubPractices[CP]=3,Practices_SubPractices[Org]="Small"),SUMIFS(Practices_SubPractices[B],Practices_SubPractices[CP],"3",Practices_SubPractices[Org],"Small"),IF(AND(Practices_SubPractices[CP]=4,Practices_SubPractices[Org]="Small"),SUMIFS(Practices_SubPractices[B],Practices_SubPractices[CP],"4",Practices_SubPractices[Org],"Small"),IF(AND(Practices_SubPractices[CP]=5,Practices_SubPractices[Org]="Small"),SUMIFS(Practices_SubPractices[B],Practices_SubPractices[CP],"5",Practices_SubPractices[Org],"Small"),IF(AND(Practices_SubPractices[CP]=6,Practices_SubPractices[Org]="Small"),SUMIFS(Practices_SubPractices[B],Practices_SubPractices[CP],"6",Practices_SubPractices[Org],"Small"),IF(AND(Practices_SubPractices[CP]=7,Practices_SubPractices[Org] ="Small"),SUMIFS(Practices_SubPractices[B],Practices_SubPractices[CP],"7",Practices_SubPractices[Org],"Small"),IF(AND(Practices_SubPractices[CP]=8,Practices_SubPractices[Org] ="Small"),SUMIFS(Practices_SubPractices[B],Practices_SubPractices[CP],"8",Practices_SubPractices[Org],"Small"),IF(AND(Practices_SubPractices[CP]=9,Practices_SubPractices[Org] ="Small"),SUMIFS(Practices_SubPractices[B],Practices_SubPractices[CP],"9",Practices_SubPractices[Org],"Small"),IF(AND(Practices_SubPractices[CP]=10,Practices_SubPractices[Org] ="Small"),SUMIFS(Practices_SubPractices[B],Practices_SubPractices[CP],"10",Practices_SubPractices[Org],"Small"),IF(AND(Practices_SubPractices[CP]=1,Practices_SubPractices[Org]="Medium"),SUMIFS(Practices_SubPractices[B],Practices_SubPractices[CP],"1",Practices_SubPractices[Org],"Medium"),IF(AND(Practices_SubPractices[CP]=2,Practices_SubPractices[Org]="Medium"),SUMIFS(Practices_SubPractices[B],Practices_SubPractices[CP],"2",Practices_SubPractices[Org],"Medium"),IF(AND(Practices_SubPractices[CP]=3,Practices_SubPractices[Org]="Medium"),SUMIFS(Practices_SubPractices[B],Practices_SubPractices[CP],"3",Practices_SubPractices[Org],"Medium"),IF(AND(Practices_SubPractices[CP]=4,Practices_SubPractices[Org]="Medium"),SUMIFS(Practices_SubPractices[B],Practices_SubPractices[CP],"4",Practices_SubPractices[Org],"Medium"),IF(AND(Practices_SubPractices[CP]=5,Practices_SubPractices[Org]="Medium"),SUMIFS(Practices_SubPractices[B],Practices_SubPractices[CP],"5",Practices_SubPractices[Org],"Medium"),IF(AND(Practices_SubPractices[CP]=6,Practices_SubPractices[Org]="Medium"),SUMIFS(Practices_SubPractices[B],Practices_SubPractices[CP],"6",Practices_SubPractices[Org],"Medium"),IF(AND(Practices_SubPractices[CP]=7,Practices_SubPractices[Org] ="Medium"),SUMIFS(Practices_SubPractices[B],Practices_SubPractices[CP],"7",Practices_SubPractices[Org],"Medium"),IF(AND(Practices_SubPractices[CP]=8,Practices_SubPractices[Org] ="Medium"),SUMIFS(Practices_SubPractices[B],Practices_SubPractices[CP],"8",Practices_SubPractices[Org],"Medium"),IF(AND(Practices_SubPractices[CP]=9,Practices_SubPractices[Org] ="Medium"),SUMIFS(Practices_SubPractices[B],Practices_SubPractices[CP],"9",Practices_SubPractices[Org],"Medium"),IF(AND(Practices_SubPractices[CP]=10,Practices_SubPractices[Org] ="Medium"),SUMIFS(Practices_SubPractices[B],Practices_SubPractices[CP],"10",Practices_SubPractices[Org],"Medium"),IF(AND(Practices_SubPractices[CP]=1,Practices_SubPractices[Org]="Large"),SUMIFS(Practices_SubPractices[B],Practices_SubPractices[CP],"1",Practices_SubPractices[Org],"Large"),IF(AND(Practices_SubPractices[CP]=2,Practices_SubPractices[Org]="Large"),SUMIFS(Practices_SubPractices[B],Practices_SubPractices[CP],"2",Practices_SubPractices[Org],"Large"),IF(AND(Practices_SubPractices[CP]=3,Practices_SubPractices[Org]="Large"),SUMIFS(Practices_SubPractices[B],Practices_SubPractices[CP],"3",Practices_SubPractices[Org],"Large"),IF(AND(Practices_SubPractices[CP]=4,Practices_SubPractices[Org]="Large"),SUMIFS(Practices_SubPractices[B],Practices_SubPractices[CP],"4",Practices_SubPractices[Org],"Large"),IF(AND(Practices_SubPractices[CP]=5,Practices_SubPractices[Org]="Large"),SUMIFS(Practices_SubPractices[B],Practices_SubPractices[CP],"5",Practices_SubPractices[Org],"Large"),IF(AND(Practices_SubPractices[CP]=6,Practices_SubPractices[Org]="Large"),SUMIFS(Practices_SubPractices[B],Practices_SubPractices[CP],"6",Practices_SubPractices[Org],"Large"),IF(AND(Practices_SubPractices[CP]=7,Practices_SubPractices[Org] ="Large"),SUMIFS(Practices_SubPractices[B],Practices_SubPractices[CP],"7",Practices_SubPractices[Org],"Large"),IF(AND(Practices_SubPractices[CP]=8,Practices_SubPractices[Org] ="Large"),SUMIFS(Practices_SubPractices[B],Practices_SubPractices[CP],"8",Practices_SubPractices[Org],"Large"),IF(AND(Practices_SubPractices[CP]=9,Practices_SubPractices[Org] ="Large"),SUMIFS(Practices_SubPractices[B],Practices_SubPractices[CP],"9",Practices_SubPractices[Org],"Large"),IF(AND(Practices_SubPractices[CP]=10,Practices_SubPractices[Org] ="Large"),SUMIFS(Practices_SubPractices[B],Practices_SubPractices[CP],"10",Practices_SubPractices[Org],"Large"),"TBD"))))))))))))))))))))))))))))))</f>
        <v>3</v>
      </c>
      <c r="P27" s="77">
        <f>IF(AND(Practices_SubPractices[CP]=1,Practices_SubPractices[Org]="Small"),SUMIFS(Practices_SubPractices[C],Practices_SubPractices[CP],"1",Practices_SubPractices[Org],"Small"),IF(AND(Practices_SubPractices[CP]=2,Practices_SubPractices[Org]="Small"),SUMIFS(Practices_SubPractices[C],Practices_SubPractices[CP],"2",Practices_SubPractices[Org],"Small"),IF(AND(Practices_SubPractices[CP]=3,Practices_SubPractices[Org]="Small"),SUMIFS(Practices_SubPractices[C],Practices_SubPractices[CP],"3",Practices_SubPractices[Org],"Small"),IF(AND(Practices_SubPractices[CP]=4,Practices_SubPractices[Org]="Small"),SUMIFS(Practices_SubPractices[C],Practices_SubPractices[CP],"4",Practices_SubPractices[Org],"Small"),IF(AND(Practices_SubPractices[CP]=5,Practices_SubPractices[Org]="Small"),SUMIFS(Practices_SubPractices[C],Practices_SubPractices[CP],"5",Practices_SubPractices[Org],"Small"),IF(AND(Practices_SubPractices[CP]=6,Practices_SubPractices[Org]="Small"),SUMIFS(Practices_SubPractices[C],Practices_SubPractices[CP],"6",Practices_SubPractices[Org],"Small"),IF(AND(Practices_SubPractices[CP]=7,Practices_SubPractices[Org] ="Small"),SUMIFS(Practices_SubPractices[C],Practices_SubPractices[CP],"7",Practices_SubPractices[Org],"Small"),IF(AND(Practices_SubPractices[CP]=8,Practices_SubPractices[Org] ="Small"),SUMIFS(Practices_SubPractices[C],Practices_SubPractices[CP],"8",Practices_SubPractices[Org],"Small"),IF(AND(Practices_SubPractices[CP]=9,Practices_SubPractices[Org] ="Small"),SUMIFS(Practices_SubPractices[C],Practices_SubPractices[CP],"9",Practices_SubPractices[Org],"Small"),IF(AND(Practices_SubPractices[CP]=10,Practices_SubPractices[Org] ="Small"),SUMIFS(Practices_SubPractices[C],Practices_SubPractices[CP],"10",Practices_SubPractices[Org],"Small"),IF(AND(Practices_SubPractices[CP]=1,Practices_SubPractices[Org]="Medium"),SUMIFS(Practices_SubPractices[C],Practices_SubPractices[CP],"1",Practices_SubPractices[Org],"Medium"),IF(AND(Practices_SubPractices[CP]=2,Practices_SubPractices[Org]="Medium"),SUMIFS(Practices_SubPractices[C],Practices_SubPractices[CP],"2",Practices_SubPractices[Org],"Medium"),IF(AND(Practices_SubPractices[CP]=3,Practices_SubPractices[Org]="Medium"),SUMIFS(Practices_SubPractices[C],Practices_SubPractices[CP],"3",Practices_SubPractices[Org],"Medium"),IF(AND(Practices_SubPractices[CP]=4,Practices_SubPractices[Org]="Medium"),SUMIFS(Practices_SubPractices[C],Practices_SubPractices[CP],"4",Practices_SubPractices[Org],"Medium"),IF(AND(Practices_SubPractices[CP]=5,Practices_SubPractices[Org]="Medium"),SUMIFS(Practices_SubPractices[C],Practices_SubPractices[CP],"5",Practices_SubPractices[Org],"Medium"),IF(AND(Practices_SubPractices[CP]=6,Practices_SubPractices[Org]="Medium"),SUMIFS(Practices_SubPractices[C],Practices_SubPractices[CP],"6",Practices_SubPractices[Org],"Medium"),IF(AND(Practices_SubPractices[CP]=7,Practices_SubPractices[Org] ="Medium"),SUMIFS(Practices_SubPractices[C],Practices_SubPractices[CP],"7",Practices_SubPractices[Org],"Medium"),IF(AND(Practices_SubPractices[CP]=8,Practices_SubPractices[Org] ="Medium"),SUMIFS(Practices_SubPractices[C],Practices_SubPractices[CP],"8",Practices_SubPractices[Org],"Medium"),IF(AND(Practices_SubPractices[CP]=9,Practices_SubPractices[Org] ="Medium"),SUMIFS(Practices_SubPractices[C],Practices_SubPractices[CP],"9",Practices_SubPractices[Org],"Medium"),IF(AND(Practices_SubPractices[CP]=10,Practices_SubPractices[Org] ="Medium"),SUMIFS(Practices_SubPractices[C],Practices_SubPractices[CP],"10",Practices_SubPractices[Org],"Medium"),IF(AND(Practices_SubPractices[CP]=1,Practices_SubPractices[Org]="Large"),SUMIFS(Practices_SubPractices[C],Practices_SubPractices[CP],"1",Practices_SubPractices[Org],"Large"),IF(AND(Practices_SubPractices[CP]=2,Practices_SubPractices[Org]="Large"),SUMIFS(Practices_SubPractices[C],Practices_SubPractices[CP],"2",Practices_SubPractices[Org],"Large"),IF(AND(Practices_SubPractices[CP]=3,Practices_SubPractices[Org]="Large"),SUMIFS(Practices_SubPractices[C],Practices_SubPractices[CP],"3",Practices_SubPractices[Org],"Large"),IF(AND(Practices_SubPractices[CP]=4,Practices_SubPractices[Org]="Large"),SUMIFS(Practices_SubPractices[C],Practices_SubPractices[CP],"4",Practices_SubPractices[Org],"Large"),IF(AND(Practices_SubPractices[CP]=5,Practices_SubPractices[Org]="Large"),SUMIFS(Practices_SubPractices[C],Practices_SubPractices[CP],"5",Practices_SubPractices[Org],"Large"),IF(AND(Practices_SubPractices[CP]=6,Practices_SubPractices[Org]="Large"),SUMIFS(Practices_SubPractices[C],Practices_SubPractices[CP],"6",Practices_SubPractices[Org],"Large"),IF(AND(Practices_SubPractices[CP]=7,Practices_SubPractices[Org] ="Large"),SUMIFS(Practices_SubPractices[C],Practices_SubPractices[CP],"7",Practices_SubPractices[Org],"Large"),IF(AND(Practices_SubPractices[CP]=8,Practices_SubPractices[Org] ="Large"),SUMIFS(Practices_SubPractices[C],Practices_SubPractices[CP],"8",Practices_SubPractices[Org],"Large"),IF(AND(Practices_SubPractices[CP]=9,Practices_SubPractices[Org] ="Large"),SUMIFS(Practices_SubPractices[C],Practices_SubPractices[CP],"9",Practices_SubPractices[Org],"Large"),IF(AND(Practices_SubPractices[CP]=10,Practices_SubPractices[Org] ="Large"),SUMIFS(Practices_SubPractices[C],Practices_SubPractices[CP],"10",Practices_SubPractices[Org],"Large"),"TBD"))))))))))))))))))))))))))))))</f>
        <v>3</v>
      </c>
      <c r="Q27" s="77">
        <f>IF(AND(Practices_SubPractices[CP]=1,Practices_SubPractices[Org]="Small"),SUMIFS(Practices_SubPractices[D],Practices_SubPractices[CP],"1",Practices_SubPractices[Org],"Small"),IF(AND(Practices_SubPractices[CP]=2,Practices_SubPractices[Org]="Small"),SUMIFS(Practices_SubPractices[D],Practices_SubPractices[CP],"2",Practices_SubPractices[Org],"Small"),IF(AND(Practices_SubPractices[CP]=3,Practices_SubPractices[Org]="Small"),SUMIFS(Practices_SubPractices[D],Practices_SubPractices[CP],"3",Practices_SubPractices[Org],"Small"),IF(AND(Practices_SubPractices[CP]=4,Practices_SubPractices[Org]="Small"),SUMIFS(Practices_SubPractices[D],Practices_SubPractices[CP],"4",Practices_SubPractices[Org],"Small"),IF(AND(Practices_SubPractices[CP]=5,Practices_SubPractices[Org]="Small"),SUMIFS(Practices_SubPractices[D],Practices_SubPractices[CP],"5",Practices_SubPractices[Org],"Small"),IF(AND(Practices_SubPractices[CP]=6,Practices_SubPractices[Org]="Small"),SUMIFS(Practices_SubPractices[D],Practices_SubPractices[CP],"6",Practices_SubPractices[Org],"Small"),IF(AND(Practices_SubPractices[CP]=7,Practices_SubPractices[Org] ="Small"),SUMIFS(Practices_SubPractices[D],Practices_SubPractices[CP],"7",Practices_SubPractices[Org],"Small"),IF(AND(Practices_SubPractices[CP]=8,Practices_SubPractices[Org] ="Small"),SUMIFS(Practices_SubPractices[D],Practices_SubPractices[CP],"8",Practices_SubPractices[Org],"Small"),IF(AND(Practices_SubPractices[CP]=9,Practices_SubPractices[Org] ="Small"),SUMIFS(Practices_SubPractices[D],Practices_SubPractices[CP],"9",Practices_SubPractices[Org],"Small"),IF(AND(Practices_SubPractices[CP]=10,Practices_SubPractices[Org] ="Small"),SUMIFS(Practices_SubPractices[D],Practices_SubPractices[CP],"10",Practices_SubPractices[Org],"Small"),IF(AND(Practices_SubPractices[CP]=1,Practices_SubPractices[Org]="Medium"),SUMIFS(Practices_SubPractices[D],Practices_SubPractices[CP],"1",Practices_SubPractices[Org],"Medium"),IF(AND(Practices_SubPractices[CP]=2,Practices_SubPractices[Org]="Medium"),SUMIFS(Practices_SubPractices[D],Practices_SubPractices[CP],"2",Practices_SubPractices[Org],"Medium"),IF(AND(Practices_SubPractices[CP]=3,Practices_SubPractices[Org]="Medium"),SUMIFS(Practices_SubPractices[D],Practices_SubPractices[CP],"3",Practices_SubPractices[Org],"Medium"),IF(AND(Practices_SubPractices[CP]=4,Practices_SubPractices[Org]="Medium"),SUMIFS(Practices_SubPractices[D],Practices_SubPractices[CP],"4",Practices_SubPractices[Org],"Medium"),IF(AND(Practices_SubPractices[CP]=5,Practices_SubPractices[Org]="Medium"),SUMIFS(Practices_SubPractices[D],Practices_SubPractices[CP],"5",Practices_SubPractices[Org],"Medium"),IF(AND(Practices_SubPractices[CP]=6,Practices_SubPractices[Org]="Medium"),SUMIFS(Practices_SubPractices[D],Practices_SubPractices[CP],"6",Practices_SubPractices[Org],"Medium"),IF(AND(Practices_SubPractices[CP]=7,Practices_SubPractices[Org] ="Medium"),SUMIFS(Practices_SubPractices[D],Practices_SubPractices[CP],"7",Practices_SubPractices[Org],"Medium"),IF(AND(Practices_SubPractices[CP]=8,Practices_SubPractices[Org] ="Medium"),SUMIFS(Practices_SubPractices[D],Practices_SubPractices[CP],"8",Practices_SubPractices[Org],"Medium"),IF(AND(Practices_SubPractices[CP]=9,Practices_SubPractices[Org] ="Medium"),SUMIFS(Practices_SubPractices[D],Practices_SubPractices[CP],"9",Practices_SubPractices[Org],"Medium"),IF(AND(Practices_SubPractices[CP]=10,Practices_SubPractices[Org] ="Medium"),SUMIFS(Practices_SubPractices[D],Practices_SubPractices[CP],"10",Practices_SubPractices[Org],"Medium"),IF(AND(Practices_SubPractices[CP]=1,Practices_SubPractices[Org]="Large"),SUMIFS(Practices_SubPractices[D],Practices_SubPractices[CP],"1",Practices_SubPractices[Org],"Large"),IF(AND(Practices_SubPractices[CP]=2,Practices_SubPractices[Org]="Large"),SUMIFS(Practices_SubPractices[D],Practices_SubPractices[CP],"2",Practices_SubPractices[Org],"Large"),IF(AND(Practices_SubPractices[CP]=3,Practices_SubPractices[Org]="Large"),SUMIFS(Practices_SubPractices[D],Practices_SubPractices[CP],"3",Practices_SubPractices[Org],"Large"),IF(AND(Practices_SubPractices[CP]=4,Practices_SubPractices[Org]="Large"),SUMIFS(Practices_SubPractices[D],Practices_SubPractices[CP],"4",Practices_SubPractices[Org],"Large"),IF(AND(Practices_SubPractices[CP]=5,Practices_SubPractices[Org]="Large"),SUMIFS(Practices_SubPractices[D],Practices_SubPractices[CP],"5",Practices_SubPractices[Org],"Large"),IF(AND(Practices_SubPractices[CP]=6,Practices_SubPractices[Org]="Large"),SUMIFS(Practices_SubPractices[D],Practices_SubPractices[CP],"6",Practices_SubPractices[Org],"Large"),IF(AND(Practices_SubPractices[CP]=7,Practices_SubPractices[Org] ="Large"),SUMIFS(Practices_SubPractices[D],Practices_SubPractices[CP],"7",Practices_SubPractices[Org],"Large"),IF(AND(Practices_SubPractices[CP]=8,Practices_SubPractices[Org] ="Large"),SUMIFS(Practices_SubPractices[D],Practices_SubPractices[CP],"8",Practices_SubPractices[Org],"Large"),IF(AND(Practices_SubPractices[CP]=9,Practices_SubPractices[Org] ="Large"),SUMIFS(Practices_SubPractices[D],Practices_SubPractices[CP],"9",Practices_SubPractices[Org],"Large"),IF(AND(Practices_SubPractices[CP]=10,Practices_SubPractices[Org] ="Large"),SUMIFS(Practices_SubPractices[D],Practices_SubPractices[CP],"10",Practices_SubPractices[Org],"Large"),"TBD"))))))))))))))))))))))))))))))</f>
        <v>3</v>
      </c>
      <c r="R27" s="77">
        <f>IF(AND(Practices_SubPractices[CP]=1,Practices_SubPractices[Org]="Small"),SUMIFS(Practices_SubPractices[E],Practices_SubPractices[CP],"1",Practices_SubPractices[Org],"Small"),IF(AND(Practices_SubPractices[CP]=2,Practices_SubPractices[Org]="Small"),SUMIFS(Practices_SubPractices[E],Practices_SubPractices[CP],"2",Practices_SubPractices[Org],"Small"),IF(AND(Practices_SubPractices[CP]=3,Practices_SubPractices[Org]="Small"),SUMIFS(Practices_SubPractices[E],Practices_SubPractices[CP],"3",Practices_SubPractices[Org],"Small"),IF(AND(Practices_SubPractices[CP]=4,Practices_SubPractices[Org]="Small"),SUMIFS(Practices_SubPractices[E],Practices_SubPractices[CP],"4",Practices_SubPractices[Org],"Small"),IF(AND(Practices_SubPractices[CP]=5,Practices_SubPractices[Org]="Small"),SUMIFS(Practices_SubPractices[E],Practices_SubPractices[CP],"5",Practices_SubPractices[Org],"Small"),IF(AND(Practices_SubPractices[CP]=6,Practices_SubPractices[Org]="Small"),SUMIFS(Practices_SubPractices[E],Practices_SubPractices[CP],"6",Practices_SubPractices[Org],"Small"),IF(AND(Practices_SubPractices[CP]=7,Practices_SubPractices[Org] ="Small"),SUMIFS(Practices_SubPractices[E],Practices_SubPractices[CP],"7",Practices_SubPractices[Org],"Small"),IF(AND(Practices_SubPractices[CP]=8,Practices_SubPractices[Org] ="Small"),SUMIFS(Practices_SubPractices[E],Practices_SubPractices[CP],"8",Practices_SubPractices[Org],"Small"),IF(AND(Practices_SubPractices[CP]=9,Practices_SubPractices[Org] ="Small"),SUMIFS(Practices_SubPractices[E],Practices_SubPractices[CP],"9",Practices_SubPractices[Org],"Small"),IF(AND(Practices_SubPractices[CP]=10,Practices_SubPractices[Org] ="Small"),SUMIFS(Practices_SubPractices[E],Practices_SubPractices[CP],"10",Practices_SubPractices[Org],"Small"),IF(AND(Practices_SubPractices[CP]=1,Practices_SubPractices[Org]="Medium"),SUMIFS(Practices_SubPractices[E],Practices_SubPractices[CP],"1",Practices_SubPractices[Org],"Medium"),IF(AND(Practices_SubPractices[CP]=2,Practices_SubPractices[Org]="Medium"),SUMIFS(Practices_SubPractices[E],Practices_SubPractices[CP],"2",Practices_SubPractices[Org],"Medium"),IF(AND(Practices_SubPractices[CP]=3,Practices_SubPractices[Org]="Medium"),SUMIFS(Practices_SubPractices[E],Practices_SubPractices[CP],"3",Practices_SubPractices[Org],"Medium"),IF(AND(Practices_SubPractices[CP]=4,Practices_SubPractices[Org]="Medium"),SUMIFS(Practices_SubPractices[E],Practices_SubPractices[CP],"4",Practices_SubPractices[Org],"Medium"),IF(AND(Practices_SubPractices[CP]=5,Practices_SubPractices[Org]="Medium"),SUMIFS(Practices_SubPractices[E],Practices_SubPractices[CP],"5",Practices_SubPractices[Org],"Medium"),IF(AND(Practices_SubPractices[CP]=6,Practices_SubPractices[Org]="Medium"),SUMIFS(Practices_SubPractices[E],Practices_SubPractices[CP],"6",Practices_SubPractices[Org],"Medium"),IF(AND(Practices_SubPractices[CP]=7,Practices_SubPractices[Org] ="Medium"),SUMIFS(Practices_SubPractices[E],Practices_SubPractices[CP],"7",Practices_SubPractices[Org],"Medium"),IF(AND(Practices_SubPractices[CP]=8,Practices_SubPractices[Org] ="Medium"),SUMIFS(Practices_SubPractices[E],Practices_SubPractices[CP],"8",Practices_SubPractices[Org],"Medium"),IF(AND(Practices_SubPractices[CP]=9,Practices_SubPractices[Org] ="Medium"),SUMIFS(Practices_SubPractices[E],Practices_SubPractices[CP],"9",Practices_SubPractices[Org],"Medium"),IF(AND(Practices_SubPractices[CP]=10,Practices_SubPractices[Org] ="Medium"),SUMIFS(Practices_SubPractices[E],Practices_SubPractices[CP],"10",Practices_SubPractices[Org],"Medium"),IF(AND(Practices_SubPractices[CP]=1,Practices_SubPractices[Org]="Large"),SUMIFS(Practices_SubPractices[E],Practices_SubPractices[CP],"1",Practices_SubPractices[Org],"Large"),IF(AND(Practices_SubPractices[CP]=2,Practices_SubPractices[Org]="Large"),SUMIFS(Practices_SubPractices[E],Practices_SubPractices[CP],"2",Practices_SubPractices[Org],"Large"),IF(AND(Practices_SubPractices[CP]=3,Practices_SubPractices[Org]="Large"),SUMIFS(Practices_SubPractices[E],Practices_SubPractices[CP],"3",Practices_SubPractices[Org],"Large"),IF(AND(Practices_SubPractices[CP]=4,Practices_SubPractices[Org]="Large"),SUMIFS(Practices_SubPractices[E],Practices_SubPractices[CP],"4",Practices_SubPractices[Org],"Large"),IF(AND(Practices_SubPractices[CP]=5,Practices_SubPractices[Org]="Large"),SUMIFS(Practices_SubPractices[E],Practices_SubPractices[CP],"5",Practices_SubPractices[Org],"Large"),IF(AND(Practices_SubPractices[CP]=6,Practices_SubPractices[Org]="Large"),SUMIFS(Practices_SubPractices[E],Practices_SubPractices[CP],"6",Practices_SubPractices[Org],"Large"),IF(AND(Practices_SubPractices[CP]=7,Practices_SubPractices[Org] ="Large"),SUMIFS(Practices_SubPractices[E],Practices_SubPractices[CP],"7",Practices_SubPractices[Org],"Large"),IF(AND(Practices_SubPractices[CP]=8,Practices_SubPractices[Org] ="Large"),SUMIFS(Practices_SubPractices[E],Practices_SubPractices[CP],"8",Practices_SubPractices[Org],"Large"),IF(AND(Practices_SubPractices[CP]=9,Practices_SubPractices[Org] ="Large"),SUMIFS(Practices_SubPractices[E],Practices_SubPractices[CP],"9",Practices_SubPractices[Org],"Large"),IF(AND(Practices_SubPractices[CP]=10,Practices_SubPractices[Org] ="Large"),SUMIFS(Practices_SubPractices[E],Practices_SubPractices[CP],"10",Practices_SubPractices[Org],"Large"),"TBD"))))))))))))))))))))))))))))))</f>
        <v>2</v>
      </c>
      <c r="S27" s="84" t="s">
        <v>402</v>
      </c>
    </row>
    <row r="28" spans="1:19" x14ac:dyDescent="0.35">
      <c r="A28" s="73">
        <v>18</v>
      </c>
      <c r="B28" s="73">
        <v>9</v>
      </c>
      <c r="C28" s="73" t="s">
        <v>10</v>
      </c>
      <c r="D28" s="73" t="str">
        <f>Practices_SubPractices[[#This Row],[CP]]&amp;LEFT(Practices_SubPractices[[#This Row],[Org]],1)</f>
        <v>9S</v>
      </c>
      <c r="E28" s="73" t="s">
        <v>265</v>
      </c>
      <c r="F28" s="74" t="s">
        <v>19</v>
      </c>
      <c r="G28" s="74" t="s">
        <v>8</v>
      </c>
      <c r="H28" s="74" t="s">
        <v>190</v>
      </c>
      <c r="I28" s="75">
        <v>0</v>
      </c>
      <c r="J28" s="75">
        <v>0</v>
      </c>
      <c r="K28" s="75">
        <v>0</v>
      </c>
      <c r="L28" s="75">
        <v>0</v>
      </c>
      <c r="M28" s="75">
        <v>2</v>
      </c>
      <c r="N28" s="76"/>
      <c r="O28" s="77">
        <f>IF(AND(Practices_SubPractices[CP]=1,Practices_SubPractices[Org]="Small"),SUMIFS(Practices_SubPractices[B],Practices_SubPractices[CP],"1",Practices_SubPractices[Org],"Small"),IF(AND(Practices_SubPractices[CP]=2,Practices_SubPractices[Org]="Small"),SUMIFS(Practices_SubPractices[B],Practices_SubPractices[CP],"2",Practices_SubPractices[Org],"Small"),IF(AND(Practices_SubPractices[CP]=3,Practices_SubPractices[Org]="Small"),SUMIFS(Practices_SubPractices[B],Practices_SubPractices[CP],"3",Practices_SubPractices[Org],"Small"),IF(AND(Practices_SubPractices[CP]=4,Practices_SubPractices[Org]="Small"),SUMIFS(Practices_SubPractices[B],Practices_SubPractices[CP],"4",Practices_SubPractices[Org],"Small"),IF(AND(Practices_SubPractices[CP]=5,Practices_SubPractices[Org]="Small"),SUMIFS(Practices_SubPractices[B],Practices_SubPractices[CP],"5",Practices_SubPractices[Org],"Small"),IF(AND(Practices_SubPractices[CP]=6,Practices_SubPractices[Org]="Small"),SUMIFS(Practices_SubPractices[B],Practices_SubPractices[CP],"6",Practices_SubPractices[Org],"Small"),IF(AND(Practices_SubPractices[CP]=7,Practices_SubPractices[Org] ="Small"),SUMIFS(Practices_SubPractices[B],Practices_SubPractices[CP],"7",Practices_SubPractices[Org],"Small"),IF(AND(Practices_SubPractices[CP]=8,Practices_SubPractices[Org] ="Small"),SUMIFS(Practices_SubPractices[B],Practices_SubPractices[CP],"8",Practices_SubPractices[Org],"Small"),IF(AND(Practices_SubPractices[CP]=9,Practices_SubPractices[Org] ="Small"),SUMIFS(Practices_SubPractices[B],Practices_SubPractices[CP],"9",Practices_SubPractices[Org],"Small"),IF(AND(Practices_SubPractices[CP]=10,Practices_SubPractices[Org] ="Small"),SUMIFS(Practices_SubPractices[B],Practices_SubPractices[CP],"10",Practices_SubPractices[Org],"Small"),IF(AND(Practices_SubPractices[CP]=1,Practices_SubPractices[Org]="Medium"),SUMIFS(Practices_SubPractices[B],Practices_SubPractices[CP],"1",Practices_SubPractices[Org],"Medium"),IF(AND(Practices_SubPractices[CP]=2,Practices_SubPractices[Org]="Medium"),SUMIFS(Practices_SubPractices[B],Practices_SubPractices[CP],"2",Practices_SubPractices[Org],"Medium"),IF(AND(Practices_SubPractices[CP]=3,Practices_SubPractices[Org]="Medium"),SUMIFS(Practices_SubPractices[B],Practices_SubPractices[CP],"3",Practices_SubPractices[Org],"Medium"),IF(AND(Practices_SubPractices[CP]=4,Practices_SubPractices[Org]="Medium"),SUMIFS(Practices_SubPractices[B],Practices_SubPractices[CP],"4",Practices_SubPractices[Org],"Medium"),IF(AND(Practices_SubPractices[CP]=5,Practices_SubPractices[Org]="Medium"),SUMIFS(Practices_SubPractices[B],Practices_SubPractices[CP],"5",Practices_SubPractices[Org],"Medium"),IF(AND(Practices_SubPractices[CP]=6,Practices_SubPractices[Org]="Medium"),SUMIFS(Practices_SubPractices[B],Practices_SubPractices[CP],"6",Practices_SubPractices[Org],"Medium"),IF(AND(Practices_SubPractices[CP]=7,Practices_SubPractices[Org] ="Medium"),SUMIFS(Practices_SubPractices[B],Practices_SubPractices[CP],"7",Practices_SubPractices[Org],"Medium"),IF(AND(Practices_SubPractices[CP]=8,Practices_SubPractices[Org] ="Medium"),SUMIFS(Practices_SubPractices[B],Practices_SubPractices[CP],"8",Practices_SubPractices[Org],"Medium"),IF(AND(Practices_SubPractices[CP]=9,Practices_SubPractices[Org] ="Medium"),SUMIFS(Practices_SubPractices[B],Practices_SubPractices[CP],"9",Practices_SubPractices[Org],"Medium"),IF(AND(Practices_SubPractices[CP]=10,Practices_SubPractices[Org] ="Medium"),SUMIFS(Practices_SubPractices[B],Practices_SubPractices[CP],"10",Practices_SubPractices[Org],"Medium"),IF(AND(Practices_SubPractices[CP]=1,Practices_SubPractices[Org]="Large"),SUMIFS(Practices_SubPractices[B],Practices_SubPractices[CP],"1",Practices_SubPractices[Org],"Large"),IF(AND(Practices_SubPractices[CP]=2,Practices_SubPractices[Org]="Large"),SUMIFS(Practices_SubPractices[B],Practices_SubPractices[CP],"2",Practices_SubPractices[Org],"Large"),IF(AND(Practices_SubPractices[CP]=3,Practices_SubPractices[Org]="Large"),SUMIFS(Practices_SubPractices[B],Practices_SubPractices[CP],"3",Practices_SubPractices[Org],"Large"),IF(AND(Practices_SubPractices[CP]=4,Practices_SubPractices[Org]="Large"),SUMIFS(Practices_SubPractices[B],Practices_SubPractices[CP],"4",Practices_SubPractices[Org],"Large"),IF(AND(Practices_SubPractices[CP]=5,Practices_SubPractices[Org]="Large"),SUMIFS(Practices_SubPractices[B],Practices_SubPractices[CP],"5",Practices_SubPractices[Org],"Large"),IF(AND(Practices_SubPractices[CP]=6,Practices_SubPractices[Org]="Large"),SUMIFS(Practices_SubPractices[B],Practices_SubPractices[CP],"6",Practices_SubPractices[Org],"Large"),IF(AND(Practices_SubPractices[CP]=7,Practices_SubPractices[Org] ="Large"),SUMIFS(Practices_SubPractices[B],Practices_SubPractices[CP],"7",Practices_SubPractices[Org],"Large"),IF(AND(Practices_SubPractices[CP]=8,Practices_SubPractices[Org] ="Large"),SUMIFS(Practices_SubPractices[B],Practices_SubPractices[CP],"8",Practices_SubPractices[Org],"Large"),IF(AND(Practices_SubPractices[CP]=9,Practices_SubPractices[Org] ="Large"),SUMIFS(Practices_SubPractices[B],Practices_SubPractices[CP],"9",Practices_SubPractices[Org],"Large"),IF(AND(Practices_SubPractices[CP]=10,Practices_SubPractices[Org] ="Large"),SUMIFS(Practices_SubPractices[B],Practices_SubPractices[CP],"10",Practices_SubPractices[Org],"Large"),"TBD"))))))))))))))))))))))))))))))</f>
        <v>0</v>
      </c>
      <c r="P28" s="77">
        <f>IF(AND(Practices_SubPractices[CP]=1,Practices_SubPractices[Org]="Small"),SUMIFS(Practices_SubPractices[C],Practices_SubPractices[CP],"1",Practices_SubPractices[Org],"Small"),IF(AND(Practices_SubPractices[CP]=2,Practices_SubPractices[Org]="Small"),SUMIFS(Practices_SubPractices[C],Practices_SubPractices[CP],"2",Practices_SubPractices[Org],"Small"),IF(AND(Practices_SubPractices[CP]=3,Practices_SubPractices[Org]="Small"),SUMIFS(Practices_SubPractices[C],Practices_SubPractices[CP],"3",Practices_SubPractices[Org],"Small"),IF(AND(Practices_SubPractices[CP]=4,Practices_SubPractices[Org]="Small"),SUMIFS(Practices_SubPractices[C],Practices_SubPractices[CP],"4",Practices_SubPractices[Org],"Small"),IF(AND(Practices_SubPractices[CP]=5,Practices_SubPractices[Org]="Small"),SUMIFS(Practices_SubPractices[C],Practices_SubPractices[CP],"5",Practices_SubPractices[Org],"Small"),IF(AND(Practices_SubPractices[CP]=6,Practices_SubPractices[Org]="Small"),SUMIFS(Practices_SubPractices[C],Practices_SubPractices[CP],"6",Practices_SubPractices[Org],"Small"),IF(AND(Practices_SubPractices[CP]=7,Practices_SubPractices[Org] ="Small"),SUMIFS(Practices_SubPractices[C],Practices_SubPractices[CP],"7",Practices_SubPractices[Org],"Small"),IF(AND(Practices_SubPractices[CP]=8,Practices_SubPractices[Org] ="Small"),SUMIFS(Practices_SubPractices[C],Practices_SubPractices[CP],"8",Practices_SubPractices[Org],"Small"),IF(AND(Practices_SubPractices[CP]=9,Practices_SubPractices[Org] ="Small"),SUMIFS(Practices_SubPractices[C],Practices_SubPractices[CP],"9",Practices_SubPractices[Org],"Small"),IF(AND(Practices_SubPractices[CP]=10,Practices_SubPractices[Org] ="Small"),SUMIFS(Practices_SubPractices[C],Practices_SubPractices[CP],"10",Practices_SubPractices[Org],"Small"),IF(AND(Practices_SubPractices[CP]=1,Practices_SubPractices[Org]="Medium"),SUMIFS(Practices_SubPractices[C],Practices_SubPractices[CP],"1",Practices_SubPractices[Org],"Medium"),IF(AND(Practices_SubPractices[CP]=2,Practices_SubPractices[Org]="Medium"),SUMIFS(Practices_SubPractices[C],Practices_SubPractices[CP],"2",Practices_SubPractices[Org],"Medium"),IF(AND(Practices_SubPractices[CP]=3,Practices_SubPractices[Org]="Medium"),SUMIFS(Practices_SubPractices[C],Practices_SubPractices[CP],"3",Practices_SubPractices[Org],"Medium"),IF(AND(Practices_SubPractices[CP]=4,Practices_SubPractices[Org]="Medium"),SUMIFS(Practices_SubPractices[C],Practices_SubPractices[CP],"4",Practices_SubPractices[Org],"Medium"),IF(AND(Practices_SubPractices[CP]=5,Practices_SubPractices[Org]="Medium"),SUMIFS(Practices_SubPractices[C],Practices_SubPractices[CP],"5",Practices_SubPractices[Org],"Medium"),IF(AND(Practices_SubPractices[CP]=6,Practices_SubPractices[Org]="Medium"),SUMIFS(Practices_SubPractices[C],Practices_SubPractices[CP],"6",Practices_SubPractices[Org],"Medium"),IF(AND(Practices_SubPractices[CP]=7,Practices_SubPractices[Org] ="Medium"),SUMIFS(Practices_SubPractices[C],Practices_SubPractices[CP],"7",Practices_SubPractices[Org],"Medium"),IF(AND(Practices_SubPractices[CP]=8,Practices_SubPractices[Org] ="Medium"),SUMIFS(Practices_SubPractices[C],Practices_SubPractices[CP],"8",Practices_SubPractices[Org],"Medium"),IF(AND(Practices_SubPractices[CP]=9,Practices_SubPractices[Org] ="Medium"),SUMIFS(Practices_SubPractices[C],Practices_SubPractices[CP],"9",Practices_SubPractices[Org],"Medium"),IF(AND(Practices_SubPractices[CP]=10,Practices_SubPractices[Org] ="Medium"),SUMIFS(Practices_SubPractices[C],Practices_SubPractices[CP],"10",Practices_SubPractices[Org],"Medium"),IF(AND(Practices_SubPractices[CP]=1,Practices_SubPractices[Org]="Large"),SUMIFS(Practices_SubPractices[C],Practices_SubPractices[CP],"1",Practices_SubPractices[Org],"Large"),IF(AND(Practices_SubPractices[CP]=2,Practices_SubPractices[Org]="Large"),SUMIFS(Practices_SubPractices[C],Practices_SubPractices[CP],"2",Practices_SubPractices[Org],"Large"),IF(AND(Practices_SubPractices[CP]=3,Practices_SubPractices[Org]="Large"),SUMIFS(Practices_SubPractices[C],Practices_SubPractices[CP],"3",Practices_SubPractices[Org],"Large"),IF(AND(Practices_SubPractices[CP]=4,Practices_SubPractices[Org]="Large"),SUMIFS(Practices_SubPractices[C],Practices_SubPractices[CP],"4",Practices_SubPractices[Org],"Large"),IF(AND(Practices_SubPractices[CP]=5,Practices_SubPractices[Org]="Large"),SUMIFS(Practices_SubPractices[C],Practices_SubPractices[CP],"5",Practices_SubPractices[Org],"Large"),IF(AND(Practices_SubPractices[CP]=6,Practices_SubPractices[Org]="Large"),SUMIFS(Practices_SubPractices[C],Practices_SubPractices[CP],"6",Practices_SubPractices[Org],"Large"),IF(AND(Practices_SubPractices[CP]=7,Practices_SubPractices[Org] ="Large"),SUMIFS(Practices_SubPractices[C],Practices_SubPractices[CP],"7",Practices_SubPractices[Org],"Large"),IF(AND(Practices_SubPractices[CP]=8,Practices_SubPractices[Org] ="Large"),SUMIFS(Practices_SubPractices[C],Practices_SubPractices[CP],"8",Practices_SubPractices[Org],"Large"),IF(AND(Practices_SubPractices[CP]=9,Practices_SubPractices[Org] ="Large"),SUMIFS(Practices_SubPractices[C],Practices_SubPractices[CP],"9",Practices_SubPractices[Org],"Large"),IF(AND(Practices_SubPractices[CP]=10,Practices_SubPractices[Org] ="Large"),SUMIFS(Practices_SubPractices[C],Practices_SubPractices[CP],"10",Practices_SubPractices[Org],"Large"),"TBD"))))))))))))))))))))))))))))))</f>
        <v>0</v>
      </c>
      <c r="Q28" s="77">
        <f>IF(AND(Practices_SubPractices[CP]=1,Practices_SubPractices[Org]="Small"),SUMIFS(Practices_SubPractices[D],Practices_SubPractices[CP],"1",Practices_SubPractices[Org],"Small"),IF(AND(Practices_SubPractices[CP]=2,Practices_SubPractices[Org]="Small"),SUMIFS(Practices_SubPractices[D],Practices_SubPractices[CP],"2",Practices_SubPractices[Org],"Small"),IF(AND(Practices_SubPractices[CP]=3,Practices_SubPractices[Org]="Small"),SUMIFS(Practices_SubPractices[D],Practices_SubPractices[CP],"3",Practices_SubPractices[Org],"Small"),IF(AND(Practices_SubPractices[CP]=4,Practices_SubPractices[Org]="Small"),SUMIFS(Practices_SubPractices[D],Practices_SubPractices[CP],"4",Practices_SubPractices[Org],"Small"),IF(AND(Practices_SubPractices[CP]=5,Practices_SubPractices[Org]="Small"),SUMIFS(Practices_SubPractices[D],Practices_SubPractices[CP],"5",Practices_SubPractices[Org],"Small"),IF(AND(Practices_SubPractices[CP]=6,Practices_SubPractices[Org]="Small"),SUMIFS(Practices_SubPractices[D],Practices_SubPractices[CP],"6",Practices_SubPractices[Org],"Small"),IF(AND(Practices_SubPractices[CP]=7,Practices_SubPractices[Org] ="Small"),SUMIFS(Practices_SubPractices[D],Practices_SubPractices[CP],"7",Practices_SubPractices[Org],"Small"),IF(AND(Practices_SubPractices[CP]=8,Practices_SubPractices[Org] ="Small"),SUMIFS(Practices_SubPractices[D],Practices_SubPractices[CP],"8",Practices_SubPractices[Org],"Small"),IF(AND(Practices_SubPractices[CP]=9,Practices_SubPractices[Org] ="Small"),SUMIFS(Practices_SubPractices[D],Practices_SubPractices[CP],"9",Practices_SubPractices[Org],"Small"),IF(AND(Practices_SubPractices[CP]=10,Practices_SubPractices[Org] ="Small"),SUMIFS(Practices_SubPractices[D],Practices_SubPractices[CP],"10",Practices_SubPractices[Org],"Small"),IF(AND(Practices_SubPractices[CP]=1,Practices_SubPractices[Org]="Medium"),SUMIFS(Practices_SubPractices[D],Practices_SubPractices[CP],"1",Practices_SubPractices[Org],"Medium"),IF(AND(Practices_SubPractices[CP]=2,Practices_SubPractices[Org]="Medium"),SUMIFS(Practices_SubPractices[D],Practices_SubPractices[CP],"2",Practices_SubPractices[Org],"Medium"),IF(AND(Practices_SubPractices[CP]=3,Practices_SubPractices[Org]="Medium"),SUMIFS(Practices_SubPractices[D],Practices_SubPractices[CP],"3",Practices_SubPractices[Org],"Medium"),IF(AND(Practices_SubPractices[CP]=4,Practices_SubPractices[Org]="Medium"),SUMIFS(Practices_SubPractices[D],Practices_SubPractices[CP],"4",Practices_SubPractices[Org],"Medium"),IF(AND(Practices_SubPractices[CP]=5,Practices_SubPractices[Org]="Medium"),SUMIFS(Practices_SubPractices[D],Practices_SubPractices[CP],"5",Practices_SubPractices[Org],"Medium"),IF(AND(Practices_SubPractices[CP]=6,Practices_SubPractices[Org]="Medium"),SUMIFS(Practices_SubPractices[D],Practices_SubPractices[CP],"6",Practices_SubPractices[Org],"Medium"),IF(AND(Practices_SubPractices[CP]=7,Practices_SubPractices[Org] ="Medium"),SUMIFS(Practices_SubPractices[D],Practices_SubPractices[CP],"7",Practices_SubPractices[Org],"Medium"),IF(AND(Practices_SubPractices[CP]=8,Practices_SubPractices[Org] ="Medium"),SUMIFS(Practices_SubPractices[D],Practices_SubPractices[CP],"8",Practices_SubPractices[Org],"Medium"),IF(AND(Practices_SubPractices[CP]=9,Practices_SubPractices[Org] ="Medium"),SUMIFS(Practices_SubPractices[D],Practices_SubPractices[CP],"9",Practices_SubPractices[Org],"Medium"),IF(AND(Practices_SubPractices[CP]=10,Practices_SubPractices[Org] ="Medium"),SUMIFS(Practices_SubPractices[D],Practices_SubPractices[CP],"10",Practices_SubPractices[Org],"Medium"),IF(AND(Practices_SubPractices[CP]=1,Practices_SubPractices[Org]="Large"),SUMIFS(Practices_SubPractices[D],Practices_SubPractices[CP],"1",Practices_SubPractices[Org],"Large"),IF(AND(Practices_SubPractices[CP]=2,Practices_SubPractices[Org]="Large"),SUMIFS(Practices_SubPractices[D],Practices_SubPractices[CP],"2",Practices_SubPractices[Org],"Large"),IF(AND(Practices_SubPractices[CP]=3,Practices_SubPractices[Org]="Large"),SUMIFS(Practices_SubPractices[D],Practices_SubPractices[CP],"3",Practices_SubPractices[Org],"Large"),IF(AND(Practices_SubPractices[CP]=4,Practices_SubPractices[Org]="Large"),SUMIFS(Practices_SubPractices[D],Practices_SubPractices[CP],"4",Practices_SubPractices[Org],"Large"),IF(AND(Practices_SubPractices[CP]=5,Practices_SubPractices[Org]="Large"),SUMIFS(Practices_SubPractices[D],Practices_SubPractices[CP],"5",Practices_SubPractices[Org],"Large"),IF(AND(Practices_SubPractices[CP]=6,Practices_SubPractices[Org]="Large"),SUMIFS(Practices_SubPractices[D],Practices_SubPractices[CP],"6",Practices_SubPractices[Org],"Large"),IF(AND(Practices_SubPractices[CP]=7,Practices_SubPractices[Org] ="Large"),SUMIFS(Practices_SubPractices[D],Practices_SubPractices[CP],"7",Practices_SubPractices[Org],"Large"),IF(AND(Practices_SubPractices[CP]=8,Practices_SubPractices[Org] ="Large"),SUMIFS(Practices_SubPractices[D],Practices_SubPractices[CP],"8",Practices_SubPractices[Org],"Large"),IF(AND(Practices_SubPractices[CP]=9,Practices_SubPractices[Org] ="Large"),SUMIFS(Practices_SubPractices[D],Practices_SubPractices[CP],"9",Practices_SubPractices[Org],"Large"),IF(AND(Practices_SubPractices[CP]=10,Practices_SubPractices[Org] ="Large"),SUMIFS(Practices_SubPractices[D],Practices_SubPractices[CP],"10",Practices_SubPractices[Org],"Large"),"TBD"))))))))))))))))))))))))))))))</f>
        <v>0</v>
      </c>
      <c r="R28" s="77">
        <f>IF(AND(Practices_SubPractices[CP]=1,Practices_SubPractices[Org]="Small"),SUMIFS(Practices_SubPractices[E],Practices_SubPractices[CP],"1",Practices_SubPractices[Org],"Small"),IF(AND(Practices_SubPractices[CP]=2,Practices_SubPractices[Org]="Small"),SUMIFS(Practices_SubPractices[E],Practices_SubPractices[CP],"2",Practices_SubPractices[Org],"Small"),IF(AND(Practices_SubPractices[CP]=3,Practices_SubPractices[Org]="Small"),SUMIFS(Practices_SubPractices[E],Practices_SubPractices[CP],"3",Practices_SubPractices[Org],"Small"),IF(AND(Practices_SubPractices[CP]=4,Practices_SubPractices[Org]="Small"),SUMIFS(Practices_SubPractices[E],Practices_SubPractices[CP],"4",Practices_SubPractices[Org],"Small"),IF(AND(Practices_SubPractices[CP]=5,Practices_SubPractices[Org]="Small"),SUMIFS(Practices_SubPractices[E],Practices_SubPractices[CP],"5",Practices_SubPractices[Org],"Small"),IF(AND(Practices_SubPractices[CP]=6,Practices_SubPractices[Org]="Small"),SUMIFS(Practices_SubPractices[E],Practices_SubPractices[CP],"6",Practices_SubPractices[Org],"Small"),IF(AND(Practices_SubPractices[CP]=7,Practices_SubPractices[Org] ="Small"),SUMIFS(Practices_SubPractices[E],Practices_SubPractices[CP],"7",Practices_SubPractices[Org],"Small"),IF(AND(Practices_SubPractices[CP]=8,Practices_SubPractices[Org] ="Small"),SUMIFS(Practices_SubPractices[E],Practices_SubPractices[CP],"8",Practices_SubPractices[Org],"Small"),IF(AND(Practices_SubPractices[CP]=9,Practices_SubPractices[Org] ="Small"),SUMIFS(Practices_SubPractices[E],Practices_SubPractices[CP],"9",Practices_SubPractices[Org],"Small"),IF(AND(Practices_SubPractices[CP]=10,Practices_SubPractices[Org] ="Small"),SUMIFS(Practices_SubPractices[E],Practices_SubPractices[CP],"10",Practices_SubPractices[Org],"Small"),IF(AND(Practices_SubPractices[CP]=1,Practices_SubPractices[Org]="Medium"),SUMIFS(Practices_SubPractices[E],Practices_SubPractices[CP],"1",Practices_SubPractices[Org],"Medium"),IF(AND(Practices_SubPractices[CP]=2,Practices_SubPractices[Org]="Medium"),SUMIFS(Practices_SubPractices[E],Practices_SubPractices[CP],"2",Practices_SubPractices[Org],"Medium"),IF(AND(Practices_SubPractices[CP]=3,Practices_SubPractices[Org]="Medium"),SUMIFS(Practices_SubPractices[E],Practices_SubPractices[CP],"3",Practices_SubPractices[Org],"Medium"),IF(AND(Practices_SubPractices[CP]=4,Practices_SubPractices[Org]="Medium"),SUMIFS(Practices_SubPractices[E],Practices_SubPractices[CP],"4",Practices_SubPractices[Org],"Medium"),IF(AND(Practices_SubPractices[CP]=5,Practices_SubPractices[Org]="Medium"),SUMIFS(Practices_SubPractices[E],Practices_SubPractices[CP],"5",Practices_SubPractices[Org],"Medium"),IF(AND(Practices_SubPractices[CP]=6,Practices_SubPractices[Org]="Medium"),SUMIFS(Practices_SubPractices[E],Practices_SubPractices[CP],"6",Practices_SubPractices[Org],"Medium"),IF(AND(Practices_SubPractices[CP]=7,Practices_SubPractices[Org] ="Medium"),SUMIFS(Practices_SubPractices[E],Practices_SubPractices[CP],"7",Practices_SubPractices[Org],"Medium"),IF(AND(Practices_SubPractices[CP]=8,Practices_SubPractices[Org] ="Medium"),SUMIFS(Practices_SubPractices[E],Practices_SubPractices[CP],"8",Practices_SubPractices[Org],"Medium"),IF(AND(Practices_SubPractices[CP]=9,Practices_SubPractices[Org] ="Medium"),SUMIFS(Practices_SubPractices[E],Practices_SubPractices[CP],"9",Practices_SubPractices[Org],"Medium"),IF(AND(Practices_SubPractices[CP]=10,Practices_SubPractices[Org] ="Medium"),SUMIFS(Practices_SubPractices[E],Practices_SubPractices[CP],"10",Practices_SubPractices[Org],"Medium"),IF(AND(Practices_SubPractices[CP]=1,Practices_SubPractices[Org]="Large"),SUMIFS(Practices_SubPractices[E],Practices_SubPractices[CP],"1",Practices_SubPractices[Org],"Large"),IF(AND(Practices_SubPractices[CP]=2,Practices_SubPractices[Org]="Large"),SUMIFS(Practices_SubPractices[E],Practices_SubPractices[CP],"2",Practices_SubPractices[Org],"Large"),IF(AND(Practices_SubPractices[CP]=3,Practices_SubPractices[Org]="Large"),SUMIFS(Practices_SubPractices[E],Practices_SubPractices[CP],"3",Practices_SubPractices[Org],"Large"),IF(AND(Practices_SubPractices[CP]=4,Practices_SubPractices[Org]="Large"),SUMIFS(Practices_SubPractices[E],Practices_SubPractices[CP],"4",Practices_SubPractices[Org],"Large"),IF(AND(Practices_SubPractices[CP]=5,Practices_SubPractices[Org]="Large"),SUMIFS(Practices_SubPractices[E],Practices_SubPractices[CP],"5",Practices_SubPractices[Org],"Large"),IF(AND(Practices_SubPractices[CP]=6,Practices_SubPractices[Org]="Large"),SUMIFS(Practices_SubPractices[E],Practices_SubPractices[CP],"6",Practices_SubPractices[Org],"Large"),IF(AND(Practices_SubPractices[CP]=7,Practices_SubPractices[Org] ="Large"),SUMIFS(Practices_SubPractices[E],Practices_SubPractices[CP],"7",Practices_SubPractices[Org],"Large"),IF(AND(Practices_SubPractices[CP]=8,Practices_SubPractices[Org] ="Large"),SUMIFS(Practices_SubPractices[E],Practices_SubPractices[CP],"8",Practices_SubPractices[Org],"Large"),IF(AND(Practices_SubPractices[CP]=9,Practices_SubPractices[Org] ="Large"),SUMIFS(Practices_SubPractices[E],Practices_SubPractices[CP],"9",Practices_SubPractices[Org],"Large"),IF(AND(Practices_SubPractices[CP]=10,Practices_SubPractices[Org] ="Large"),SUMIFS(Practices_SubPractices[E],Practices_SubPractices[CP],"10",Practices_SubPractices[Org],"Large"),"TBD"))))))))))))))))))))))))))))))</f>
        <v>2</v>
      </c>
      <c r="S28" s="84" t="s">
        <v>403</v>
      </c>
    </row>
    <row r="29" spans="1:19" x14ac:dyDescent="0.35">
      <c r="A29" s="73">
        <v>19</v>
      </c>
      <c r="B29" s="73">
        <v>10</v>
      </c>
      <c r="C29" s="73" t="s">
        <v>10</v>
      </c>
      <c r="D29" s="73" t="str">
        <f>Practices_SubPractices[[#This Row],[CP]]&amp;LEFT(Practices_SubPractices[[#This Row],[Org]],1)</f>
        <v>10S</v>
      </c>
      <c r="E29" s="73" t="s">
        <v>265</v>
      </c>
      <c r="F29" s="74" t="s">
        <v>48</v>
      </c>
      <c r="G29" s="74" t="s">
        <v>28</v>
      </c>
      <c r="H29" s="74" t="s">
        <v>191</v>
      </c>
      <c r="I29" s="75">
        <v>1</v>
      </c>
      <c r="J29" s="75">
        <v>1</v>
      </c>
      <c r="K29" s="75">
        <v>1</v>
      </c>
      <c r="L29" s="75">
        <v>1</v>
      </c>
      <c r="M29" s="75">
        <v>1</v>
      </c>
      <c r="N29" s="76"/>
      <c r="O29" s="77">
        <f>IF(AND(Practices_SubPractices[CP]=1,Practices_SubPractices[Org]="Small"),SUMIFS(Practices_SubPractices[B],Practices_SubPractices[CP],"1",Practices_SubPractices[Org],"Small"),IF(AND(Practices_SubPractices[CP]=2,Practices_SubPractices[Org]="Small"),SUMIFS(Practices_SubPractices[B],Practices_SubPractices[CP],"2",Practices_SubPractices[Org],"Small"),IF(AND(Practices_SubPractices[CP]=3,Practices_SubPractices[Org]="Small"),SUMIFS(Practices_SubPractices[B],Practices_SubPractices[CP],"3",Practices_SubPractices[Org],"Small"),IF(AND(Practices_SubPractices[CP]=4,Practices_SubPractices[Org]="Small"),SUMIFS(Practices_SubPractices[B],Practices_SubPractices[CP],"4",Practices_SubPractices[Org],"Small"),IF(AND(Practices_SubPractices[CP]=5,Practices_SubPractices[Org]="Small"),SUMIFS(Practices_SubPractices[B],Practices_SubPractices[CP],"5",Practices_SubPractices[Org],"Small"),IF(AND(Practices_SubPractices[CP]=6,Practices_SubPractices[Org]="Small"),SUMIFS(Practices_SubPractices[B],Practices_SubPractices[CP],"6",Practices_SubPractices[Org],"Small"),IF(AND(Practices_SubPractices[CP]=7,Practices_SubPractices[Org] ="Small"),SUMIFS(Practices_SubPractices[B],Practices_SubPractices[CP],"7",Practices_SubPractices[Org],"Small"),IF(AND(Practices_SubPractices[CP]=8,Practices_SubPractices[Org] ="Small"),SUMIFS(Practices_SubPractices[B],Practices_SubPractices[CP],"8",Practices_SubPractices[Org],"Small"),IF(AND(Practices_SubPractices[CP]=9,Practices_SubPractices[Org] ="Small"),SUMIFS(Practices_SubPractices[B],Practices_SubPractices[CP],"9",Practices_SubPractices[Org],"Small"),IF(AND(Practices_SubPractices[CP]=10,Practices_SubPractices[Org] ="Small"),SUMIFS(Practices_SubPractices[B],Practices_SubPractices[CP],"10",Practices_SubPractices[Org],"Small"),IF(AND(Practices_SubPractices[CP]=1,Practices_SubPractices[Org]="Medium"),SUMIFS(Practices_SubPractices[B],Practices_SubPractices[CP],"1",Practices_SubPractices[Org],"Medium"),IF(AND(Practices_SubPractices[CP]=2,Practices_SubPractices[Org]="Medium"),SUMIFS(Practices_SubPractices[B],Practices_SubPractices[CP],"2",Practices_SubPractices[Org],"Medium"),IF(AND(Practices_SubPractices[CP]=3,Practices_SubPractices[Org]="Medium"),SUMIFS(Practices_SubPractices[B],Practices_SubPractices[CP],"3",Practices_SubPractices[Org],"Medium"),IF(AND(Practices_SubPractices[CP]=4,Practices_SubPractices[Org]="Medium"),SUMIFS(Practices_SubPractices[B],Practices_SubPractices[CP],"4",Practices_SubPractices[Org],"Medium"),IF(AND(Practices_SubPractices[CP]=5,Practices_SubPractices[Org]="Medium"),SUMIFS(Practices_SubPractices[B],Practices_SubPractices[CP],"5",Practices_SubPractices[Org],"Medium"),IF(AND(Practices_SubPractices[CP]=6,Practices_SubPractices[Org]="Medium"),SUMIFS(Practices_SubPractices[B],Practices_SubPractices[CP],"6",Practices_SubPractices[Org],"Medium"),IF(AND(Practices_SubPractices[CP]=7,Practices_SubPractices[Org] ="Medium"),SUMIFS(Practices_SubPractices[B],Practices_SubPractices[CP],"7",Practices_SubPractices[Org],"Medium"),IF(AND(Practices_SubPractices[CP]=8,Practices_SubPractices[Org] ="Medium"),SUMIFS(Practices_SubPractices[B],Practices_SubPractices[CP],"8",Practices_SubPractices[Org],"Medium"),IF(AND(Practices_SubPractices[CP]=9,Practices_SubPractices[Org] ="Medium"),SUMIFS(Practices_SubPractices[B],Practices_SubPractices[CP],"9",Practices_SubPractices[Org],"Medium"),IF(AND(Practices_SubPractices[CP]=10,Practices_SubPractices[Org] ="Medium"),SUMIFS(Practices_SubPractices[B],Practices_SubPractices[CP],"10",Practices_SubPractices[Org],"Medium"),IF(AND(Practices_SubPractices[CP]=1,Practices_SubPractices[Org]="Large"),SUMIFS(Practices_SubPractices[B],Practices_SubPractices[CP],"1",Practices_SubPractices[Org],"Large"),IF(AND(Practices_SubPractices[CP]=2,Practices_SubPractices[Org]="Large"),SUMIFS(Practices_SubPractices[B],Practices_SubPractices[CP],"2",Practices_SubPractices[Org],"Large"),IF(AND(Practices_SubPractices[CP]=3,Practices_SubPractices[Org]="Large"),SUMIFS(Practices_SubPractices[B],Practices_SubPractices[CP],"3",Practices_SubPractices[Org],"Large"),IF(AND(Practices_SubPractices[CP]=4,Practices_SubPractices[Org]="Large"),SUMIFS(Practices_SubPractices[B],Practices_SubPractices[CP],"4",Practices_SubPractices[Org],"Large"),IF(AND(Practices_SubPractices[CP]=5,Practices_SubPractices[Org]="Large"),SUMIFS(Practices_SubPractices[B],Practices_SubPractices[CP],"5",Practices_SubPractices[Org],"Large"),IF(AND(Practices_SubPractices[CP]=6,Practices_SubPractices[Org]="Large"),SUMIFS(Practices_SubPractices[B],Practices_SubPractices[CP],"6",Practices_SubPractices[Org],"Large"),IF(AND(Practices_SubPractices[CP]=7,Practices_SubPractices[Org] ="Large"),SUMIFS(Practices_SubPractices[B],Practices_SubPractices[CP],"7",Practices_SubPractices[Org],"Large"),IF(AND(Practices_SubPractices[CP]=8,Practices_SubPractices[Org] ="Large"),SUMIFS(Practices_SubPractices[B],Practices_SubPractices[CP],"8",Practices_SubPractices[Org],"Large"),IF(AND(Practices_SubPractices[CP]=9,Practices_SubPractices[Org] ="Large"),SUMIFS(Practices_SubPractices[B],Practices_SubPractices[CP],"9",Practices_SubPractices[Org],"Large"),IF(AND(Practices_SubPractices[CP]=10,Practices_SubPractices[Org] ="Large"),SUMIFS(Practices_SubPractices[B],Practices_SubPractices[CP],"10",Practices_SubPractices[Org],"Large"),"TBD"))))))))))))))))))))))))))))))</f>
        <v>1</v>
      </c>
      <c r="P29" s="77">
        <f>IF(AND(Practices_SubPractices[CP]=1,Practices_SubPractices[Org]="Small"),SUMIFS(Practices_SubPractices[C],Practices_SubPractices[CP],"1",Practices_SubPractices[Org],"Small"),IF(AND(Practices_SubPractices[CP]=2,Practices_SubPractices[Org]="Small"),SUMIFS(Practices_SubPractices[C],Practices_SubPractices[CP],"2",Practices_SubPractices[Org],"Small"),IF(AND(Practices_SubPractices[CP]=3,Practices_SubPractices[Org]="Small"),SUMIFS(Practices_SubPractices[C],Practices_SubPractices[CP],"3",Practices_SubPractices[Org],"Small"),IF(AND(Practices_SubPractices[CP]=4,Practices_SubPractices[Org]="Small"),SUMIFS(Practices_SubPractices[C],Practices_SubPractices[CP],"4",Practices_SubPractices[Org],"Small"),IF(AND(Practices_SubPractices[CP]=5,Practices_SubPractices[Org]="Small"),SUMIFS(Practices_SubPractices[C],Practices_SubPractices[CP],"5",Practices_SubPractices[Org],"Small"),IF(AND(Practices_SubPractices[CP]=6,Practices_SubPractices[Org]="Small"),SUMIFS(Practices_SubPractices[C],Practices_SubPractices[CP],"6",Practices_SubPractices[Org],"Small"),IF(AND(Practices_SubPractices[CP]=7,Practices_SubPractices[Org] ="Small"),SUMIFS(Practices_SubPractices[C],Practices_SubPractices[CP],"7",Practices_SubPractices[Org],"Small"),IF(AND(Practices_SubPractices[CP]=8,Practices_SubPractices[Org] ="Small"),SUMIFS(Practices_SubPractices[C],Practices_SubPractices[CP],"8",Practices_SubPractices[Org],"Small"),IF(AND(Practices_SubPractices[CP]=9,Practices_SubPractices[Org] ="Small"),SUMIFS(Practices_SubPractices[C],Practices_SubPractices[CP],"9",Practices_SubPractices[Org],"Small"),IF(AND(Practices_SubPractices[CP]=10,Practices_SubPractices[Org] ="Small"),SUMIFS(Practices_SubPractices[C],Practices_SubPractices[CP],"10",Practices_SubPractices[Org],"Small"),IF(AND(Practices_SubPractices[CP]=1,Practices_SubPractices[Org]="Medium"),SUMIFS(Practices_SubPractices[C],Practices_SubPractices[CP],"1",Practices_SubPractices[Org],"Medium"),IF(AND(Practices_SubPractices[CP]=2,Practices_SubPractices[Org]="Medium"),SUMIFS(Practices_SubPractices[C],Practices_SubPractices[CP],"2",Practices_SubPractices[Org],"Medium"),IF(AND(Practices_SubPractices[CP]=3,Practices_SubPractices[Org]="Medium"),SUMIFS(Practices_SubPractices[C],Practices_SubPractices[CP],"3",Practices_SubPractices[Org],"Medium"),IF(AND(Practices_SubPractices[CP]=4,Practices_SubPractices[Org]="Medium"),SUMIFS(Practices_SubPractices[C],Practices_SubPractices[CP],"4",Practices_SubPractices[Org],"Medium"),IF(AND(Practices_SubPractices[CP]=5,Practices_SubPractices[Org]="Medium"),SUMIFS(Practices_SubPractices[C],Practices_SubPractices[CP],"5",Practices_SubPractices[Org],"Medium"),IF(AND(Practices_SubPractices[CP]=6,Practices_SubPractices[Org]="Medium"),SUMIFS(Practices_SubPractices[C],Practices_SubPractices[CP],"6",Practices_SubPractices[Org],"Medium"),IF(AND(Practices_SubPractices[CP]=7,Practices_SubPractices[Org] ="Medium"),SUMIFS(Practices_SubPractices[C],Practices_SubPractices[CP],"7",Practices_SubPractices[Org],"Medium"),IF(AND(Practices_SubPractices[CP]=8,Practices_SubPractices[Org] ="Medium"),SUMIFS(Practices_SubPractices[C],Practices_SubPractices[CP],"8",Practices_SubPractices[Org],"Medium"),IF(AND(Practices_SubPractices[CP]=9,Practices_SubPractices[Org] ="Medium"),SUMIFS(Practices_SubPractices[C],Practices_SubPractices[CP],"9",Practices_SubPractices[Org],"Medium"),IF(AND(Practices_SubPractices[CP]=10,Practices_SubPractices[Org] ="Medium"),SUMIFS(Practices_SubPractices[C],Practices_SubPractices[CP],"10",Practices_SubPractices[Org],"Medium"),IF(AND(Practices_SubPractices[CP]=1,Practices_SubPractices[Org]="Large"),SUMIFS(Practices_SubPractices[C],Practices_SubPractices[CP],"1",Practices_SubPractices[Org],"Large"),IF(AND(Practices_SubPractices[CP]=2,Practices_SubPractices[Org]="Large"),SUMIFS(Practices_SubPractices[C],Practices_SubPractices[CP],"2",Practices_SubPractices[Org],"Large"),IF(AND(Practices_SubPractices[CP]=3,Practices_SubPractices[Org]="Large"),SUMIFS(Practices_SubPractices[C],Practices_SubPractices[CP],"3",Practices_SubPractices[Org],"Large"),IF(AND(Practices_SubPractices[CP]=4,Practices_SubPractices[Org]="Large"),SUMIFS(Practices_SubPractices[C],Practices_SubPractices[CP],"4",Practices_SubPractices[Org],"Large"),IF(AND(Practices_SubPractices[CP]=5,Practices_SubPractices[Org]="Large"),SUMIFS(Practices_SubPractices[C],Practices_SubPractices[CP],"5",Practices_SubPractices[Org],"Large"),IF(AND(Practices_SubPractices[CP]=6,Practices_SubPractices[Org]="Large"),SUMIFS(Practices_SubPractices[C],Practices_SubPractices[CP],"6",Practices_SubPractices[Org],"Large"),IF(AND(Practices_SubPractices[CP]=7,Practices_SubPractices[Org] ="Large"),SUMIFS(Practices_SubPractices[C],Practices_SubPractices[CP],"7",Practices_SubPractices[Org],"Large"),IF(AND(Practices_SubPractices[CP]=8,Practices_SubPractices[Org] ="Large"),SUMIFS(Practices_SubPractices[C],Practices_SubPractices[CP],"8",Practices_SubPractices[Org],"Large"),IF(AND(Practices_SubPractices[CP]=9,Practices_SubPractices[Org] ="Large"),SUMIFS(Practices_SubPractices[C],Practices_SubPractices[CP],"9",Practices_SubPractices[Org],"Large"),IF(AND(Practices_SubPractices[CP]=10,Practices_SubPractices[Org] ="Large"),SUMIFS(Practices_SubPractices[C],Practices_SubPractices[CP],"10",Practices_SubPractices[Org],"Large"),"TBD"))))))))))))))))))))))))))))))</f>
        <v>1</v>
      </c>
      <c r="Q29" s="77">
        <f>IF(AND(Practices_SubPractices[CP]=1,Practices_SubPractices[Org]="Small"),SUMIFS(Practices_SubPractices[D],Practices_SubPractices[CP],"1",Practices_SubPractices[Org],"Small"),IF(AND(Practices_SubPractices[CP]=2,Practices_SubPractices[Org]="Small"),SUMIFS(Practices_SubPractices[D],Practices_SubPractices[CP],"2",Practices_SubPractices[Org],"Small"),IF(AND(Practices_SubPractices[CP]=3,Practices_SubPractices[Org]="Small"),SUMIFS(Practices_SubPractices[D],Practices_SubPractices[CP],"3",Practices_SubPractices[Org],"Small"),IF(AND(Practices_SubPractices[CP]=4,Practices_SubPractices[Org]="Small"),SUMIFS(Practices_SubPractices[D],Practices_SubPractices[CP],"4",Practices_SubPractices[Org],"Small"),IF(AND(Practices_SubPractices[CP]=5,Practices_SubPractices[Org]="Small"),SUMIFS(Practices_SubPractices[D],Practices_SubPractices[CP],"5",Practices_SubPractices[Org],"Small"),IF(AND(Practices_SubPractices[CP]=6,Practices_SubPractices[Org]="Small"),SUMIFS(Practices_SubPractices[D],Practices_SubPractices[CP],"6",Practices_SubPractices[Org],"Small"),IF(AND(Practices_SubPractices[CP]=7,Practices_SubPractices[Org] ="Small"),SUMIFS(Practices_SubPractices[D],Practices_SubPractices[CP],"7",Practices_SubPractices[Org],"Small"),IF(AND(Practices_SubPractices[CP]=8,Practices_SubPractices[Org] ="Small"),SUMIFS(Practices_SubPractices[D],Practices_SubPractices[CP],"8",Practices_SubPractices[Org],"Small"),IF(AND(Practices_SubPractices[CP]=9,Practices_SubPractices[Org] ="Small"),SUMIFS(Practices_SubPractices[D],Practices_SubPractices[CP],"9",Practices_SubPractices[Org],"Small"),IF(AND(Practices_SubPractices[CP]=10,Practices_SubPractices[Org] ="Small"),SUMIFS(Practices_SubPractices[D],Practices_SubPractices[CP],"10",Practices_SubPractices[Org],"Small"),IF(AND(Practices_SubPractices[CP]=1,Practices_SubPractices[Org]="Medium"),SUMIFS(Practices_SubPractices[D],Practices_SubPractices[CP],"1",Practices_SubPractices[Org],"Medium"),IF(AND(Practices_SubPractices[CP]=2,Practices_SubPractices[Org]="Medium"),SUMIFS(Practices_SubPractices[D],Practices_SubPractices[CP],"2",Practices_SubPractices[Org],"Medium"),IF(AND(Practices_SubPractices[CP]=3,Practices_SubPractices[Org]="Medium"),SUMIFS(Practices_SubPractices[D],Practices_SubPractices[CP],"3",Practices_SubPractices[Org],"Medium"),IF(AND(Practices_SubPractices[CP]=4,Practices_SubPractices[Org]="Medium"),SUMIFS(Practices_SubPractices[D],Practices_SubPractices[CP],"4",Practices_SubPractices[Org],"Medium"),IF(AND(Practices_SubPractices[CP]=5,Practices_SubPractices[Org]="Medium"),SUMIFS(Practices_SubPractices[D],Practices_SubPractices[CP],"5",Practices_SubPractices[Org],"Medium"),IF(AND(Practices_SubPractices[CP]=6,Practices_SubPractices[Org]="Medium"),SUMIFS(Practices_SubPractices[D],Practices_SubPractices[CP],"6",Practices_SubPractices[Org],"Medium"),IF(AND(Practices_SubPractices[CP]=7,Practices_SubPractices[Org] ="Medium"),SUMIFS(Practices_SubPractices[D],Practices_SubPractices[CP],"7",Practices_SubPractices[Org],"Medium"),IF(AND(Practices_SubPractices[CP]=8,Practices_SubPractices[Org] ="Medium"),SUMIFS(Practices_SubPractices[D],Practices_SubPractices[CP],"8",Practices_SubPractices[Org],"Medium"),IF(AND(Practices_SubPractices[CP]=9,Practices_SubPractices[Org] ="Medium"),SUMIFS(Practices_SubPractices[D],Practices_SubPractices[CP],"9",Practices_SubPractices[Org],"Medium"),IF(AND(Practices_SubPractices[CP]=10,Practices_SubPractices[Org] ="Medium"),SUMIFS(Practices_SubPractices[D],Practices_SubPractices[CP],"10",Practices_SubPractices[Org],"Medium"),IF(AND(Practices_SubPractices[CP]=1,Practices_SubPractices[Org]="Large"),SUMIFS(Practices_SubPractices[D],Practices_SubPractices[CP],"1",Practices_SubPractices[Org],"Large"),IF(AND(Practices_SubPractices[CP]=2,Practices_SubPractices[Org]="Large"),SUMIFS(Practices_SubPractices[D],Practices_SubPractices[CP],"2",Practices_SubPractices[Org],"Large"),IF(AND(Practices_SubPractices[CP]=3,Practices_SubPractices[Org]="Large"),SUMIFS(Practices_SubPractices[D],Practices_SubPractices[CP],"3",Practices_SubPractices[Org],"Large"),IF(AND(Practices_SubPractices[CP]=4,Practices_SubPractices[Org]="Large"),SUMIFS(Practices_SubPractices[D],Practices_SubPractices[CP],"4",Practices_SubPractices[Org],"Large"),IF(AND(Practices_SubPractices[CP]=5,Practices_SubPractices[Org]="Large"),SUMIFS(Practices_SubPractices[D],Practices_SubPractices[CP],"5",Practices_SubPractices[Org],"Large"),IF(AND(Practices_SubPractices[CP]=6,Practices_SubPractices[Org]="Large"),SUMIFS(Practices_SubPractices[D],Practices_SubPractices[CP],"6",Practices_SubPractices[Org],"Large"),IF(AND(Practices_SubPractices[CP]=7,Practices_SubPractices[Org] ="Large"),SUMIFS(Practices_SubPractices[D],Practices_SubPractices[CP],"7",Practices_SubPractices[Org],"Large"),IF(AND(Practices_SubPractices[CP]=8,Practices_SubPractices[Org] ="Large"),SUMIFS(Practices_SubPractices[D],Practices_SubPractices[CP],"8",Practices_SubPractices[Org],"Large"),IF(AND(Practices_SubPractices[CP]=9,Practices_SubPractices[Org] ="Large"),SUMIFS(Practices_SubPractices[D],Practices_SubPractices[CP],"9",Practices_SubPractices[Org],"Large"),IF(AND(Practices_SubPractices[CP]=10,Practices_SubPractices[Org] ="Large"),SUMIFS(Practices_SubPractices[D],Practices_SubPractices[CP],"10",Practices_SubPractices[Org],"Large"),"TBD"))))))))))))))))))))))))))))))</f>
        <v>1</v>
      </c>
      <c r="R29" s="77">
        <f>IF(AND(Practices_SubPractices[CP]=1,Practices_SubPractices[Org]="Small"),SUMIFS(Practices_SubPractices[E],Practices_SubPractices[CP],"1",Practices_SubPractices[Org],"Small"),IF(AND(Practices_SubPractices[CP]=2,Practices_SubPractices[Org]="Small"),SUMIFS(Practices_SubPractices[E],Practices_SubPractices[CP],"2",Practices_SubPractices[Org],"Small"),IF(AND(Practices_SubPractices[CP]=3,Practices_SubPractices[Org]="Small"),SUMIFS(Practices_SubPractices[E],Practices_SubPractices[CP],"3",Practices_SubPractices[Org],"Small"),IF(AND(Practices_SubPractices[CP]=4,Practices_SubPractices[Org]="Small"),SUMIFS(Practices_SubPractices[E],Practices_SubPractices[CP],"4",Practices_SubPractices[Org],"Small"),IF(AND(Practices_SubPractices[CP]=5,Practices_SubPractices[Org]="Small"),SUMIFS(Practices_SubPractices[E],Practices_SubPractices[CP],"5",Practices_SubPractices[Org],"Small"),IF(AND(Practices_SubPractices[CP]=6,Practices_SubPractices[Org]="Small"),SUMIFS(Practices_SubPractices[E],Practices_SubPractices[CP],"6",Practices_SubPractices[Org],"Small"),IF(AND(Practices_SubPractices[CP]=7,Practices_SubPractices[Org] ="Small"),SUMIFS(Practices_SubPractices[E],Practices_SubPractices[CP],"7",Practices_SubPractices[Org],"Small"),IF(AND(Practices_SubPractices[CP]=8,Practices_SubPractices[Org] ="Small"),SUMIFS(Practices_SubPractices[E],Practices_SubPractices[CP],"8",Practices_SubPractices[Org],"Small"),IF(AND(Practices_SubPractices[CP]=9,Practices_SubPractices[Org] ="Small"),SUMIFS(Practices_SubPractices[E],Practices_SubPractices[CP],"9",Practices_SubPractices[Org],"Small"),IF(AND(Practices_SubPractices[CP]=10,Practices_SubPractices[Org] ="Small"),SUMIFS(Practices_SubPractices[E],Practices_SubPractices[CP],"10",Practices_SubPractices[Org],"Small"),IF(AND(Practices_SubPractices[CP]=1,Practices_SubPractices[Org]="Medium"),SUMIFS(Practices_SubPractices[E],Practices_SubPractices[CP],"1",Practices_SubPractices[Org],"Medium"),IF(AND(Practices_SubPractices[CP]=2,Practices_SubPractices[Org]="Medium"),SUMIFS(Practices_SubPractices[E],Practices_SubPractices[CP],"2",Practices_SubPractices[Org],"Medium"),IF(AND(Practices_SubPractices[CP]=3,Practices_SubPractices[Org]="Medium"),SUMIFS(Practices_SubPractices[E],Practices_SubPractices[CP],"3",Practices_SubPractices[Org],"Medium"),IF(AND(Practices_SubPractices[CP]=4,Practices_SubPractices[Org]="Medium"),SUMIFS(Practices_SubPractices[E],Practices_SubPractices[CP],"4",Practices_SubPractices[Org],"Medium"),IF(AND(Practices_SubPractices[CP]=5,Practices_SubPractices[Org]="Medium"),SUMIFS(Practices_SubPractices[E],Practices_SubPractices[CP],"5",Practices_SubPractices[Org],"Medium"),IF(AND(Practices_SubPractices[CP]=6,Practices_SubPractices[Org]="Medium"),SUMIFS(Practices_SubPractices[E],Practices_SubPractices[CP],"6",Practices_SubPractices[Org],"Medium"),IF(AND(Practices_SubPractices[CP]=7,Practices_SubPractices[Org] ="Medium"),SUMIFS(Practices_SubPractices[E],Practices_SubPractices[CP],"7",Practices_SubPractices[Org],"Medium"),IF(AND(Practices_SubPractices[CP]=8,Practices_SubPractices[Org] ="Medium"),SUMIFS(Practices_SubPractices[E],Practices_SubPractices[CP],"8",Practices_SubPractices[Org],"Medium"),IF(AND(Practices_SubPractices[CP]=9,Practices_SubPractices[Org] ="Medium"),SUMIFS(Practices_SubPractices[E],Practices_SubPractices[CP],"9",Practices_SubPractices[Org],"Medium"),IF(AND(Practices_SubPractices[CP]=10,Practices_SubPractices[Org] ="Medium"),SUMIFS(Practices_SubPractices[E],Practices_SubPractices[CP],"10",Practices_SubPractices[Org],"Medium"),IF(AND(Practices_SubPractices[CP]=1,Practices_SubPractices[Org]="Large"),SUMIFS(Practices_SubPractices[E],Practices_SubPractices[CP],"1",Practices_SubPractices[Org],"Large"),IF(AND(Practices_SubPractices[CP]=2,Practices_SubPractices[Org]="Large"),SUMIFS(Practices_SubPractices[E],Practices_SubPractices[CP],"2",Practices_SubPractices[Org],"Large"),IF(AND(Practices_SubPractices[CP]=3,Practices_SubPractices[Org]="Large"),SUMIFS(Practices_SubPractices[E],Practices_SubPractices[CP],"3",Practices_SubPractices[Org],"Large"),IF(AND(Practices_SubPractices[CP]=4,Practices_SubPractices[Org]="Large"),SUMIFS(Practices_SubPractices[E],Practices_SubPractices[CP],"4",Practices_SubPractices[Org],"Large"),IF(AND(Practices_SubPractices[CP]=5,Practices_SubPractices[Org]="Large"),SUMIFS(Practices_SubPractices[E],Practices_SubPractices[CP],"5",Practices_SubPractices[Org],"Large"),IF(AND(Practices_SubPractices[CP]=6,Practices_SubPractices[Org]="Large"),SUMIFS(Practices_SubPractices[E],Practices_SubPractices[CP],"6",Practices_SubPractices[Org],"Large"),IF(AND(Practices_SubPractices[CP]=7,Practices_SubPractices[Org] ="Large"),SUMIFS(Practices_SubPractices[E],Practices_SubPractices[CP],"7",Practices_SubPractices[Org],"Large"),IF(AND(Practices_SubPractices[CP]=8,Practices_SubPractices[Org] ="Large"),SUMIFS(Practices_SubPractices[E],Practices_SubPractices[CP],"8",Practices_SubPractices[Org],"Large"),IF(AND(Practices_SubPractices[CP]=9,Practices_SubPractices[Org] ="Large"),SUMIFS(Practices_SubPractices[E],Practices_SubPractices[CP],"9",Practices_SubPractices[Org],"Large"),IF(AND(Practices_SubPractices[CP]=10,Practices_SubPractices[Org] ="Large"),SUMIFS(Practices_SubPractices[E],Practices_SubPractices[CP],"10",Practices_SubPractices[Org],"Large"),"TBD"))))))))))))))))))))))))))))))</f>
        <v>1</v>
      </c>
      <c r="S29" s="84" t="s">
        <v>404</v>
      </c>
    </row>
    <row r="30" spans="1:19" ht="29" x14ac:dyDescent="0.35">
      <c r="A30" s="73">
        <v>20</v>
      </c>
      <c r="B30" s="73">
        <v>1</v>
      </c>
      <c r="C30" s="73" t="s">
        <v>11</v>
      </c>
      <c r="D30" s="73" t="str">
        <f>Practices_SubPractices[[#This Row],[CP]]&amp;LEFT(Practices_SubPractices[[#This Row],[Org]],1)</f>
        <v>1M</v>
      </c>
      <c r="E30" s="73" t="s">
        <v>265</v>
      </c>
      <c r="F30" s="74" t="s">
        <v>54</v>
      </c>
      <c r="G30" s="74" t="s">
        <v>55</v>
      </c>
      <c r="H30" s="74" t="s">
        <v>178</v>
      </c>
      <c r="I30" s="75">
        <v>2</v>
      </c>
      <c r="J30" s="75">
        <v>2</v>
      </c>
      <c r="K30" s="75">
        <v>0</v>
      </c>
      <c r="L30" s="75">
        <v>1</v>
      </c>
      <c r="M30" s="75">
        <v>0</v>
      </c>
      <c r="N30" s="76"/>
      <c r="O30" s="77">
        <f>IF(AND(Practices_SubPractices[CP]=1,Practices_SubPractices[Org]="Small"),SUMIFS(Practices_SubPractices[B],Practices_SubPractices[CP],"1",Practices_SubPractices[Org],"Small"),IF(AND(Practices_SubPractices[CP]=2,Practices_SubPractices[Org]="Small"),SUMIFS(Practices_SubPractices[B],Practices_SubPractices[CP],"2",Practices_SubPractices[Org],"Small"),IF(AND(Practices_SubPractices[CP]=3,Practices_SubPractices[Org]="Small"),SUMIFS(Practices_SubPractices[B],Practices_SubPractices[CP],"3",Practices_SubPractices[Org],"Small"),IF(AND(Practices_SubPractices[CP]=4,Practices_SubPractices[Org]="Small"),SUMIFS(Practices_SubPractices[B],Practices_SubPractices[CP],"4",Practices_SubPractices[Org],"Small"),IF(AND(Practices_SubPractices[CP]=5,Practices_SubPractices[Org]="Small"),SUMIFS(Practices_SubPractices[B],Practices_SubPractices[CP],"5",Practices_SubPractices[Org],"Small"),IF(AND(Practices_SubPractices[CP]=6,Practices_SubPractices[Org]="Small"),SUMIFS(Practices_SubPractices[B],Practices_SubPractices[CP],"6",Practices_SubPractices[Org],"Small"),IF(AND(Practices_SubPractices[CP]=7,Practices_SubPractices[Org] ="Small"),SUMIFS(Practices_SubPractices[B],Practices_SubPractices[CP],"7",Practices_SubPractices[Org],"Small"),IF(AND(Practices_SubPractices[CP]=8,Practices_SubPractices[Org] ="Small"),SUMIFS(Practices_SubPractices[B],Practices_SubPractices[CP],"8",Practices_SubPractices[Org],"Small"),IF(AND(Practices_SubPractices[CP]=9,Practices_SubPractices[Org] ="Small"),SUMIFS(Practices_SubPractices[B],Practices_SubPractices[CP],"9",Practices_SubPractices[Org],"Small"),IF(AND(Practices_SubPractices[CP]=10,Practices_SubPractices[Org] ="Small"),SUMIFS(Practices_SubPractices[B],Practices_SubPractices[CP],"10",Practices_SubPractices[Org],"Small"),IF(AND(Practices_SubPractices[CP]=1,Practices_SubPractices[Org]="Medium"),SUMIFS(Practices_SubPractices[B],Practices_SubPractices[CP],"1",Practices_SubPractices[Org],"Medium"),IF(AND(Practices_SubPractices[CP]=2,Practices_SubPractices[Org]="Medium"),SUMIFS(Practices_SubPractices[B],Practices_SubPractices[CP],"2",Practices_SubPractices[Org],"Medium"),IF(AND(Practices_SubPractices[CP]=3,Practices_SubPractices[Org]="Medium"),SUMIFS(Practices_SubPractices[B],Practices_SubPractices[CP],"3",Practices_SubPractices[Org],"Medium"),IF(AND(Practices_SubPractices[CP]=4,Practices_SubPractices[Org]="Medium"),SUMIFS(Practices_SubPractices[B],Practices_SubPractices[CP],"4",Practices_SubPractices[Org],"Medium"),IF(AND(Practices_SubPractices[CP]=5,Practices_SubPractices[Org]="Medium"),SUMIFS(Practices_SubPractices[B],Practices_SubPractices[CP],"5",Practices_SubPractices[Org],"Medium"),IF(AND(Practices_SubPractices[CP]=6,Practices_SubPractices[Org]="Medium"),SUMIFS(Practices_SubPractices[B],Practices_SubPractices[CP],"6",Practices_SubPractices[Org],"Medium"),IF(AND(Practices_SubPractices[CP]=7,Practices_SubPractices[Org] ="Medium"),SUMIFS(Practices_SubPractices[B],Practices_SubPractices[CP],"7",Practices_SubPractices[Org],"Medium"),IF(AND(Practices_SubPractices[CP]=8,Practices_SubPractices[Org] ="Medium"),SUMIFS(Practices_SubPractices[B],Practices_SubPractices[CP],"8",Practices_SubPractices[Org],"Medium"),IF(AND(Practices_SubPractices[CP]=9,Practices_SubPractices[Org] ="Medium"),SUMIFS(Practices_SubPractices[B],Practices_SubPractices[CP],"9",Practices_SubPractices[Org],"Medium"),IF(AND(Practices_SubPractices[CP]=10,Practices_SubPractices[Org] ="Medium"),SUMIFS(Practices_SubPractices[B],Practices_SubPractices[CP],"10",Practices_SubPractices[Org],"Medium"),IF(AND(Practices_SubPractices[CP]=1,Practices_SubPractices[Org]="Large"),SUMIFS(Practices_SubPractices[B],Practices_SubPractices[CP],"1",Practices_SubPractices[Org],"Large"),IF(AND(Practices_SubPractices[CP]=2,Practices_SubPractices[Org]="Large"),SUMIFS(Practices_SubPractices[B],Practices_SubPractices[CP],"2",Practices_SubPractices[Org],"Large"),IF(AND(Practices_SubPractices[CP]=3,Practices_SubPractices[Org]="Large"),SUMIFS(Practices_SubPractices[B],Practices_SubPractices[CP],"3",Practices_SubPractices[Org],"Large"),IF(AND(Practices_SubPractices[CP]=4,Practices_SubPractices[Org]="Large"),SUMIFS(Practices_SubPractices[B],Practices_SubPractices[CP],"4",Practices_SubPractices[Org],"Large"),IF(AND(Practices_SubPractices[CP]=5,Practices_SubPractices[Org]="Large"),SUMIFS(Practices_SubPractices[B],Practices_SubPractices[CP],"5",Practices_SubPractices[Org],"Large"),IF(AND(Practices_SubPractices[CP]=6,Practices_SubPractices[Org]="Large"),SUMIFS(Practices_SubPractices[B],Practices_SubPractices[CP],"6",Practices_SubPractices[Org],"Large"),IF(AND(Practices_SubPractices[CP]=7,Practices_SubPractices[Org] ="Large"),SUMIFS(Practices_SubPractices[B],Practices_SubPractices[CP],"7",Practices_SubPractices[Org],"Large"),IF(AND(Practices_SubPractices[CP]=8,Practices_SubPractices[Org] ="Large"),SUMIFS(Practices_SubPractices[B],Practices_SubPractices[CP],"8",Practices_SubPractices[Org],"Large"),IF(AND(Practices_SubPractices[CP]=9,Practices_SubPractices[Org] ="Large"),SUMIFS(Practices_SubPractices[B],Practices_SubPractices[CP],"9",Practices_SubPractices[Org],"Large"),IF(AND(Practices_SubPractices[CP]=10,Practices_SubPractices[Org] ="Large"),SUMIFS(Practices_SubPractices[B],Practices_SubPractices[CP],"10",Practices_SubPractices[Org],"Large"),"TBD"))))))))))))))))))))))))))))))</f>
        <v>6</v>
      </c>
      <c r="P30" s="77">
        <f>IF(AND(Practices_SubPractices[CP]=1,Practices_SubPractices[Org]="Small"),SUMIFS(Practices_SubPractices[C],Practices_SubPractices[CP],"1",Practices_SubPractices[Org],"Small"),IF(AND(Practices_SubPractices[CP]=2,Practices_SubPractices[Org]="Small"),SUMIFS(Practices_SubPractices[C],Practices_SubPractices[CP],"2",Practices_SubPractices[Org],"Small"),IF(AND(Practices_SubPractices[CP]=3,Practices_SubPractices[Org]="Small"),SUMIFS(Practices_SubPractices[C],Practices_SubPractices[CP],"3",Practices_SubPractices[Org],"Small"),IF(AND(Practices_SubPractices[CP]=4,Practices_SubPractices[Org]="Small"),SUMIFS(Practices_SubPractices[C],Practices_SubPractices[CP],"4",Practices_SubPractices[Org],"Small"),IF(AND(Practices_SubPractices[CP]=5,Practices_SubPractices[Org]="Small"),SUMIFS(Practices_SubPractices[C],Practices_SubPractices[CP],"5",Practices_SubPractices[Org],"Small"),IF(AND(Practices_SubPractices[CP]=6,Practices_SubPractices[Org]="Small"),SUMIFS(Practices_SubPractices[C],Practices_SubPractices[CP],"6",Practices_SubPractices[Org],"Small"),IF(AND(Practices_SubPractices[CP]=7,Practices_SubPractices[Org] ="Small"),SUMIFS(Practices_SubPractices[C],Practices_SubPractices[CP],"7",Practices_SubPractices[Org],"Small"),IF(AND(Practices_SubPractices[CP]=8,Practices_SubPractices[Org] ="Small"),SUMIFS(Practices_SubPractices[C],Practices_SubPractices[CP],"8",Practices_SubPractices[Org],"Small"),IF(AND(Practices_SubPractices[CP]=9,Practices_SubPractices[Org] ="Small"),SUMIFS(Practices_SubPractices[C],Practices_SubPractices[CP],"9",Practices_SubPractices[Org],"Small"),IF(AND(Practices_SubPractices[CP]=10,Practices_SubPractices[Org] ="Small"),SUMIFS(Practices_SubPractices[C],Practices_SubPractices[CP],"10",Practices_SubPractices[Org],"Small"),IF(AND(Practices_SubPractices[CP]=1,Practices_SubPractices[Org]="Medium"),SUMIFS(Practices_SubPractices[C],Practices_SubPractices[CP],"1",Practices_SubPractices[Org],"Medium"),IF(AND(Practices_SubPractices[CP]=2,Practices_SubPractices[Org]="Medium"),SUMIFS(Practices_SubPractices[C],Practices_SubPractices[CP],"2",Practices_SubPractices[Org],"Medium"),IF(AND(Practices_SubPractices[CP]=3,Practices_SubPractices[Org]="Medium"),SUMIFS(Practices_SubPractices[C],Practices_SubPractices[CP],"3",Practices_SubPractices[Org],"Medium"),IF(AND(Practices_SubPractices[CP]=4,Practices_SubPractices[Org]="Medium"),SUMIFS(Practices_SubPractices[C],Practices_SubPractices[CP],"4",Practices_SubPractices[Org],"Medium"),IF(AND(Practices_SubPractices[CP]=5,Practices_SubPractices[Org]="Medium"),SUMIFS(Practices_SubPractices[C],Practices_SubPractices[CP],"5",Practices_SubPractices[Org],"Medium"),IF(AND(Practices_SubPractices[CP]=6,Practices_SubPractices[Org]="Medium"),SUMIFS(Practices_SubPractices[C],Practices_SubPractices[CP],"6",Practices_SubPractices[Org],"Medium"),IF(AND(Practices_SubPractices[CP]=7,Practices_SubPractices[Org] ="Medium"),SUMIFS(Practices_SubPractices[C],Practices_SubPractices[CP],"7",Practices_SubPractices[Org],"Medium"),IF(AND(Practices_SubPractices[CP]=8,Practices_SubPractices[Org] ="Medium"),SUMIFS(Practices_SubPractices[C],Practices_SubPractices[CP],"8",Practices_SubPractices[Org],"Medium"),IF(AND(Practices_SubPractices[CP]=9,Practices_SubPractices[Org] ="Medium"),SUMIFS(Practices_SubPractices[C],Practices_SubPractices[CP],"9",Practices_SubPractices[Org],"Medium"),IF(AND(Practices_SubPractices[CP]=10,Practices_SubPractices[Org] ="Medium"),SUMIFS(Practices_SubPractices[C],Practices_SubPractices[CP],"10",Practices_SubPractices[Org],"Medium"),IF(AND(Practices_SubPractices[CP]=1,Practices_SubPractices[Org]="Large"),SUMIFS(Practices_SubPractices[C],Practices_SubPractices[CP],"1",Practices_SubPractices[Org],"Large"),IF(AND(Practices_SubPractices[CP]=2,Practices_SubPractices[Org]="Large"),SUMIFS(Practices_SubPractices[C],Practices_SubPractices[CP],"2",Practices_SubPractices[Org],"Large"),IF(AND(Practices_SubPractices[CP]=3,Practices_SubPractices[Org]="Large"),SUMIFS(Practices_SubPractices[C],Practices_SubPractices[CP],"3",Practices_SubPractices[Org],"Large"),IF(AND(Practices_SubPractices[CP]=4,Practices_SubPractices[Org]="Large"),SUMIFS(Practices_SubPractices[C],Practices_SubPractices[CP],"4",Practices_SubPractices[Org],"Large"),IF(AND(Practices_SubPractices[CP]=5,Practices_SubPractices[Org]="Large"),SUMIFS(Practices_SubPractices[C],Practices_SubPractices[CP],"5",Practices_SubPractices[Org],"Large"),IF(AND(Practices_SubPractices[CP]=6,Practices_SubPractices[Org]="Large"),SUMIFS(Practices_SubPractices[C],Practices_SubPractices[CP],"6",Practices_SubPractices[Org],"Large"),IF(AND(Practices_SubPractices[CP]=7,Practices_SubPractices[Org] ="Large"),SUMIFS(Practices_SubPractices[C],Practices_SubPractices[CP],"7",Practices_SubPractices[Org],"Large"),IF(AND(Practices_SubPractices[CP]=8,Practices_SubPractices[Org] ="Large"),SUMIFS(Practices_SubPractices[C],Practices_SubPractices[CP],"8",Practices_SubPractices[Org],"Large"),IF(AND(Practices_SubPractices[CP]=9,Practices_SubPractices[Org] ="Large"),SUMIFS(Practices_SubPractices[C],Practices_SubPractices[CP],"9",Practices_SubPractices[Org],"Large"),IF(AND(Practices_SubPractices[CP]=10,Practices_SubPractices[Org] ="Large"),SUMIFS(Practices_SubPractices[C],Practices_SubPractices[CP],"10",Practices_SubPractices[Org],"Large"),"TBD"))))))))))))))))))))))))))))))</f>
        <v>3</v>
      </c>
      <c r="Q30" s="77">
        <f>IF(AND(Practices_SubPractices[CP]=1,Practices_SubPractices[Org]="Small"),SUMIFS(Practices_SubPractices[D],Practices_SubPractices[CP],"1",Practices_SubPractices[Org],"Small"),IF(AND(Practices_SubPractices[CP]=2,Practices_SubPractices[Org]="Small"),SUMIFS(Practices_SubPractices[D],Practices_SubPractices[CP],"2",Practices_SubPractices[Org],"Small"),IF(AND(Practices_SubPractices[CP]=3,Practices_SubPractices[Org]="Small"),SUMIFS(Practices_SubPractices[D],Practices_SubPractices[CP],"3",Practices_SubPractices[Org],"Small"),IF(AND(Practices_SubPractices[CP]=4,Practices_SubPractices[Org]="Small"),SUMIFS(Practices_SubPractices[D],Practices_SubPractices[CP],"4",Practices_SubPractices[Org],"Small"),IF(AND(Practices_SubPractices[CP]=5,Practices_SubPractices[Org]="Small"),SUMIFS(Practices_SubPractices[D],Practices_SubPractices[CP],"5",Practices_SubPractices[Org],"Small"),IF(AND(Practices_SubPractices[CP]=6,Practices_SubPractices[Org]="Small"),SUMIFS(Practices_SubPractices[D],Practices_SubPractices[CP],"6",Practices_SubPractices[Org],"Small"),IF(AND(Practices_SubPractices[CP]=7,Practices_SubPractices[Org] ="Small"),SUMIFS(Practices_SubPractices[D],Practices_SubPractices[CP],"7",Practices_SubPractices[Org],"Small"),IF(AND(Practices_SubPractices[CP]=8,Practices_SubPractices[Org] ="Small"),SUMIFS(Practices_SubPractices[D],Practices_SubPractices[CP],"8",Practices_SubPractices[Org],"Small"),IF(AND(Practices_SubPractices[CP]=9,Practices_SubPractices[Org] ="Small"),SUMIFS(Practices_SubPractices[D],Practices_SubPractices[CP],"9",Practices_SubPractices[Org],"Small"),IF(AND(Practices_SubPractices[CP]=10,Practices_SubPractices[Org] ="Small"),SUMIFS(Practices_SubPractices[D],Practices_SubPractices[CP],"10",Practices_SubPractices[Org],"Small"),IF(AND(Practices_SubPractices[CP]=1,Practices_SubPractices[Org]="Medium"),SUMIFS(Practices_SubPractices[D],Practices_SubPractices[CP],"1",Practices_SubPractices[Org],"Medium"),IF(AND(Practices_SubPractices[CP]=2,Practices_SubPractices[Org]="Medium"),SUMIFS(Practices_SubPractices[D],Practices_SubPractices[CP],"2",Practices_SubPractices[Org],"Medium"),IF(AND(Practices_SubPractices[CP]=3,Practices_SubPractices[Org]="Medium"),SUMIFS(Practices_SubPractices[D],Practices_SubPractices[CP],"3",Practices_SubPractices[Org],"Medium"),IF(AND(Practices_SubPractices[CP]=4,Practices_SubPractices[Org]="Medium"),SUMIFS(Practices_SubPractices[D],Practices_SubPractices[CP],"4",Practices_SubPractices[Org],"Medium"),IF(AND(Practices_SubPractices[CP]=5,Practices_SubPractices[Org]="Medium"),SUMIFS(Practices_SubPractices[D],Practices_SubPractices[CP],"5",Practices_SubPractices[Org],"Medium"),IF(AND(Practices_SubPractices[CP]=6,Practices_SubPractices[Org]="Medium"),SUMIFS(Practices_SubPractices[D],Practices_SubPractices[CP],"6",Practices_SubPractices[Org],"Medium"),IF(AND(Practices_SubPractices[CP]=7,Practices_SubPractices[Org] ="Medium"),SUMIFS(Practices_SubPractices[D],Practices_SubPractices[CP],"7",Practices_SubPractices[Org],"Medium"),IF(AND(Practices_SubPractices[CP]=8,Practices_SubPractices[Org] ="Medium"),SUMIFS(Practices_SubPractices[D],Practices_SubPractices[CP],"8",Practices_SubPractices[Org],"Medium"),IF(AND(Practices_SubPractices[CP]=9,Practices_SubPractices[Org] ="Medium"),SUMIFS(Practices_SubPractices[D],Practices_SubPractices[CP],"9",Practices_SubPractices[Org],"Medium"),IF(AND(Practices_SubPractices[CP]=10,Practices_SubPractices[Org] ="Medium"),SUMIFS(Practices_SubPractices[D],Practices_SubPractices[CP],"10",Practices_SubPractices[Org],"Medium"),IF(AND(Practices_SubPractices[CP]=1,Practices_SubPractices[Org]="Large"),SUMIFS(Practices_SubPractices[D],Practices_SubPractices[CP],"1",Practices_SubPractices[Org],"Large"),IF(AND(Practices_SubPractices[CP]=2,Practices_SubPractices[Org]="Large"),SUMIFS(Practices_SubPractices[D],Practices_SubPractices[CP],"2",Practices_SubPractices[Org],"Large"),IF(AND(Practices_SubPractices[CP]=3,Practices_SubPractices[Org]="Large"),SUMIFS(Practices_SubPractices[D],Practices_SubPractices[CP],"3",Practices_SubPractices[Org],"Large"),IF(AND(Practices_SubPractices[CP]=4,Practices_SubPractices[Org]="Large"),SUMIFS(Practices_SubPractices[D],Practices_SubPractices[CP],"4",Practices_SubPractices[Org],"Large"),IF(AND(Practices_SubPractices[CP]=5,Practices_SubPractices[Org]="Large"),SUMIFS(Practices_SubPractices[D],Practices_SubPractices[CP],"5",Practices_SubPractices[Org],"Large"),IF(AND(Practices_SubPractices[CP]=6,Practices_SubPractices[Org]="Large"),SUMIFS(Practices_SubPractices[D],Practices_SubPractices[CP],"6",Practices_SubPractices[Org],"Large"),IF(AND(Practices_SubPractices[CP]=7,Practices_SubPractices[Org] ="Large"),SUMIFS(Practices_SubPractices[D],Practices_SubPractices[CP],"7",Practices_SubPractices[Org],"Large"),IF(AND(Practices_SubPractices[CP]=8,Practices_SubPractices[Org] ="Large"),SUMIFS(Practices_SubPractices[D],Practices_SubPractices[CP],"8",Practices_SubPractices[Org],"Large"),IF(AND(Practices_SubPractices[CP]=9,Practices_SubPractices[Org] ="Large"),SUMIFS(Practices_SubPractices[D],Practices_SubPractices[CP],"9",Practices_SubPractices[Org],"Large"),IF(AND(Practices_SubPractices[CP]=10,Practices_SubPractices[Org] ="Large"),SUMIFS(Practices_SubPractices[D],Practices_SubPractices[CP],"10",Practices_SubPractices[Org],"Large"),"TBD"))))))))))))))))))))))))))))))</f>
        <v>5</v>
      </c>
      <c r="R30" s="77">
        <f>IF(AND(Practices_SubPractices[CP]=1,Practices_SubPractices[Org]="Small"),SUMIFS(Practices_SubPractices[E],Practices_SubPractices[CP],"1",Practices_SubPractices[Org],"Small"),IF(AND(Practices_SubPractices[CP]=2,Practices_SubPractices[Org]="Small"),SUMIFS(Practices_SubPractices[E],Practices_SubPractices[CP],"2",Practices_SubPractices[Org],"Small"),IF(AND(Practices_SubPractices[CP]=3,Practices_SubPractices[Org]="Small"),SUMIFS(Practices_SubPractices[E],Practices_SubPractices[CP],"3",Practices_SubPractices[Org],"Small"),IF(AND(Practices_SubPractices[CP]=4,Practices_SubPractices[Org]="Small"),SUMIFS(Practices_SubPractices[E],Practices_SubPractices[CP],"4",Practices_SubPractices[Org],"Small"),IF(AND(Practices_SubPractices[CP]=5,Practices_SubPractices[Org]="Small"),SUMIFS(Practices_SubPractices[E],Practices_SubPractices[CP],"5",Practices_SubPractices[Org],"Small"),IF(AND(Practices_SubPractices[CP]=6,Practices_SubPractices[Org]="Small"),SUMIFS(Practices_SubPractices[E],Practices_SubPractices[CP],"6",Practices_SubPractices[Org],"Small"),IF(AND(Practices_SubPractices[CP]=7,Practices_SubPractices[Org] ="Small"),SUMIFS(Practices_SubPractices[E],Practices_SubPractices[CP],"7",Practices_SubPractices[Org],"Small"),IF(AND(Practices_SubPractices[CP]=8,Practices_SubPractices[Org] ="Small"),SUMIFS(Practices_SubPractices[E],Practices_SubPractices[CP],"8",Practices_SubPractices[Org],"Small"),IF(AND(Practices_SubPractices[CP]=9,Practices_SubPractices[Org] ="Small"),SUMIFS(Practices_SubPractices[E],Practices_SubPractices[CP],"9",Practices_SubPractices[Org],"Small"),IF(AND(Practices_SubPractices[CP]=10,Practices_SubPractices[Org] ="Small"),SUMIFS(Practices_SubPractices[E],Practices_SubPractices[CP],"10",Practices_SubPractices[Org],"Small"),IF(AND(Practices_SubPractices[CP]=1,Practices_SubPractices[Org]="Medium"),SUMIFS(Practices_SubPractices[E],Practices_SubPractices[CP],"1",Practices_SubPractices[Org],"Medium"),IF(AND(Practices_SubPractices[CP]=2,Practices_SubPractices[Org]="Medium"),SUMIFS(Practices_SubPractices[E],Practices_SubPractices[CP],"2",Practices_SubPractices[Org],"Medium"),IF(AND(Practices_SubPractices[CP]=3,Practices_SubPractices[Org]="Medium"),SUMIFS(Practices_SubPractices[E],Practices_SubPractices[CP],"3",Practices_SubPractices[Org],"Medium"),IF(AND(Practices_SubPractices[CP]=4,Practices_SubPractices[Org]="Medium"),SUMIFS(Practices_SubPractices[E],Practices_SubPractices[CP],"4",Practices_SubPractices[Org],"Medium"),IF(AND(Practices_SubPractices[CP]=5,Practices_SubPractices[Org]="Medium"),SUMIFS(Practices_SubPractices[E],Practices_SubPractices[CP],"5",Practices_SubPractices[Org],"Medium"),IF(AND(Practices_SubPractices[CP]=6,Practices_SubPractices[Org]="Medium"),SUMIFS(Practices_SubPractices[E],Practices_SubPractices[CP],"6",Practices_SubPractices[Org],"Medium"),IF(AND(Practices_SubPractices[CP]=7,Practices_SubPractices[Org] ="Medium"),SUMIFS(Practices_SubPractices[E],Practices_SubPractices[CP],"7",Practices_SubPractices[Org],"Medium"),IF(AND(Practices_SubPractices[CP]=8,Practices_SubPractices[Org] ="Medium"),SUMIFS(Practices_SubPractices[E],Practices_SubPractices[CP],"8",Practices_SubPractices[Org],"Medium"),IF(AND(Practices_SubPractices[CP]=9,Practices_SubPractices[Org] ="Medium"),SUMIFS(Practices_SubPractices[E],Practices_SubPractices[CP],"9",Practices_SubPractices[Org],"Medium"),IF(AND(Practices_SubPractices[CP]=10,Practices_SubPractices[Org] ="Medium"),SUMIFS(Practices_SubPractices[E],Practices_SubPractices[CP],"10",Practices_SubPractices[Org],"Medium"),IF(AND(Practices_SubPractices[CP]=1,Practices_SubPractices[Org]="Large"),SUMIFS(Practices_SubPractices[E],Practices_SubPractices[CP],"1",Practices_SubPractices[Org],"Large"),IF(AND(Practices_SubPractices[CP]=2,Practices_SubPractices[Org]="Large"),SUMIFS(Practices_SubPractices[E],Practices_SubPractices[CP],"2",Practices_SubPractices[Org],"Large"),IF(AND(Practices_SubPractices[CP]=3,Practices_SubPractices[Org]="Large"),SUMIFS(Practices_SubPractices[E],Practices_SubPractices[CP],"3",Practices_SubPractices[Org],"Large"),IF(AND(Practices_SubPractices[CP]=4,Practices_SubPractices[Org]="Large"),SUMIFS(Practices_SubPractices[E],Practices_SubPractices[CP],"4",Practices_SubPractices[Org],"Large"),IF(AND(Practices_SubPractices[CP]=5,Practices_SubPractices[Org]="Large"),SUMIFS(Practices_SubPractices[E],Practices_SubPractices[CP],"5",Practices_SubPractices[Org],"Large"),IF(AND(Practices_SubPractices[CP]=6,Practices_SubPractices[Org]="Large"),SUMIFS(Practices_SubPractices[E],Practices_SubPractices[CP],"6",Practices_SubPractices[Org],"Large"),IF(AND(Practices_SubPractices[CP]=7,Practices_SubPractices[Org] ="Large"),SUMIFS(Practices_SubPractices[E],Practices_SubPractices[CP],"7",Practices_SubPractices[Org],"Large"),IF(AND(Practices_SubPractices[CP]=8,Practices_SubPractices[Org] ="Large"),SUMIFS(Practices_SubPractices[E],Practices_SubPractices[CP],"8",Practices_SubPractices[Org],"Large"),IF(AND(Practices_SubPractices[CP]=9,Practices_SubPractices[Org] ="Large"),SUMIFS(Practices_SubPractices[E],Practices_SubPractices[CP],"9",Practices_SubPractices[Org],"Large"),IF(AND(Practices_SubPractices[CP]=10,Practices_SubPractices[Org] ="Large"),SUMIFS(Practices_SubPractices[E],Practices_SubPractices[CP],"10",Practices_SubPractices[Org],"Large"),"TBD"))))))))))))))))))))))))))))))</f>
        <v>1</v>
      </c>
      <c r="S30" s="86" t="s">
        <v>405</v>
      </c>
    </row>
    <row r="31" spans="1:19" ht="29" x14ac:dyDescent="0.35">
      <c r="A31" s="73">
        <v>21</v>
      </c>
      <c r="B31" s="73">
        <v>1</v>
      </c>
      <c r="C31" s="73" t="s">
        <v>12</v>
      </c>
      <c r="D31" s="73" t="str">
        <f>Practices_SubPractices[[#This Row],[CP]]&amp;LEFT(Practices_SubPractices[[#This Row],[Org]],1)</f>
        <v>1L</v>
      </c>
      <c r="E31" s="73" t="s">
        <v>265</v>
      </c>
      <c r="F31" s="74" t="s">
        <v>54</v>
      </c>
      <c r="G31" s="74" t="s">
        <v>55</v>
      </c>
      <c r="H31" s="74" t="s">
        <v>178</v>
      </c>
      <c r="I31" s="75">
        <v>2</v>
      </c>
      <c r="J31" s="75">
        <v>2</v>
      </c>
      <c r="K31" s="75">
        <v>0</v>
      </c>
      <c r="L31" s="75">
        <v>1</v>
      </c>
      <c r="M31" s="75">
        <v>0</v>
      </c>
      <c r="N31" s="76"/>
      <c r="O31" s="77">
        <f>IF(AND(Practices_SubPractices[CP]=1,Practices_SubPractices[Org]="Small"),SUMIFS(Practices_SubPractices[B],Practices_SubPractices[CP],"1",Practices_SubPractices[Org],"Small"),IF(AND(Practices_SubPractices[CP]=2,Practices_SubPractices[Org]="Small"),SUMIFS(Practices_SubPractices[B],Practices_SubPractices[CP],"2",Practices_SubPractices[Org],"Small"),IF(AND(Practices_SubPractices[CP]=3,Practices_SubPractices[Org]="Small"),SUMIFS(Practices_SubPractices[B],Practices_SubPractices[CP],"3",Practices_SubPractices[Org],"Small"),IF(AND(Practices_SubPractices[CP]=4,Practices_SubPractices[Org]="Small"),SUMIFS(Practices_SubPractices[B],Practices_SubPractices[CP],"4",Practices_SubPractices[Org],"Small"),IF(AND(Practices_SubPractices[CP]=5,Practices_SubPractices[Org]="Small"),SUMIFS(Practices_SubPractices[B],Practices_SubPractices[CP],"5",Practices_SubPractices[Org],"Small"),IF(AND(Practices_SubPractices[CP]=6,Practices_SubPractices[Org]="Small"),SUMIFS(Practices_SubPractices[B],Practices_SubPractices[CP],"6",Practices_SubPractices[Org],"Small"),IF(AND(Practices_SubPractices[CP]=7,Practices_SubPractices[Org] ="Small"),SUMIFS(Practices_SubPractices[B],Practices_SubPractices[CP],"7",Practices_SubPractices[Org],"Small"),IF(AND(Practices_SubPractices[CP]=8,Practices_SubPractices[Org] ="Small"),SUMIFS(Practices_SubPractices[B],Practices_SubPractices[CP],"8",Practices_SubPractices[Org],"Small"),IF(AND(Practices_SubPractices[CP]=9,Practices_SubPractices[Org] ="Small"),SUMIFS(Practices_SubPractices[B],Practices_SubPractices[CP],"9",Practices_SubPractices[Org],"Small"),IF(AND(Practices_SubPractices[CP]=10,Practices_SubPractices[Org] ="Small"),SUMIFS(Practices_SubPractices[B],Practices_SubPractices[CP],"10",Practices_SubPractices[Org],"Small"),IF(AND(Practices_SubPractices[CP]=1,Practices_SubPractices[Org]="Medium"),SUMIFS(Practices_SubPractices[B],Practices_SubPractices[CP],"1",Practices_SubPractices[Org],"Medium"),IF(AND(Practices_SubPractices[CP]=2,Practices_SubPractices[Org]="Medium"),SUMIFS(Practices_SubPractices[B],Practices_SubPractices[CP],"2",Practices_SubPractices[Org],"Medium"),IF(AND(Practices_SubPractices[CP]=3,Practices_SubPractices[Org]="Medium"),SUMIFS(Practices_SubPractices[B],Practices_SubPractices[CP],"3",Practices_SubPractices[Org],"Medium"),IF(AND(Practices_SubPractices[CP]=4,Practices_SubPractices[Org]="Medium"),SUMIFS(Practices_SubPractices[B],Practices_SubPractices[CP],"4",Practices_SubPractices[Org],"Medium"),IF(AND(Practices_SubPractices[CP]=5,Practices_SubPractices[Org]="Medium"),SUMIFS(Practices_SubPractices[B],Practices_SubPractices[CP],"5",Practices_SubPractices[Org],"Medium"),IF(AND(Practices_SubPractices[CP]=6,Practices_SubPractices[Org]="Medium"),SUMIFS(Practices_SubPractices[B],Practices_SubPractices[CP],"6",Practices_SubPractices[Org],"Medium"),IF(AND(Practices_SubPractices[CP]=7,Practices_SubPractices[Org] ="Medium"),SUMIFS(Practices_SubPractices[B],Practices_SubPractices[CP],"7",Practices_SubPractices[Org],"Medium"),IF(AND(Practices_SubPractices[CP]=8,Practices_SubPractices[Org] ="Medium"),SUMIFS(Practices_SubPractices[B],Practices_SubPractices[CP],"8",Practices_SubPractices[Org],"Medium"),IF(AND(Practices_SubPractices[CP]=9,Practices_SubPractices[Org] ="Medium"),SUMIFS(Practices_SubPractices[B],Practices_SubPractices[CP],"9",Practices_SubPractices[Org],"Medium"),IF(AND(Practices_SubPractices[CP]=10,Practices_SubPractices[Org] ="Medium"),SUMIFS(Practices_SubPractices[B],Practices_SubPractices[CP],"10",Practices_SubPractices[Org],"Medium"),IF(AND(Practices_SubPractices[CP]=1,Practices_SubPractices[Org]="Large"),SUMIFS(Practices_SubPractices[B],Practices_SubPractices[CP],"1",Practices_SubPractices[Org],"Large"),IF(AND(Practices_SubPractices[CP]=2,Practices_SubPractices[Org]="Large"),SUMIFS(Practices_SubPractices[B],Practices_SubPractices[CP],"2",Practices_SubPractices[Org],"Large"),IF(AND(Practices_SubPractices[CP]=3,Practices_SubPractices[Org]="Large"),SUMIFS(Practices_SubPractices[B],Practices_SubPractices[CP],"3",Practices_SubPractices[Org],"Large"),IF(AND(Practices_SubPractices[CP]=4,Practices_SubPractices[Org]="Large"),SUMIFS(Practices_SubPractices[B],Practices_SubPractices[CP],"4",Practices_SubPractices[Org],"Large"),IF(AND(Practices_SubPractices[CP]=5,Practices_SubPractices[Org]="Large"),SUMIFS(Practices_SubPractices[B],Practices_SubPractices[CP],"5",Practices_SubPractices[Org],"Large"),IF(AND(Practices_SubPractices[CP]=6,Practices_SubPractices[Org]="Large"),SUMIFS(Practices_SubPractices[B],Practices_SubPractices[CP],"6",Practices_SubPractices[Org],"Large"),IF(AND(Practices_SubPractices[CP]=7,Practices_SubPractices[Org] ="Large"),SUMIFS(Practices_SubPractices[B],Practices_SubPractices[CP],"7",Practices_SubPractices[Org],"Large"),IF(AND(Practices_SubPractices[CP]=8,Practices_SubPractices[Org] ="Large"),SUMIFS(Practices_SubPractices[B],Practices_SubPractices[CP],"8",Practices_SubPractices[Org],"Large"),IF(AND(Practices_SubPractices[CP]=9,Practices_SubPractices[Org] ="Large"),SUMIFS(Practices_SubPractices[B],Practices_SubPractices[CP],"9",Practices_SubPractices[Org],"Large"),IF(AND(Practices_SubPractices[CP]=10,Practices_SubPractices[Org] ="Large"),SUMIFS(Practices_SubPractices[B],Practices_SubPractices[CP],"10",Practices_SubPractices[Org],"Large"),"TBD"))))))))))))))))))))))))))))))</f>
        <v>10</v>
      </c>
      <c r="P31" s="77">
        <f>IF(AND(Practices_SubPractices[CP]=1,Practices_SubPractices[Org]="Small"),SUMIFS(Practices_SubPractices[C],Practices_SubPractices[CP],"1",Practices_SubPractices[Org],"Small"),IF(AND(Practices_SubPractices[CP]=2,Practices_SubPractices[Org]="Small"),SUMIFS(Practices_SubPractices[C],Practices_SubPractices[CP],"2",Practices_SubPractices[Org],"Small"),IF(AND(Practices_SubPractices[CP]=3,Practices_SubPractices[Org]="Small"),SUMIFS(Practices_SubPractices[C],Practices_SubPractices[CP],"3",Practices_SubPractices[Org],"Small"),IF(AND(Practices_SubPractices[CP]=4,Practices_SubPractices[Org]="Small"),SUMIFS(Practices_SubPractices[C],Practices_SubPractices[CP],"4",Practices_SubPractices[Org],"Small"),IF(AND(Practices_SubPractices[CP]=5,Practices_SubPractices[Org]="Small"),SUMIFS(Practices_SubPractices[C],Practices_SubPractices[CP],"5",Practices_SubPractices[Org],"Small"),IF(AND(Practices_SubPractices[CP]=6,Practices_SubPractices[Org]="Small"),SUMIFS(Practices_SubPractices[C],Practices_SubPractices[CP],"6",Practices_SubPractices[Org],"Small"),IF(AND(Practices_SubPractices[CP]=7,Practices_SubPractices[Org] ="Small"),SUMIFS(Practices_SubPractices[C],Practices_SubPractices[CP],"7",Practices_SubPractices[Org],"Small"),IF(AND(Practices_SubPractices[CP]=8,Practices_SubPractices[Org] ="Small"),SUMIFS(Practices_SubPractices[C],Practices_SubPractices[CP],"8",Practices_SubPractices[Org],"Small"),IF(AND(Practices_SubPractices[CP]=9,Practices_SubPractices[Org] ="Small"),SUMIFS(Practices_SubPractices[C],Practices_SubPractices[CP],"9",Practices_SubPractices[Org],"Small"),IF(AND(Practices_SubPractices[CP]=10,Practices_SubPractices[Org] ="Small"),SUMIFS(Practices_SubPractices[C],Practices_SubPractices[CP],"10",Practices_SubPractices[Org],"Small"),IF(AND(Practices_SubPractices[CP]=1,Practices_SubPractices[Org]="Medium"),SUMIFS(Practices_SubPractices[C],Practices_SubPractices[CP],"1",Practices_SubPractices[Org],"Medium"),IF(AND(Practices_SubPractices[CP]=2,Practices_SubPractices[Org]="Medium"),SUMIFS(Practices_SubPractices[C],Practices_SubPractices[CP],"2",Practices_SubPractices[Org],"Medium"),IF(AND(Practices_SubPractices[CP]=3,Practices_SubPractices[Org]="Medium"),SUMIFS(Practices_SubPractices[C],Practices_SubPractices[CP],"3",Practices_SubPractices[Org],"Medium"),IF(AND(Practices_SubPractices[CP]=4,Practices_SubPractices[Org]="Medium"),SUMIFS(Practices_SubPractices[C],Practices_SubPractices[CP],"4",Practices_SubPractices[Org],"Medium"),IF(AND(Practices_SubPractices[CP]=5,Practices_SubPractices[Org]="Medium"),SUMIFS(Practices_SubPractices[C],Practices_SubPractices[CP],"5",Practices_SubPractices[Org],"Medium"),IF(AND(Practices_SubPractices[CP]=6,Practices_SubPractices[Org]="Medium"),SUMIFS(Practices_SubPractices[C],Practices_SubPractices[CP],"6",Practices_SubPractices[Org],"Medium"),IF(AND(Practices_SubPractices[CP]=7,Practices_SubPractices[Org] ="Medium"),SUMIFS(Practices_SubPractices[C],Practices_SubPractices[CP],"7",Practices_SubPractices[Org],"Medium"),IF(AND(Practices_SubPractices[CP]=8,Practices_SubPractices[Org] ="Medium"),SUMIFS(Practices_SubPractices[C],Practices_SubPractices[CP],"8",Practices_SubPractices[Org],"Medium"),IF(AND(Practices_SubPractices[CP]=9,Practices_SubPractices[Org] ="Medium"),SUMIFS(Practices_SubPractices[C],Practices_SubPractices[CP],"9",Practices_SubPractices[Org],"Medium"),IF(AND(Practices_SubPractices[CP]=10,Practices_SubPractices[Org] ="Medium"),SUMIFS(Practices_SubPractices[C],Practices_SubPractices[CP],"10",Practices_SubPractices[Org],"Medium"),IF(AND(Practices_SubPractices[CP]=1,Practices_SubPractices[Org]="Large"),SUMIFS(Practices_SubPractices[C],Practices_SubPractices[CP],"1",Practices_SubPractices[Org],"Large"),IF(AND(Practices_SubPractices[CP]=2,Practices_SubPractices[Org]="Large"),SUMIFS(Practices_SubPractices[C],Practices_SubPractices[CP],"2",Practices_SubPractices[Org],"Large"),IF(AND(Practices_SubPractices[CP]=3,Practices_SubPractices[Org]="Large"),SUMIFS(Practices_SubPractices[C],Practices_SubPractices[CP],"3",Practices_SubPractices[Org],"Large"),IF(AND(Practices_SubPractices[CP]=4,Practices_SubPractices[Org]="Large"),SUMIFS(Practices_SubPractices[C],Practices_SubPractices[CP],"4",Practices_SubPractices[Org],"Large"),IF(AND(Practices_SubPractices[CP]=5,Practices_SubPractices[Org]="Large"),SUMIFS(Practices_SubPractices[C],Practices_SubPractices[CP],"5",Practices_SubPractices[Org],"Large"),IF(AND(Practices_SubPractices[CP]=6,Practices_SubPractices[Org]="Large"),SUMIFS(Practices_SubPractices[C],Practices_SubPractices[CP],"6",Practices_SubPractices[Org],"Large"),IF(AND(Practices_SubPractices[CP]=7,Practices_SubPractices[Org] ="Large"),SUMIFS(Practices_SubPractices[C],Practices_SubPractices[CP],"7",Practices_SubPractices[Org],"Large"),IF(AND(Practices_SubPractices[CP]=8,Practices_SubPractices[Org] ="Large"),SUMIFS(Practices_SubPractices[C],Practices_SubPractices[CP],"8",Practices_SubPractices[Org],"Large"),IF(AND(Practices_SubPractices[CP]=9,Practices_SubPractices[Org] ="Large"),SUMIFS(Practices_SubPractices[C],Practices_SubPractices[CP],"9",Practices_SubPractices[Org],"Large"),IF(AND(Practices_SubPractices[CP]=10,Practices_SubPractices[Org] ="Large"),SUMIFS(Practices_SubPractices[C],Practices_SubPractices[CP],"10",Practices_SubPractices[Org],"Large"),"TBD"))))))))))))))))))))))))))))))</f>
        <v>4</v>
      </c>
      <c r="Q31" s="77">
        <f>IF(AND(Practices_SubPractices[CP]=1,Practices_SubPractices[Org]="Small"),SUMIFS(Practices_SubPractices[D],Practices_SubPractices[CP],"1",Practices_SubPractices[Org],"Small"),IF(AND(Practices_SubPractices[CP]=2,Practices_SubPractices[Org]="Small"),SUMIFS(Practices_SubPractices[D],Practices_SubPractices[CP],"2",Practices_SubPractices[Org],"Small"),IF(AND(Practices_SubPractices[CP]=3,Practices_SubPractices[Org]="Small"),SUMIFS(Practices_SubPractices[D],Practices_SubPractices[CP],"3",Practices_SubPractices[Org],"Small"),IF(AND(Practices_SubPractices[CP]=4,Practices_SubPractices[Org]="Small"),SUMIFS(Practices_SubPractices[D],Practices_SubPractices[CP],"4",Practices_SubPractices[Org],"Small"),IF(AND(Practices_SubPractices[CP]=5,Practices_SubPractices[Org]="Small"),SUMIFS(Practices_SubPractices[D],Practices_SubPractices[CP],"5",Practices_SubPractices[Org],"Small"),IF(AND(Practices_SubPractices[CP]=6,Practices_SubPractices[Org]="Small"),SUMIFS(Practices_SubPractices[D],Practices_SubPractices[CP],"6",Practices_SubPractices[Org],"Small"),IF(AND(Practices_SubPractices[CP]=7,Practices_SubPractices[Org] ="Small"),SUMIFS(Practices_SubPractices[D],Practices_SubPractices[CP],"7",Practices_SubPractices[Org],"Small"),IF(AND(Practices_SubPractices[CP]=8,Practices_SubPractices[Org] ="Small"),SUMIFS(Practices_SubPractices[D],Practices_SubPractices[CP],"8",Practices_SubPractices[Org],"Small"),IF(AND(Practices_SubPractices[CP]=9,Practices_SubPractices[Org] ="Small"),SUMIFS(Practices_SubPractices[D],Practices_SubPractices[CP],"9",Practices_SubPractices[Org],"Small"),IF(AND(Practices_SubPractices[CP]=10,Practices_SubPractices[Org] ="Small"),SUMIFS(Practices_SubPractices[D],Practices_SubPractices[CP],"10",Practices_SubPractices[Org],"Small"),IF(AND(Practices_SubPractices[CP]=1,Practices_SubPractices[Org]="Medium"),SUMIFS(Practices_SubPractices[D],Practices_SubPractices[CP],"1",Practices_SubPractices[Org],"Medium"),IF(AND(Practices_SubPractices[CP]=2,Practices_SubPractices[Org]="Medium"),SUMIFS(Practices_SubPractices[D],Practices_SubPractices[CP],"2",Practices_SubPractices[Org],"Medium"),IF(AND(Practices_SubPractices[CP]=3,Practices_SubPractices[Org]="Medium"),SUMIFS(Practices_SubPractices[D],Practices_SubPractices[CP],"3",Practices_SubPractices[Org],"Medium"),IF(AND(Practices_SubPractices[CP]=4,Practices_SubPractices[Org]="Medium"),SUMIFS(Practices_SubPractices[D],Practices_SubPractices[CP],"4",Practices_SubPractices[Org],"Medium"),IF(AND(Practices_SubPractices[CP]=5,Practices_SubPractices[Org]="Medium"),SUMIFS(Practices_SubPractices[D],Practices_SubPractices[CP],"5",Practices_SubPractices[Org],"Medium"),IF(AND(Practices_SubPractices[CP]=6,Practices_SubPractices[Org]="Medium"),SUMIFS(Practices_SubPractices[D],Practices_SubPractices[CP],"6",Practices_SubPractices[Org],"Medium"),IF(AND(Practices_SubPractices[CP]=7,Practices_SubPractices[Org] ="Medium"),SUMIFS(Practices_SubPractices[D],Practices_SubPractices[CP],"7",Practices_SubPractices[Org],"Medium"),IF(AND(Practices_SubPractices[CP]=8,Practices_SubPractices[Org] ="Medium"),SUMIFS(Practices_SubPractices[D],Practices_SubPractices[CP],"8",Practices_SubPractices[Org],"Medium"),IF(AND(Practices_SubPractices[CP]=9,Practices_SubPractices[Org] ="Medium"),SUMIFS(Practices_SubPractices[D],Practices_SubPractices[CP],"9",Practices_SubPractices[Org],"Medium"),IF(AND(Practices_SubPractices[CP]=10,Practices_SubPractices[Org] ="Medium"),SUMIFS(Practices_SubPractices[D],Practices_SubPractices[CP],"10",Practices_SubPractices[Org],"Medium"),IF(AND(Practices_SubPractices[CP]=1,Practices_SubPractices[Org]="Large"),SUMIFS(Practices_SubPractices[D],Practices_SubPractices[CP],"1",Practices_SubPractices[Org],"Large"),IF(AND(Practices_SubPractices[CP]=2,Practices_SubPractices[Org]="Large"),SUMIFS(Practices_SubPractices[D],Practices_SubPractices[CP],"2",Practices_SubPractices[Org],"Large"),IF(AND(Practices_SubPractices[CP]=3,Practices_SubPractices[Org]="Large"),SUMIFS(Practices_SubPractices[D],Practices_SubPractices[CP],"3",Practices_SubPractices[Org],"Large"),IF(AND(Practices_SubPractices[CP]=4,Practices_SubPractices[Org]="Large"),SUMIFS(Practices_SubPractices[D],Practices_SubPractices[CP],"4",Practices_SubPractices[Org],"Large"),IF(AND(Practices_SubPractices[CP]=5,Practices_SubPractices[Org]="Large"),SUMIFS(Practices_SubPractices[D],Practices_SubPractices[CP],"5",Practices_SubPractices[Org],"Large"),IF(AND(Practices_SubPractices[CP]=6,Practices_SubPractices[Org]="Large"),SUMIFS(Practices_SubPractices[D],Practices_SubPractices[CP],"6",Practices_SubPractices[Org],"Large"),IF(AND(Practices_SubPractices[CP]=7,Practices_SubPractices[Org] ="Large"),SUMIFS(Practices_SubPractices[D],Practices_SubPractices[CP],"7",Practices_SubPractices[Org],"Large"),IF(AND(Practices_SubPractices[CP]=8,Practices_SubPractices[Org] ="Large"),SUMIFS(Practices_SubPractices[D],Practices_SubPractices[CP],"8",Practices_SubPractices[Org],"Large"),IF(AND(Practices_SubPractices[CP]=9,Practices_SubPractices[Org] ="Large"),SUMIFS(Practices_SubPractices[D],Practices_SubPractices[CP],"9",Practices_SubPractices[Org],"Large"),IF(AND(Practices_SubPractices[CP]=10,Practices_SubPractices[Org] ="Large"),SUMIFS(Practices_SubPractices[D],Practices_SubPractices[CP],"10",Practices_SubPractices[Org],"Large"),"TBD"))))))))))))))))))))))))))))))</f>
        <v>7</v>
      </c>
      <c r="R31" s="77">
        <f>IF(AND(Practices_SubPractices[CP]=1,Practices_SubPractices[Org]="Small"),SUMIFS(Practices_SubPractices[E],Practices_SubPractices[CP],"1",Practices_SubPractices[Org],"Small"),IF(AND(Practices_SubPractices[CP]=2,Practices_SubPractices[Org]="Small"),SUMIFS(Practices_SubPractices[E],Practices_SubPractices[CP],"2",Practices_SubPractices[Org],"Small"),IF(AND(Practices_SubPractices[CP]=3,Practices_SubPractices[Org]="Small"),SUMIFS(Practices_SubPractices[E],Practices_SubPractices[CP],"3",Practices_SubPractices[Org],"Small"),IF(AND(Practices_SubPractices[CP]=4,Practices_SubPractices[Org]="Small"),SUMIFS(Practices_SubPractices[E],Practices_SubPractices[CP],"4",Practices_SubPractices[Org],"Small"),IF(AND(Practices_SubPractices[CP]=5,Practices_SubPractices[Org]="Small"),SUMIFS(Practices_SubPractices[E],Practices_SubPractices[CP],"5",Practices_SubPractices[Org],"Small"),IF(AND(Practices_SubPractices[CP]=6,Practices_SubPractices[Org]="Small"),SUMIFS(Practices_SubPractices[E],Practices_SubPractices[CP],"6",Practices_SubPractices[Org],"Small"),IF(AND(Practices_SubPractices[CP]=7,Practices_SubPractices[Org] ="Small"),SUMIFS(Practices_SubPractices[E],Practices_SubPractices[CP],"7",Practices_SubPractices[Org],"Small"),IF(AND(Practices_SubPractices[CP]=8,Practices_SubPractices[Org] ="Small"),SUMIFS(Practices_SubPractices[E],Practices_SubPractices[CP],"8",Practices_SubPractices[Org],"Small"),IF(AND(Practices_SubPractices[CP]=9,Practices_SubPractices[Org] ="Small"),SUMIFS(Practices_SubPractices[E],Practices_SubPractices[CP],"9",Practices_SubPractices[Org],"Small"),IF(AND(Practices_SubPractices[CP]=10,Practices_SubPractices[Org] ="Small"),SUMIFS(Practices_SubPractices[E],Practices_SubPractices[CP],"10",Practices_SubPractices[Org],"Small"),IF(AND(Practices_SubPractices[CP]=1,Practices_SubPractices[Org]="Medium"),SUMIFS(Practices_SubPractices[E],Practices_SubPractices[CP],"1",Practices_SubPractices[Org],"Medium"),IF(AND(Practices_SubPractices[CP]=2,Practices_SubPractices[Org]="Medium"),SUMIFS(Practices_SubPractices[E],Practices_SubPractices[CP],"2",Practices_SubPractices[Org],"Medium"),IF(AND(Practices_SubPractices[CP]=3,Practices_SubPractices[Org]="Medium"),SUMIFS(Practices_SubPractices[E],Practices_SubPractices[CP],"3",Practices_SubPractices[Org],"Medium"),IF(AND(Practices_SubPractices[CP]=4,Practices_SubPractices[Org]="Medium"),SUMIFS(Practices_SubPractices[E],Practices_SubPractices[CP],"4",Practices_SubPractices[Org],"Medium"),IF(AND(Practices_SubPractices[CP]=5,Practices_SubPractices[Org]="Medium"),SUMIFS(Practices_SubPractices[E],Practices_SubPractices[CP],"5",Practices_SubPractices[Org],"Medium"),IF(AND(Practices_SubPractices[CP]=6,Practices_SubPractices[Org]="Medium"),SUMIFS(Practices_SubPractices[E],Practices_SubPractices[CP],"6",Practices_SubPractices[Org],"Medium"),IF(AND(Practices_SubPractices[CP]=7,Practices_SubPractices[Org] ="Medium"),SUMIFS(Practices_SubPractices[E],Practices_SubPractices[CP],"7",Practices_SubPractices[Org],"Medium"),IF(AND(Practices_SubPractices[CP]=8,Practices_SubPractices[Org] ="Medium"),SUMIFS(Practices_SubPractices[E],Practices_SubPractices[CP],"8",Practices_SubPractices[Org],"Medium"),IF(AND(Practices_SubPractices[CP]=9,Practices_SubPractices[Org] ="Medium"),SUMIFS(Practices_SubPractices[E],Practices_SubPractices[CP],"9",Practices_SubPractices[Org],"Medium"),IF(AND(Practices_SubPractices[CP]=10,Practices_SubPractices[Org] ="Medium"),SUMIFS(Practices_SubPractices[E],Practices_SubPractices[CP],"10",Practices_SubPractices[Org],"Medium"),IF(AND(Practices_SubPractices[CP]=1,Practices_SubPractices[Org]="Large"),SUMIFS(Practices_SubPractices[E],Practices_SubPractices[CP],"1",Practices_SubPractices[Org],"Large"),IF(AND(Practices_SubPractices[CP]=2,Practices_SubPractices[Org]="Large"),SUMIFS(Practices_SubPractices[E],Practices_SubPractices[CP],"2",Practices_SubPractices[Org],"Large"),IF(AND(Practices_SubPractices[CP]=3,Practices_SubPractices[Org]="Large"),SUMIFS(Practices_SubPractices[E],Practices_SubPractices[CP],"3",Practices_SubPractices[Org],"Large"),IF(AND(Practices_SubPractices[CP]=4,Practices_SubPractices[Org]="Large"),SUMIFS(Practices_SubPractices[E],Practices_SubPractices[CP],"4",Practices_SubPractices[Org],"Large"),IF(AND(Practices_SubPractices[CP]=5,Practices_SubPractices[Org]="Large"),SUMIFS(Practices_SubPractices[E],Practices_SubPractices[CP],"5",Practices_SubPractices[Org],"Large"),IF(AND(Practices_SubPractices[CP]=6,Practices_SubPractices[Org]="Large"),SUMIFS(Practices_SubPractices[E],Practices_SubPractices[CP],"6",Practices_SubPractices[Org],"Large"),IF(AND(Practices_SubPractices[CP]=7,Practices_SubPractices[Org] ="Large"),SUMIFS(Practices_SubPractices[E],Practices_SubPractices[CP],"7",Practices_SubPractices[Org],"Large"),IF(AND(Practices_SubPractices[CP]=8,Practices_SubPractices[Org] ="Large"),SUMIFS(Practices_SubPractices[E],Practices_SubPractices[CP],"8",Practices_SubPractices[Org],"Large"),IF(AND(Practices_SubPractices[CP]=9,Practices_SubPractices[Org] ="Large"),SUMIFS(Practices_SubPractices[E],Practices_SubPractices[CP],"9",Practices_SubPractices[Org],"Large"),IF(AND(Practices_SubPractices[CP]=10,Practices_SubPractices[Org] ="Large"),SUMIFS(Practices_SubPractices[E],Practices_SubPractices[CP],"10",Practices_SubPractices[Org],"Large"),"TBD"))))))))))))))))))))))))))))))</f>
        <v>1</v>
      </c>
      <c r="S31" s="86" t="s">
        <v>405</v>
      </c>
    </row>
    <row r="32" spans="1:19" x14ac:dyDescent="0.35">
      <c r="A32" s="73">
        <v>22</v>
      </c>
      <c r="B32" s="73">
        <v>1</v>
      </c>
      <c r="C32" s="73" t="s">
        <v>11</v>
      </c>
      <c r="D32" s="73" t="str">
        <f>Practices_SubPractices[[#This Row],[CP]]&amp;LEFT(Practices_SubPractices[[#This Row],[Org]],1)</f>
        <v>1M</v>
      </c>
      <c r="E32" s="73" t="s">
        <v>266</v>
      </c>
      <c r="F32" s="74" t="s">
        <v>56</v>
      </c>
      <c r="G32" s="74" t="s">
        <v>196</v>
      </c>
      <c r="H32" s="74" t="s">
        <v>195</v>
      </c>
      <c r="I32" s="75">
        <v>2</v>
      </c>
      <c r="J32" s="75">
        <v>2</v>
      </c>
      <c r="K32" s="75">
        <v>1</v>
      </c>
      <c r="L32" s="75">
        <v>1</v>
      </c>
      <c r="M32" s="75">
        <v>1</v>
      </c>
      <c r="N32" s="76"/>
      <c r="O32" s="77">
        <f>IF(AND(Practices_SubPractices[CP]=1,Practices_SubPractices[Org]="Small"),SUMIFS(Practices_SubPractices[B],Practices_SubPractices[CP],"1",Practices_SubPractices[Org],"Small"),IF(AND(Practices_SubPractices[CP]=2,Practices_SubPractices[Org]="Small"),SUMIFS(Practices_SubPractices[B],Practices_SubPractices[CP],"2",Practices_SubPractices[Org],"Small"),IF(AND(Practices_SubPractices[CP]=3,Practices_SubPractices[Org]="Small"),SUMIFS(Practices_SubPractices[B],Practices_SubPractices[CP],"3",Practices_SubPractices[Org],"Small"),IF(AND(Practices_SubPractices[CP]=4,Practices_SubPractices[Org]="Small"),SUMIFS(Practices_SubPractices[B],Practices_SubPractices[CP],"4",Practices_SubPractices[Org],"Small"),IF(AND(Practices_SubPractices[CP]=5,Practices_SubPractices[Org]="Small"),SUMIFS(Practices_SubPractices[B],Practices_SubPractices[CP],"5",Practices_SubPractices[Org],"Small"),IF(AND(Practices_SubPractices[CP]=6,Practices_SubPractices[Org]="Small"),SUMIFS(Practices_SubPractices[B],Practices_SubPractices[CP],"6",Practices_SubPractices[Org],"Small"),IF(AND(Practices_SubPractices[CP]=7,Practices_SubPractices[Org] ="Small"),SUMIFS(Practices_SubPractices[B],Practices_SubPractices[CP],"7",Practices_SubPractices[Org],"Small"),IF(AND(Practices_SubPractices[CP]=8,Practices_SubPractices[Org] ="Small"),SUMIFS(Practices_SubPractices[B],Practices_SubPractices[CP],"8",Practices_SubPractices[Org],"Small"),IF(AND(Practices_SubPractices[CP]=9,Practices_SubPractices[Org] ="Small"),SUMIFS(Practices_SubPractices[B],Practices_SubPractices[CP],"9",Practices_SubPractices[Org],"Small"),IF(AND(Practices_SubPractices[CP]=10,Practices_SubPractices[Org] ="Small"),SUMIFS(Practices_SubPractices[B],Practices_SubPractices[CP],"10",Practices_SubPractices[Org],"Small"),IF(AND(Practices_SubPractices[CP]=1,Practices_SubPractices[Org]="Medium"),SUMIFS(Practices_SubPractices[B],Practices_SubPractices[CP],"1",Practices_SubPractices[Org],"Medium"),IF(AND(Practices_SubPractices[CP]=2,Practices_SubPractices[Org]="Medium"),SUMIFS(Practices_SubPractices[B],Practices_SubPractices[CP],"2",Practices_SubPractices[Org],"Medium"),IF(AND(Practices_SubPractices[CP]=3,Practices_SubPractices[Org]="Medium"),SUMIFS(Practices_SubPractices[B],Practices_SubPractices[CP],"3",Practices_SubPractices[Org],"Medium"),IF(AND(Practices_SubPractices[CP]=4,Practices_SubPractices[Org]="Medium"),SUMIFS(Practices_SubPractices[B],Practices_SubPractices[CP],"4",Practices_SubPractices[Org],"Medium"),IF(AND(Practices_SubPractices[CP]=5,Practices_SubPractices[Org]="Medium"),SUMIFS(Practices_SubPractices[B],Practices_SubPractices[CP],"5",Practices_SubPractices[Org],"Medium"),IF(AND(Practices_SubPractices[CP]=6,Practices_SubPractices[Org]="Medium"),SUMIFS(Practices_SubPractices[B],Practices_SubPractices[CP],"6",Practices_SubPractices[Org],"Medium"),IF(AND(Practices_SubPractices[CP]=7,Practices_SubPractices[Org] ="Medium"),SUMIFS(Practices_SubPractices[B],Practices_SubPractices[CP],"7",Practices_SubPractices[Org],"Medium"),IF(AND(Practices_SubPractices[CP]=8,Practices_SubPractices[Org] ="Medium"),SUMIFS(Practices_SubPractices[B],Practices_SubPractices[CP],"8",Practices_SubPractices[Org],"Medium"),IF(AND(Practices_SubPractices[CP]=9,Practices_SubPractices[Org] ="Medium"),SUMIFS(Practices_SubPractices[B],Practices_SubPractices[CP],"9",Practices_SubPractices[Org],"Medium"),IF(AND(Practices_SubPractices[CP]=10,Practices_SubPractices[Org] ="Medium"),SUMIFS(Practices_SubPractices[B],Practices_SubPractices[CP],"10",Practices_SubPractices[Org],"Medium"),IF(AND(Practices_SubPractices[CP]=1,Practices_SubPractices[Org]="Large"),SUMIFS(Practices_SubPractices[B],Practices_SubPractices[CP],"1",Practices_SubPractices[Org],"Large"),IF(AND(Practices_SubPractices[CP]=2,Practices_SubPractices[Org]="Large"),SUMIFS(Practices_SubPractices[B],Practices_SubPractices[CP],"2",Practices_SubPractices[Org],"Large"),IF(AND(Practices_SubPractices[CP]=3,Practices_SubPractices[Org]="Large"),SUMIFS(Practices_SubPractices[B],Practices_SubPractices[CP],"3",Practices_SubPractices[Org],"Large"),IF(AND(Practices_SubPractices[CP]=4,Practices_SubPractices[Org]="Large"),SUMIFS(Practices_SubPractices[B],Practices_SubPractices[CP],"4",Practices_SubPractices[Org],"Large"),IF(AND(Practices_SubPractices[CP]=5,Practices_SubPractices[Org]="Large"),SUMIFS(Practices_SubPractices[B],Practices_SubPractices[CP],"5",Practices_SubPractices[Org],"Large"),IF(AND(Practices_SubPractices[CP]=6,Practices_SubPractices[Org]="Large"),SUMIFS(Practices_SubPractices[B],Practices_SubPractices[CP],"6",Practices_SubPractices[Org],"Large"),IF(AND(Practices_SubPractices[CP]=7,Practices_SubPractices[Org] ="Large"),SUMIFS(Practices_SubPractices[B],Practices_SubPractices[CP],"7",Practices_SubPractices[Org],"Large"),IF(AND(Practices_SubPractices[CP]=8,Practices_SubPractices[Org] ="Large"),SUMIFS(Practices_SubPractices[B],Practices_SubPractices[CP],"8",Practices_SubPractices[Org],"Large"),IF(AND(Practices_SubPractices[CP]=9,Practices_SubPractices[Org] ="Large"),SUMIFS(Practices_SubPractices[B],Practices_SubPractices[CP],"9",Practices_SubPractices[Org],"Large"),IF(AND(Practices_SubPractices[CP]=10,Practices_SubPractices[Org] ="Large"),SUMIFS(Practices_SubPractices[B],Practices_SubPractices[CP],"10",Practices_SubPractices[Org],"Large"),"TBD"))))))))))))))))))))))))))))))</f>
        <v>6</v>
      </c>
      <c r="P32" s="77">
        <f>IF(AND(Practices_SubPractices[CP]=1,Practices_SubPractices[Org]="Small"),SUMIFS(Practices_SubPractices[C],Practices_SubPractices[CP],"1",Practices_SubPractices[Org],"Small"),IF(AND(Practices_SubPractices[CP]=2,Practices_SubPractices[Org]="Small"),SUMIFS(Practices_SubPractices[C],Practices_SubPractices[CP],"2",Practices_SubPractices[Org],"Small"),IF(AND(Practices_SubPractices[CP]=3,Practices_SubPractices[Org]="Small"),SUMIFS(Practices_SubPractices[C],Practices_SubPractices[CP],"3",Practices_SubPractices[Org],"Small"),IF(AND(Practices_SubPractices[CP]=4,Practices_SubPractices[Org]="Small"),SUMIFS(Practices_SubPractices[C],Practices_SubPractices[CP],"4",Practices_SubPractices[Org],"Small"),IF(AND(Practices_SubPractices[CP]=5,Practices_SubPractices[Org]="Small"),SUMIFS(Practices_SubPractices[C],Practices_SubPractices[CP],"5",Practices_SubPractices[Org],"Small"),IF(AND(Practices_SubPractices[CP]=6,Practices_SubPractices[Org]="Small"),SUMIFS(Practices_SubPractices[C],Practices_SubPractices[CP],"6",Practices_SubPractices[Org],"Small"),IF(AND(Practices_SubPractices[CP]=7,Practices_SubPractices[Org] ="Small"),SUMIFS(Practices_SubPractices[C],Practices_SubPractices[CP],"7",Practices_SubPractices[Org],"Small"),IF(AND(Practices_SubPractices[CP]=8,Practices_SubPractices[Org] ="Small"),SUMIFS(Practices_SubPractices[C],Practices_SubPractices[CP],"8",Practices_SubPractices[Org],"Small"),IF(AND(Practices_SubPractices[CP]=9,Practices_SubPractices[Org] ="Small"),SUMIFS(Practices_SubPractices[C],Practices_SubPractices[CP],"9",Practices_SubPractices[Org],"Small"),IF(AND(Practices_SubPractices[CP]=10,Practices_SubPractices[Org] ="Small"),SUMIFS(Practices_SubPractices[C],Practices_SubPractices[CP],"10",Practices_SubPractices[Org],"Small"),IF(AND(Practices_SubPractices[CP]=1,Practices_SubPractices[Org]="Medium"),SUMIFS(Practices_SubPractices[C],Practices_SubPractices[CP],"1",Practices_SubPractices[Org],"Medium"),IF(AND(Practices_SubPractices[CP]=2,Practices_SubPractices[Org]="Medium"),SUMIFS(Practices_SubPractices[C],Practices_SubPractices[CP],"2",Practices_SubPractices[Org],"Medium"),IF(AND(Practices_SubPractices[CP]=3,Practices_SubPractices[Org]="Medium"),SUMIFS(Practices_SubPractices[C],Practices_SubPractices[CP],"3",Practices_SubPractices[Org],"Medium"),IF(AND(Practices_SubPractices[CP]=4,Practices_SubPractices[Org]="Medium"),SUMIFS(Practices_SubPractices[C],Practices_SubPractices[CP],"4",Practices_SubPractices[Org],"Medium"),IF(AND(Practices_SubPractices[CP]=5,Practices_SubPractices[Org]="Medium"),SUMIFS(Practices_SubPractices[C],Practices_SubPractices[CP],"5",Practices_SubPractices[Org],"Medium"),IF(AND(Practices_SubPractices[CP]=6,Practices_SubPractices[Org]="Medium"),SUMIFS(Practices_SubPractices[C],Practices_SubPractices[CP],"6",Practices_SubPractices[Org],"Medium"),IF(AND(Practices_SubPractices[CP]=7,Practices_SubPractices[Org] ="Medium"),SUMIFS(Practices_SubPractices[C],Practices_SubPractices[CP],"7",Practices_SubPractices[Org],"Medium"),IF(AND(Practices_SubPractices[CP]=8,Practices_SubPractices[Org] ="Medium"),SUMIFS(Practices_SubPractices[C],Practices_SubPractices[CP],"8",Practices_SubPractices[Org],"Medium"),IF(AND(Practices_SubPractices[CP]=9,Practices_SubPractices[Org] ="Medium"),SUMIFS(Practices_SubPractices[C],Practices_SubPractices[CP],"9",Practices_SubPractices[Org],"Medium"),IF(AND(Practices_SubPractices[CP]=10,Practices_SubPractices[Org] ="Medium"),SUMIFS(Practices_SubPractices[C],Practices_SubPractices[CP],"10",Practices_SubPractices[Org],"Medium"),IF(AND(Practices_SubPractices[CP]=1,Practices_SubPractices[Org]="Large"),SUMIFS(Practices_SubPractices[C],Practices_SubPractices[CP],"1",Practices_SubPractices[Org],"Large"),IF(AND(Practices_SubPractices[CP]=2,Practices_SubPractices[Org]="Large"),SUMIFS(Practices_SubPractices[C],Practices_SubPractices[CP],"2",Practices_SubPractices[Org],"Large"),IF(AND(Practices_SubPractices[CP]=3,Practices_SubPractices[Org]="Large"),SUMIFS(Practices_SubPractices[C],Practices_SubPractices[CP],"3",Practices_SubPractices[Org],"Large"),IF(AND(Practices_SubPractices[CP]=4,Practices_SubPractices[Org]="Large"),SUMIFS(Practices_SubPractices[C],Practices_SubPractices[CP],"4",Practices_SubPractices[Org],"Large"),IF(AND(Practices_SubPractices[CP]=5,Practices_SubPractices[Org]="Large"),SUMIFS(Practices_SubPractices[C],Practices_SubPractices[CP],"5",Practices_SubPractices[Org],"Large"),IF(AND(Practices_SubPractices[CP]=6,Practices_SubPractices[Org]="Large"),SUMIFS(Practices_SubPractices[C],Practices_SubPractices[CP],"6",Practices_SubPractices[Org],"Large"),IF(AND(Practices_SubPractices[CP]=7,Practices_SubPractices[Org] ="Large"),SUMIFS(Practices_SubPractices[C],Practices_SubPractices[CP],"7",Practices_SubPractices[Org],"Large"),IF(AND(Practices_SubPractices[CP]=8,Practices_SubPractices[Org] ="Large"),SUMIFS(Practices_SubPractices[C],Practices_SubPractices[CP],"8",Practices_SubPractices[Org],"Large"),IF(AND(Practices_SubPractices[CP]=9,Practices_SubPractices[Org] ="Large"),SUMIFS(Practices_SubPractices[C],Practices_SubPractices[CP],"9",Practices_SubPractices[Org],"Large"),IF(AND(Practices_SubPractices[CP]=10,Practices_SubPractices[Org] ="Large"),SUMIFS(Practices_SubPractices[C],Practices_SubPractices[CP],"10",Practices_SubPractices[Org],"Large"),"TBD"))))))))))))))))))))))))))))))</f>
        <v>3</v>
      </c>
      <c r="Q32" s="77">
        <f>IF(AND(Practices_SubPractices[CP]=1,Practices_SubPractices[Org]="Small"),SUMIFS(Practices_SubPractices[D],Practices_SubPractices[CP],"1",Practices_SubPractices[Org],"Small"),IF(AND(Practices_SubPractices[CP]=2,Practices_SubPractices[Org]="Small"),SUMIFS(Practices_SubPractices[D],Practices_SubPractices[CP],"2",Practices_SubPractices[Org],"Small"),IF(AND(Practices_SubPractices[CP]=3,Practices_SubPractices[Org]="Small"),SUMIFS(Practices_SubPractices[D],Practices_SubPractices[CP],"3",Practices_SubPractices[Org],"Small"),IF(AND(Practices_SubPractices[CP]=4,Practices_SubPractices[Org]="Small"),SUMIFS(Practices_SubPractices[D],Practices_SubPractices[CP],"4",Practices_SubPractices[Org],"Small"),IF(AND(Practices_SubPractices[CP]=5,Practices_SubPractices[Org]="Small"),SUMIFS(Practices_SubPractices[D],Practices_SubPractices[CP],"5",Practices_SubPractices[Org],"Small"),IF(AND(Practices_SubPractices[CP]=6,Practices_SubPractices[Org]="Small"),SUMIFS(Practices_SubPractices[D],Practices_SubPractices[CP],"6",Practices_SubPractices[Org],"Small"),IF(AND(Practices_SubPractices[CP]=7,Practices_SubPractices[Org] ="Small"),SUMIFS(Practices_SubPractices[D],Practices_SubPractices[CP],"7",Practices_SubPractices[Org],"Small"),IF(AND(Practices_SubPractices[CP]=8,Practices_SubPractices[Org] ="Small"),SUMIFS(Practices_SubPractices[D],Practices_SubPractices[CP],"8",Practices_SubPractices[Org],"Small"),IF(AND(Practices_SubPractices[CP]=9,Practices_SubPractices[Org] ="Small"),SUMIFS(Practices_SubPractices[D],Practices_SubPractices[CP],"9",Practices_SubPractices[Org],"Small"),IF(AND(Practices_SubPractices[CP]=10,Practices_SubPractices[Org] ="Small"),SUMIFS(Practices_SubPractices[D],Practices_SubPractices[CP],"10",Practices_SubPractices[Org],"Small"),IF(AND(Practices_SubPractices[CP]=1,Practices_SubPractices[Org]="Medium"),SUMIFS(Practices_SubPractices[D],Practices_SubPractices[CP],"1",Practices_SubPractices[Org],"Medium"),IF(AND(Practices_SubPractices[CP]=2,Practices_SubPractices[Org]="Medium"),SUMIFS(Practices_SubPractices[D],Practices_SubPractices[CP],"2",Practices_SubPractices[Org],"Medium"),IF(AND(Practices_SubPractices[CP]=3,Practices_SubPractices[Org]="Medium"),SUMIFS(Practices_SubPractices[D],Practices_SubPractices[CP],"3",Practices_SubPractices[Org],"Medium"),IF(AND(Practices_SubPractices[CP]=4,Practices_SubPractices[Org]="Medium"),SUMIFS(Practices_SubPractices[D],Practices_SubPractices[CP],"4",Practices_SubPractices[Org],"Medium"),IF(AND(Practices_SubPractices[CP]=5,Practices_SubPractices[Org]="Medium"),SUMIFS(Practices_SubPractices[D],Practices_SubPractices[CP],"5",Practices_SubPractices[Org],"Medium"),IF(AND(Practices_SubPractices[CP]=6,Practices_SubPractices[Org]="Medium"),SUMIFS(Practices_SubPractices[D],Practices_SubPractices[CP],"6",Practices_SubPractices[Org],"Medium"),IF(AND(Practices_SubPractices[CP]=7,Practices_SubPractices[Org] ="Medium"),SUMIFS(Practices_SubPractices[D],Practices_SubPractices[CP],"7",Practices_SubPractices[Org],"Medium"),IF(AND(Practices_SubPractices[CP]=8,Practices_SubPractices[Org] ="Medium"),SUMIFS(Practices_SubPractices[D],Practices_SubPractices[CP],"8",Practices_SubPractices[Org],"Medium"),IF(AND(Practices_SubPractices[CP]=9,Practices_SubPractices[Org] ="Medium"),SUMIFS(Practices_SubPractices[D],Practices_SubPractices[CP],"9",Practices_SubPractices[Org],"Medium"),IF(AND(Practices_SubPractices[CP]=10,Practices_SubPractices[Org] ="Medium"),SUMIFS(Practices_SubPractices[D],Practices_SubPractices[CP],"10",Practices_SubPractices[Org],"Medium"),IF(AND(Practices_SubPractices[CP]=1,Practices_SubPractices[Org]="Large"),SUMIFS(Practices_SubPractices[D],Practices_SubPractices[CP],"1",Practices_SubPractices[Org],"Large"),IF(AND(Practices_SubPractices[CP]=2,Practices_SubPractices[Org]="Large"),SUMIFS(Practices_SubPractices[D],Practices_SubPractices[CP],"2",Practices_SubPractices[Org],"Large"),IF(AND(Practices_SubPractices[CP]=3,Practices_SubPractices[Org]="Large"),SUMIFS(Practices_SubPractices[D],Practices_SubPractices[CP],"3",Practices_SubPractices[Org],"Large"),IF(AND(Practices_SubPractices[CP]=4,Practices_SubPractices[Org]="Large"),SUMIFS(Practices_SubPractices[D],Practices_SubPractices[CP],"4",Practices_SubPractices[Org],"Large"),IF(AND(Practices_SubPractices[CP]=5,Practices_SubPractices[Org]="Large"),SUMIFS(Practices_SubPractices[D],Practices_SubPractices[CP],"5",Practices_SubPractices[Org],"Large"),IF(AND(Practices_SubPractices[CP]=6,Practices_SubPractices[Org]="Large"),SUMIFS(Practices_SubPractices[D],Practices_SubPractices[CP],"6",Practices_SubPractices[Org],"Large"),IF(AND(Practices_SubPractices[CP]=7,Practices_SubPractices[Org] ="Large"),SUMIFS(Practices_SubPractices[D],Practices_SubPractices[CP],"7",Practices_SubPractices[Org],"Large"),IF(AND(Practices_SubPractices[CP]=8,Practices_SubPractices[Org] ="Large"),SUMIFS(Practices_SubPractices[D],Practices_SubPractices[CP],"8",Practices_SubPractices[Org],"Large"),IF(AND(Practices_SubPractices[CP]=9,Practices_SubPractices[Org] ="Large"),SUMIFS(Practices_SubPractices[D],Practices_SubPractices[CP],"9",Practices_SubPractices[Org],"Large"),IF(AND(Practices_SubPractices[CP]=10,Practices_SubPractices[Org] ="Large"),SUMIFS(Practices_SubPractices[D],Practices_SubPractices[CP],"10",Practices_SubPractices[Org],"Large"),"TBD"))))))))))))))))))))))))))))))</f>
        <v>5</v>
      </c>
      <c r="R32" s="77">
        <f>IF(AND(Practices_SubPractices[CP]=1,Practices_SubPractices[Org]="Small"),SUMIFS(Practices_SubPractices[E],Practices_SubPractices[CP],"1",Practices_SubPractices[Org],"Small"),IF(AND(Practices_SubPractices[CP]=2,Practices_SubPractices[Org]="Small"),SUMIFS(Practices_SubPractices[E],Practices_SubPractices[CP],"2",Practices_SubPractices[Org],"Small"),IF(AND(Practices_SubPractices[CP]=3,Practices_SubPractices[Org]="Small"),SUMIFS(Practices_SubPractices[E],Practices_SubPractices[CP],"3",Practices_SubPractices[Org],"Small"),IF(AND(Practices_SubPractices[CP]=4,Practices_SubPractices[Org]="Small"),SUMIFS(Practices_SubPractices[E],Practices_SubPractices[CP],"4",Practices_SubPractices[Org],"Small"),IF(AND(Practices_SubPractices[CP]=5,Practices_SubPractices[Org]="Small"),SUMIFS(Practices_SubPractices[E],Practices_SubPractices[CP],"5",Practices_SubPractices[Org],"Small"),IF(AND(Practices_SubPractices[CP]=6,Practices_SubPractices[Org]="Small"),SUMIFS(Practices_SubPractices[E],Practices_SubPractices[CP],"6",Practices_SubPractices[Org],"Small"),IF(AND(Practices_SubPractices[CP]=7,Practices_SubPractices[Org] ="Small"),SUMIFS(Practices_SubPractices[E],Practices_SubPractices[CP],"7",Practices_SubPractices[Org],"Small"),IF(AND(Practices_SubPractices[CP]=8,Practices_SubPractices[Org] ="Small"),SUMIFS(Practices_SubPractices[E],Practices_SubPractices[CP],"8",Practices_SubPractices[Org],"Small"),IF(AND(Practices_SubPractices[CP]=9,Practices_SubPractices[Org] ="Small"),SUMIFS(Practices_SubPractices[E],Practices_SubPractices[CP],"9",Practices_SubPractices[Org],"Small"),IF(AND(Practices_SubPractices[CP]=10,Practices_SubPractices[Org] ="Small"),SUMIFS(Practices_SubPractices[E],Practices_SubPractices[CP],"10",Practices_SubPractices[Org],"Small"),IF(AND(Practices_SubPractices[CP]=1,Practices_SubPractices[Org]="Medium"),SUMIFS(Practices_SubPractices[E],Practices_SubPractices[CP],"1",Practices_SubPractices[Org],"Medium"),IF(AND(Practices_SubPractices[CP]=2,Practices_SubPractices[Org]="Medium"),SUMIFS(Practices_SubPractices[E],Practices_SubPractices[CP],"2",Practices_SubPractices[Org],"Medium"),IF(AND(Practices_SubPractices[CP]=3,Practices_SubPractices[Org]="Medium"),SUMIFS(Practices_SubPractices[E],Practices_SubPractices[CP],"3",Practices_SubPractices[Org],"Medium"),IF(AND(Practices_SubPractices[CP]=4,Practices_SubPractices[Org]="Medium"),SUMIFS(Practices_SubPractices[E],Practices_SubPractices[CP],"4",Practices_SubPractices[Org],"Medium"),IF(AND(Practices_SubPractices[CP]=5,Practices_SubPractices[Org]="Medium"),SUMIFS(Practices_SubPractices[E],Practices_SubPractices[CP],"5",Practices_SubPractices[Org],"Medium"),IF(AND(Practices_SubPractices[CP]=6,Practices_SubPractices[Org]="Medium"),SUMIFS(Practices_SubPractices[E],Practices_SubPractices[CP],"6",Practices_SubPractices[Org],"Medium"),IF(AND(Practices_SubPractices[CP]=7,Practices_SubPractices[Org] ="Medium"),SUMIFS(Practices_SubPractices[E],Practices_SubPractices[CP],"7",Practices_SubPractices[Org],"Medium"),IF(AND(Practices_SubPractices[CP]=8,Practices_SubPractices[Org] ="Medium"),SUMIFS(Practices_SubPractices[E],Practices_SubPractices[CP],"8",Practices_SubPractices[Org],"Medium"),IF(AND(Practices_SubPractices[CP]=9,Practices_SubPractices[Org] ="Medium"),SUMIFS(Practices_SubPractices[E],Practices_SubPractices[CP],"9",Practices_SubPractices[Org],"Medium"),IF(AND(Practices_SubPractices[CP]=10,Practices_SubPractices[Org] ="Medium"),SUMIFS(Practices_SubPractices[E],Practices_SubPractices[CP],"10",Practices_SubPractices[Org],"Medium"),IF(AND(Practices_SubPractices[CP]=1,Practices_SubPractices[Org]="Large"),SUMIFS(Practices_SubPractices[E],Practices_SubPractices[CP],"1",Practices_SubPractices[Org],"Large"),IF(AND(Practices_SubPractices[CP]=2,Practices_SubPractices[Org]="Large"),SUMIFS(Practices_SubPractices[E],Practices_SubPractices[CP],"2",Practices_SubPractices[Org],"Large"),IF(AND(Practices_SubPractices[CP]=3,Practices_SubPractices[Org]="Large"),SUMIFS(Practices_SubPractices[E],Practices_SubPractices[CP],"3",Practices_SubPractices[Org],"Large"),IF(AND(Practices_SubPractices[CP]=4,Practices_SubPractices[Org]="Large"),SUMIFS(Practices_SubPractices[E],Practices_SubPractices[CP],"4",Practices_SubPractices[Org],"Large"),IF(AND(Practices_SubPractices[CP]=5,Practices_SubPractices[Org]="Large"),SUMIFS(Practices_SubPractices[E],Practices_SubPractices[CP],"5",Practices_SubPractices[Org],"Large"),IF(AND(Practices_SubPractices[CP]=6,Practices_SubPractices[Org]="Large"),SUMIFS(Practices_SubPractices[E],Practices_SubPractices[CP],"6",Practices_SubPractices[Org],"Large"),IF(AND(Practices_SubPractices[CP]=7,Practices_SubPractices[Org] ="Large"),SUMIFS(Practices_SubPractices[E],Practices_SubPractices[CP],"7",Practices_SubPractices[Org],"Large"),IF(AND(Practices_SubPractices[CP]=8,Practices_SubPractices[Org] ="Large"),SUMIFS(Practices_SubPractices[E],Practices_SubPractices[CP],"8",Practices_SubPractices[Org],"Large"),IF(AND(Practices_SubPractices[CP]=9,Practices_SubPractices[Org] ="Large"),SUMIFS(Practices_SubPractices[E],Practices_SubPractices[CP],"9",Practices_SubPractices[Org],"Large"),IF(AND(Practices_SubPractices[CP]=10,Practices_SubPractices[Org] ="Large"),SUMIFS(Practices_SubPractices[E],Practices_SubPractices[CP],"10",Practices_SubPractices[Org],"Large"),"TBD"))))))))))))))))))))))))))))))</f>
        <v>1</v>
      </c>
      <c r="S32" s="48" t="s">
        <v>406</v>
      </c>
    </row>
    <row r="33" spans="1:19" x14ac:dyDescent="0.35">
      <c r="A33" s="73">
        <v>23</v>
      </c>
      <c r="B33" s="73">
        <v>1</v>
      </c>
      <c r="C33" s="73" t="s">
        <v>12</v>
      </c>
      <c r="D33" s="73" t="str">
        <f>Practices_SubPractices[[#This Row],[CP]]&amp;LEFT(Practices_SubPractices[[#This Row],[Org]],1)</f>
        <v>1L</v>
      </c>
      <c r="E33" s="73" t="s">
        <v>266</v>
      </c>
      <c r="F33" s="74" t="s">
        <v>56</v>
      </c>
      <c r="G33" s="74" t="s">
        <v>196</v>
      </c>
      <c r="H33" s="74" t="s">
        <v>195</v>
      </c>
      <c r="I33" s="75">
        <v>2</v>
      </c>
      <c r="J33" s="75">
        <v>2</v>
      </c>
      <c r="K33" s="75">
        <v>1</v>
      </c>
      <c r="L33" s="75">
        <v>1</v>
      </c>
      <c r="M33" s="75">
        <v>1</v>
      </c>
      <c r="N33" s="76"/>
      <c r="O33" s="77">
        <f>IF(AND(Practices_SubPractices[CP]=1,Practices_SubPractices[Org]="Small"),SUMIFS(Practices_SubPractices[B],Practices_SubPractices[CP],"1",Practices_SubPractices[Org],"Small"),IF(AND(Practices_SubPractices[CP]=2,Practices_SubPractices[Org]="Small"),SUMIFS(Practices_SubPractices[B],Practices_SubPractices[CP],"2",Practices_SubPractices[Org],"Small"),IF(AND(Practices_SubPractices[CP]=3,Practices_SubPractices[Org]="Small"),SUMIFS(Practices_SubPractices[B],Practices_SubPractices[CP],"3",Practices_SubPractices[Org],"Small"),IF(AND(Practices_SubPractices[CP]=4,Practices_SubPractices[Org]="Small"),SUMIFS(Practices_SubPractices[B],Practices_SubPractices[CP],"4",Practices_SubPractices[Org],"Small"),IF(AND(Practices_SubPractices[CP]=5,Practices_SubPractices[Org]="Small"),SUMIFS(Practices_SubPractices[B],Practices_SubPractices[CP],"5",Practices_SubPractices[Org],"Small"),IF(AND(Practices_SubPractices[CP]=6,Practices_SubPractices[Org]="Small"),SUMIFS(Practices_SubPractices[B],Practices_SubPractices[CP],"6",Practices_SubPractices[Org],"Small"),IF(AND(Practices_SubPractices[CP]=7,Practices_SubPractices[Org] ="Small"),SUMIFS(Practices_SubPractices[B],Practices_SubPractices[CP],"7",Practices_SubPractices[Org],"Small"),IF(AND(Practices_SubPractices[CP]=8,Practices_SubPractices[Org] ="Small"),SUMIFS(Practices_SubPractices[B],Practices_SubPractices[CP],"8",Practices_SubPractices[Org],"Small"),IF(AND(Practices_SubPractices[CP]=9,Practices_SubPractices[Org] ="Small"),SUMIFS(Practices_SubPractices[B],Practices_SubPractices[CP],"9",Practices_SubPractices[Org],"Small"),IF(AND(Practices_SubPractices[CP]=10,Practices_SubPractices[Org] ="Small"),SUMIFS(Practices_SubPractices[B],Practices_SubPractices[CP],"10",Practices_SubPractices[Org],"Small"),IF(AND(Practices_SubPractices[CP]=1,Practices_SubPractices[Org]="Medium"),SUMIFS(Practices_SubPractices[B],Practices_SubPractices[CP],"1",Practices_SubPractices[Org],"Medium"),IF(AND(Practices_SubPractices[CP]=2,Practices_SubPractices[Org]="Medium"),SUMIFS(Practices_SubPractices[B],Practices_SubPractices[CP],"2",Practices_SubPractices[Org],"Medium"),IF(AND(Practices_SubPractices[CP]=3,Practices_SubPractices[Org]="Medium"),SUMIFS(Practices_SubPractices[B],Practices_SubPractices[CP],"3",Practices_SubPractices[Org],"Medium"),IF(AND(Practices_SubPractices[CP]=4,Practices_SubPractices[Org]="Medium"),SUMIFS(Practices_SubPractices[B],Practices_SubPractices[CP],"4",Practices_SubPractices[Org],"Medium"),IF(AND(Practices_SubPractices[CP]=5,Practices_SubPractices[Org]="Medium"),SUMIFS(Practices_SubPractices[B],Practices_SubPractices[CP],"5",Practices_SubPractices[Org],"Medium"),IF(AND(Practices_SubPractices[CP]=6,Practices_SubPractices[Org]="Medium"),SUMIFS(Practices_SubPractices[B],Practices_SubPractices[CP],"6",Practices_SubPractices[Org],"Medium"),IF(AND(Practices_SubPractices[CP]=7,Practices_SubPractices[Org] ="Medium"),SUMIFS(Practices_SubPractices[B],Practices_SubPractices[CP],"7",Practices_SubPractices[Org],"Medium"),IF(AND(Practices_SubPractices[CP]=8,Practices_SubPractices[Org] ="Medium"),SUMIFS(Practices_SubPractices[B],Practices_SubPractices[CP],"8",Practices_SubPractices[Org],"Medium"),IF(AND(Practices_SubPractices[CP]=9,Practices_SubPractices[Org] ="Medium"),SUMIFS(Practices_SubPractices[B],Practices_SubPractices[CP],"9",Practices_SubPractices[Org],"Medium"),IF(AND(Practices_SubPractices[CP]=10,Practices_SubPractices[Org] ="Medium"),SUMIFS(Practices_SubPractices[B],Practices_SubPractices[CP],"10",Practices_SubPractices[Org],"Medium"),IF(AND(Practices_SubPractices[CP]=1,Practices_SubPractices[Org]="Large"),SUMIFS(Practices_SubPractices[B],Practices_SubPractices[CP],"1",Practices_SubPractices[Org],"Large"),IF(AND(Practices_SubPractices[CP]=2,Practices_SubPractices[Org]="Large"),SUMIFS(Practices_SubPractices[B],Practices_SubPractices[CP],"2",Practices_SubPractices[Org],"Large"),IF(AND(Practices_SubPractices[CP]=3,Practices_SubPractices[Org]="Large"),SUMIFS(Practices_SubPractices[B],Practices_SubPractices[CP],"3",Practices_SubPractices[Org],"Large"),IF(AND(Practices_SubPractices[CP]=4,Practices_SubPractices[Org]="Large"),SUMIFS(Practices_SubPractices[B],Practices_SubPractices[CP],"4",Practices_SubPractices[Org],"Large"),IF(AND(Practices_SubPractices[CP]=5,Practices_SubPractices[Org]="Large"),SUMIFS(Practices_SubPractices[B],Practices_SubPractices[CP],"5",Practices_SubPractices[Org],"Large"),IF(AND(Practices_SubPractices[CP]=6,Practices_SubPractices[Org]="Large"),SUMIFS(Practices_SubPractices[B],Practices_SubPractices[CP],"6",Practices_SubPractices[Org],"Large"),IF(AND(Practices_SubPractices[CP]=7,Practices_SubPractices[Org] ="Large"),SUMIFS(Practices_SubPractices[B],Practices_SubPractices[CP],"7",Practices_SubPractices[Org],"Large"),IF(AND(Practices_SubPractices[CP]=8,Practices_SubPractices[Org] ="Large"),SUMIFS(Practices_SubPractices[B],Practices_SubPractices[CP],"8",Practices_SubPractices[Org],"Large"),IF(AND(Practices_SubPractices[CP]=9,Practices_SubPractices[Org] ="Large"),SUMIFS(Practices_SubPractices[B],Practices_SubPractices[CP],"9",Practices_SubPractices[Org],"Large"),IF(AND(Practices_SubPractices[CP]=10,Practices_SubPractices[Org] ="Large"),SUMIFS(Practices_SubPractices[B],Practices_SubPractices[CP],"10",Practices_SubPractices[Org],"Large"),"TBD"))))))))))))))))))))))))))))))</f>
        <v>10</v>
      </c>
      <c r="P33" s="77">
        <f>IF(AND(Practices_SubPractices[CP]=1,Practices_SubPractices[Org]="Small"),SUMIFS(Practices_SubPractices[C],Practices_SubPractices[CP],"1",Practices_SubPractices[Org],"Small"),IF(AND(Practices_SubPractices[CP]=2,Practices_SubPractices[Org]="Small"),SUMIFS(Practices_SubPractices[C],Practices_SubPractices[CP],"2",Practices_SubPractices[Org],"Small"),IF(AND(Practices_SubPractices[CP]=3,Practices_SubPractices[Org]="Small"),SUMIFS(Practices_SubPractices[C],Practices_SubPractices[CP],"3",Practices_SubPractices[Org],"Small"),IF(AND(Practices_SubPractices[CP]=4,Practices_SubPractices[Org]="Small"),SUMIFS(Practices_SubPractices[C],Practices_SubPractices[CP],"4",Practices_SubPractices[Org],"Small"),IF(AND(Practices_SubPractices[CP]=5,Practices_SubPractices[Org]="Small"),SUMIFS(Practices_SubPractices[C],Practices_SubPractices[CP],"5",Practices_SubPractices[Org],"Small"),IF(AND(Practices_SubPractices[CP]=6,Practices_SubPractices[Org]="Small"),SUMIFS(Practices_SubPractices[C],Practices_SubPractices[CP],"6",Practices_SubPractices[Org],"Small"),IF(AND(Practices_SubPractices[CP]=7,Practices_SubPractices[Org] ="Small"),SUMIFS(Practices_SubPractices[C],Practices_SubPractices[CP],"7",Practices_SubPractices[Org],"Small"),IF(AND(Practices_SubPractices[CP]=8,Practices_SubPractices[Org] ="Small"),SUMIFS(Practices_SubPractices[C],Practices_SubPractices[CP],"8",Practices_SubPractices[Org],"Small"),IF(AND(Practices_SubPractices[CP]=9,Practices_SubPractices[Org] ="Small"),SUMIFS(Practices_SubPractices[C],Practices_SubPractices[CP],"9",Practices_SubPractices[Org],"Small"),IF(AND(Practices_SubPractices[CP]=10,Practices_SubPractices[Org] ="Small"),SUMIFS(Practices_SubPractices[C],Practices_SubPractices[CP],"10",Practices_SubPractices[Org],"Small"),IF(AND(Practices_SubPractices[CP]=1,Practices_SubPractices[Org]="Medium"),SUMIFS(Practices_SubPractices[C],Practices_SubPractices[CP],"1",Practices_SubPractices[Org],"Medium"),IF(AND(Practices_SubPractices[CP]=2,Practices_SubPractices[Org]="Medium"),SUMIFS(Practices_SubPractices[C],Practices_SubPractices[CP],"2",Practices_SubPractices[Org],"Medium"),IF(AND(Practices_SubPractices[CP]=3,Practices_SubPractices[Org]="Medium"),SUMIFS(Practices_SubPractices[C],Practices_SubPractices[CP],"3",Practices_SubPractices[Org],"Medium"),IF(AND(Practices_SubPractices[CP]=4,Practices_SubPractices[Org]="Medium"),SUMIFS(Practices_SubPractices[C],Practices_SubPractices[CP],"4",Practices_SubPractices[Org],"Medium"),IF(AND(Practices_SubPractices[CP]=5,Practices_SubPractices[Org]="Medium"),SUMIFS(Practices_SubPractices[C],Practices_SubPractices[CP],"5",Practices_SubPractices[Org],"Medium"),IF(AND(Practices_SubPractices[CP]=6,Practices_SubPractices[Org]="Medium"),SUMIFS(Practices_SubPractices[C],Practices_SubPractices[CP],"6",Practices_SubPractices[Org],"Medium"),IF(AND(Practices_SubPractices[CP]=7,Practices_SubPractices[Org] ="Medium"),SUMIFS(Practices_SubPractices[C],Practices_SubPractices[CP],"7",Practices_SubPractices[Org],"Medium"),IF(AND(Practices_SubPractices[CP]=8,Practices_SubPractices[Org] ="Medium"),SUMIFS(Practices_SubPractices[C],Practices_SubPractices[CP],"8",Practices_SubPractices[Org],"Medium"),IF(AND(Practices_SubPractices[CP]=9,Practices_SubPractices[Org] ="Medium"),SUMIFS(Practices_SubPractices[C],Practices_SubPractices[CP],"9",Practices_SubPractices[Org],"Medium"),IF(AND(Practices_SubPractices[CP]=10,Practices_SubPractices[Org] ="Medium"),SUMIFS(Practices_SubPractices[C],Practices_SubPractices[CP],"10",Practices_SubPractices[Org],"Medium"),IF(AND(Practices_SubPractices[CP]=1,Practices_SubPractices[Org]="Large"),SUMIFS(Practices_SubPractices[C],Practices_SubPractices[CP],"1",Practices_SubPractices[Org],"Large"),IF(AND(Practices_SubPractices[CP]=2,Practices_SubPractices[Org]="Large"),SUMIFS(Practices_SubPractices[C],Practices_SubPractices[CP],"2",Practices_SubPractices[Org],"Large"),IF(AND(Practices_SubPractices[CP]=3,Practices_SubPractices[Org]="Large"),SUMIFS(Practices_SubPractices[C],Practices_SubPractices[CP],"3",Practices_SubPractices[Org],"Large"),IF(AND(Practices_SubPractices[CP]=4,Practices_SubPractices[Org]="Large"),SUMIFS(Practices_SubPractices[C],Practices_SubPractices[CP],"4",Practices_SubPractices[Org],"Large"),IF(AND(Practices_SubPractices[CP]=5,Practices_SubPractices[Org]="Large"),SUMIFS(Practices_SubPractices[C],Practices_SubPractices[CP],"5",Practices_SubPractices[Org],"Large"),IF(AND(Practices_SubPractices[CP]=6,Practices_SubPractices[Org]="Large"),SUMIFS(Practices_SubPractices[C],Practices_SubPractices[CP],"6",Practices_SubPractices[Org],"Large"),IF(AND(Practices_SubPractices[CP]=7,Practices_SubPractices[Org] ="Large"),SUMIFS(Practices_SubPractices[C],Practices_SubPractices[CP],"7",Practices_SubPractices[Org],"Large"),IF(AND(Practices_SubPractices[CP]=8,Practices_SubPractices[Org] ="Large"),SUMIFS(Practices_SubPractices[C],Practices_SubPractices[CP],"8",Practices_SubPractices[Org],"Large"),IF(AND(Practices_SubPractices[CP]=9,Practices_SubPractices[Org] ="Large"),SUMIFS(Practices_SubPractices[C],Practices_SubPractices[CP],"9",Practices_SubPractices[Org],"Large"),IF(AND(Practices_SubPractices[CP]=10,Practices_SubPractices[Org] ="Large"),SUMIFS(Practices_SubPractices[C],Practices_SubPractices[CP],"10",Practices_SubPractices[Org],"Large"),"TBD"))))))))))))))))))))))))))))))</f>
        <v>4</v>
      </c>
      <c r="Q33" s="77">
        <f>IF(AND(Practices_SubPractices[CP]=1,Practices_SubPractices[Org]="Small"),SUMIFS(Practices_SubPractices[D],Practices_SubPractices[CP],"1",Practices_SubPractices[Org],"Small"),IF(AND(Practices_SubPractices[CP]=2,Practices_SubPractices[Org]="Small"),SUMIFS(Practices_SubPractices[D],Practices_SubPractices[CP],"2",Practices_SubPractices[Org],"Small"),IF(AND(Practices_SubPractices[CP]=3,Practices_SubPractices[Org]="Small"),SUMIFS(Practices_SubPractices[D],Practices_SubPractices[CP],"3",Practices_SubPractices[Org],"Small"),IF(AND(Practices_SubPractices[CP]=4,Practices_SubPractices[Org]="Small"),SUMIFS(Practices_SubPractices[D],Practices_SubPractices[CP],"4",Practices_SubPractices[Org],"Small"),IF(AND(Practices_SubPractices[CP]=5,Practices_SubPractices[Org]="Small"),SUMIFS(Practices_SubPractices[D],Practices_SubPractices[CP],"5",Practices_SubPractices[Org],"Small"),IF(AND(Practices_SubPractices[CP]=6,Practices_SubPractices[Org]="Small"),SUMIFS(Practices_SubPractices[D],Practices_SubPractices[CP],"6",Practices_SubPractices[Org],"Small"),IF(AND(Practices_SubPractices[CP]=7,Practices_SubPractices[Org] ="Small"),SUMIFS(Practices_SubPractices[D],Practices_SubPractices[CP],"7",Practices_SubPractices[Org],"Small"),IF(AND(Practices_SubPractices[CP]=8,Practices_SubPractices[Org] ="Small"),SUMIFS(Practices_SubPractices[D],Practices_SubPractices[CP],"8",Practices_SubPractices[Org],"Small"),IF(AND(Practices_SubPractices[CP]=9,Practices_SubPractices[Org] ="Small"),SUMIFS(Practices_SubPractices[D],Practices_SubPractices[CP],"9",Practices_SubPractices[Org],"Small"),IF(AND(Practices_SubPractices[CP]=10,Practices_SubPractices[Org] ="Small"),SUMIFS(Practices_SubPractices[D],Practices_SubPractices[CP],"10",Practices_SubPractices[Org],"Small"),IF(AND(Practices_SubPractices[CP]=1,Practices_SubPractices[Org]="Medium"),SUMIFS(Practices_SubPractices[D],Practices_SubPractices[CP],"1",Practices_SubPractices[Org],"Medium"),IF(AND(Practices_SubPractices[CP]=2,Practices_SubPractices[Org]="Medium"),SUMIFS(Practices_SubPractices[D],Practices_SubPractices[CP],"2",Practices_SubPractices[Org],"Medium"),IF(AND(Practices_SubPractices[CP]=3,Practices_SubPractices[Org]="Medium"),SUMIFS(Practices_SubPractices[D],Practices_SubPractices[CP],"3",Practices_SubPractices[Org],"Medium"),IF(AND(Practices_SubPractices[CP]=4,Practices_SubPractices[Org]="Medium"),SUMIFS(Practices_SubPractices[D],Practices_SubPractices[CP],"4",Practices_SubPractices[Org],"Medium"),IF(AND(Practices_SubPractices[CP]=5,Practices_SubPractices[Org]="Medium"),SUMIFS(Practices_SubPractices[D],Practices_SubPractices[CP],"5",Practices_SubPractices[Org],"Medium"),IF(AND(Practices_SubPractices[CP]=6,Practices_SubPractices[Org]="Medium"),SUMIFS(Practices_SubPractices[D],Practices_SubPractices[CP],"6",Practices_SubPractices[Org],"Medium"),IF(AND(Practices_SubPractices[CP]=7,Practices_SubPractices[Org] ="Medium"),SUMIFS(Practices_SubPractices[D],Practices_SubPractices[CP],"7",Practices_SubPractices[Org],"Medium"),IF(AND(Practices_SubPractices[CP]=8,Practices_SubPractices[Org] ="Medium"),SUMIFS(Practices_SubPractices[D],Practices_SubPractices[CP],"8",Practices_SubPractices[Org],"Medium"),IF(AND(Practices_SubPractices[CP]=9,Practices_SubPractices[Org] ="Medium"),SUMIFS(Practices_SubPractices[D],Practices_SubPractices[CP],"9",Practices_SubPractices[Org],"Medium"),IF(AND(Practices_SubPractices[CP]=10,Practices_SubPractices[Org] ="Medium"),SUMIFS(Practices_SubPractices[D],Practices_SubPractices[CP],"10",Practices_SubPractices[Org],"Medium"),IF(AND(Practices_SubPractices[CP]=1,Practices_SubPractices[Org]="Large"),SUMIFS(Practices_SubPractices[D],Practices_SubPractices[CP],"1",Practices_SubPractices[Org],"Large"),IF(AND(Practices_SubPractices[CP]=2,Practices_SubPractices[Org]="Large"),SUMIFS(Practices_SubPractices[D],Practices_SubPractices[CP],"2",Practices_SubPractices[Org],"Large"),IF(AND(Practices_SubPractices[CP]=3,Practices_SubPractices[Org]="Large"),SUMIFS(Practices_SubPractices[D],Practices_SubPractices[CP],"3",Practices_SubPractices[Org],"Large"),IF(AND(Practices_SubPractices[CP]=4,Practices_SubPractices[Org]="Large"),SUMIFS(Practices_SubPractices[D],Practices_SubPractices[CP],"4",Practices_SubPractices[Org],"Large"),IF(AND(Practices_SubPractices[CP]=5,Practices_SubPractices[Org]="Large"),SUMIFS(Practices_SubPractices[D],Practices_SubPractices[CP],"5",Practices_SubPractices[Org],"Large"),IF(AND(Practices_SubPractices[CP]=6,Practices_SubPractices[Org]="Large"),SUMIFS(Practices_SubPractices[D],Practices_SubPractices[CP],"6",Practices_SubPractices[Org],"Large"),IF(AND(Practices_SubPractices[CP]=7,Practices_SubPractices[Org] ="Large"),SUMIFS(Practices_SubPractices[D],Practices_SubPractices[CP],"7",Practices_SubPractices[Org],"Large"),IF(AND(Practices_SubPractices[CP]=8,Practices_SubPractices[Org] ="Large"),SUMIFS(Practices_SubPractices[D],Practices_SubPractices[CP],"8",Practices_SubPractices[Org],"Large"),IF(AND(Practices_SubPractices[CP]=9,Practices_SubPractices[Org] ="Large"),SUMIFS(Practices_SubPractices[D],Practices_SubPractices[CP],"9",Practices_SubPractices[Org],"Large"),IF(AND(Practices_SubPractices[CP]=10,Practices_SubPractices[Org] ="Large"),SUMIFS(Practices_SubPractices[D],Practices_SubPractices[CP],"10",Practices_SubPractices[Org],"Large"),"TBD"))))))))))))))))))))))))))))))</f>
        <v>7</v>
      </c>
      <c r="R33" s="77">
        <f>IF(AND(Practices_SubPractices[CP]=1,Practices_SubPractices[Org]="Small"),SUMIFS(Practices_SubPractices[E],Practices_SubPractices[CP],"1",Practices_SubPractices[Org],"Small"),IF(AND(Practices_SubPractices[CP]=2,Practices_SubPractices[Org]="Small"),SUMIFS(Practices_SubPractices[E],Practices_SubPractices[CP],"2",Practices_SubPractices[Org],"Small"),IF(AND(Practices_SubPractices[CP]=3,Practices_SubPractices[Org]="Small"),SUMIFS(Practices_SubPractices[E],Practices_SubPractices[CP],"3",Practices_SubPractices[Org],"Small"),IF(AND(Practices_SubPractices[CP]=4,Practices_SubPractices[Org]="Small"),SUMIFS(Practices_SubPractices[E],Practices_SubPractices[CP],"4",Practices_SubPractices[Org],"Small"),IF(AND(Practices_SubPractices[CP]=5,Practices_SubPractices[Org]="Small"),SUMIFS(Practices_SubPractices[E],Practices_SubPractices[CP],"5",Practices_SubPractices[Org],"Small"),IF(AND(Practices_SubPractices[CP]=6,Practices_SubPractices[Org]="Small"),SUMIFS(Practices_SubPractices[E],Practices_SubPractices[CP],"6",Practices_SubPractices[Org],"Small"),IF(AND(Practices_SubPractices[CP]=7,Practices_SubPractices[Org] ="Small"),SUMIFS(Practices_SubPractices[E],Practices_SubPractices[CP],"7",Practices_SubPractices[Org],"Small"),IF(AND(Practices_SubPractices[CP]=8,Practices_SubPractices[Org] ="Small"),SUMIFS(Practices_SubPractices[E],Practices_SubPractices[CP],"8",Practices_SubPractices[Org],"Small"),IF(AND(Practices_SubPractices[CP]=9,Practices_SubPractices[Org] ="Small"),SUMIFS(Practices_SubPractices[E],Practices_SubPractices[CP],"9",Practices_SubPractices[Org],"Small"),IF(AND(Practices_SubPractices[CP]=10,Practices_SubPractices[Org] ="Small"),SUMIFS(Practices_SubPractices[E],Practices_SubPractices[CP],"10",Practices_SubPractices[Org],"Small"),IF(AND(Practices_SubPractices[CP]=1,Practices_SubPractices[Org]="Medium"),SUMIFS(Practices_SubPractices[E],Practices_SubPractices[CP],"1",Practices_SubPractices[Org],"Medium"),IF(AND(Practices_SubPractices[CP]=2,Practices_SubPractices[Org]="Medium"),SUMIFS(Practices_SubPractices[E],Practices_SubPractices[CP],"2",Practices_SubPractices[Org],"Medium"),IF(AND(Practices_SubPractices[CP]=3,Practices_SubPractices[Org]="Medium"),SUMIFS(Practices_SubPractices[E],Practices_SubPractices[CP],"3",Practices_SubPractices[Org],"Medium"),IF(AND(Practices_SubPractices[CP]=4,Practices_SubPractices[Org]="Medium"),SUMIFS(Practices_SubPractices[E],Practices_SubPractices[CP],"4",Practices_SubPractices[Org],"Medium"),IF(AND(Practices_SubPractices[CP]=5,Practices_SubPractices[Org]="Medium"),SUMIFS(Practices_SubPractices[E],Practices_SubPractices[CP],"5",Practices_SubPractices[Org],"Medium"),IF(AND(Practices_SubPractices[CP]=6,Practices_SubPractices[Org]="Medium"),SUMIFS(Practices_SubPractices[E],Practices_SubPractices[CP],"6",Practices_SubPractices[Org],"Medium"),IF(AND(Practices_SubPractices[CP]=7,Practices_SubPractices[Org] ="Medium"),SUMIFS(Practices_SubPractices[E],Practices_SubPractices[CP],"7",Practices_SubPractices[Org],"Medium"),IF(AND(Practices_SubPractices[CP]=8,Practices_SubPractices[Org] ="Medium"),SUMIFS(Practices_SubPractices[E],Practices_SubPractices[CP],"8",Practices_SubPractices[Org],"Medium"),IF(AND(Practices_SubPractices[CP]=9,Practices_SubPractices[Org] ="Medium"),SUMIFS(Practices_SubPractices[E],Practices_SubPractices[CP],"9",Practices_SubPractices[Org],"Medium"),IF(AND(Practices_SubPractices[CP]=10,Practices_SubPractices[Org] ="Medium"),SUMIFS(Practices_SubPractices[E],Practices_SubPractices[CP],"10",Practices_SubPractices[Org],"Medium"),IF(AND(Practices_SubPractices[CP]=1,Practices_SubPractices[Org]="Large"),SUMIFS(Practices_SubPractices[E],Practices_SubPractices[CP],"1",Practices_SubPractices[Org],"Large"),IF(AND(Practices_SubPractices[CP]=2,Practices_SubPractices[Org]="Large"),SUMIFS(Practices_SubPractices[E],Practices_SubPractices[CP],"2",Practices_SubPractices[Org],"Large"),IF(AND(Practices_SubPractices[CP]=3,Practices_SubPractices[Org]="Large"),SUMIFS(Practices_SubPractices[E],Practices_SubPractices[CP],"3",Practices_SubPractices[Org],"Large"),IF(AND(Practices_SubPractices[CP]=4,Practices_SubPractices[Org]="Large"),SUMIFS(Practices_SubPractices[E],Practices_SubPractices[CP],"4",Practices_SubPractices[Org],"Large"),IF(AND(Practices_SubPractices[CP]=5,Practices_SubPractices[Org]="Large"),SUMIFS(Practices_SubPractices[E],Practices_SubPractices[CP],"5",Practices_SubPractices[Org],"Large"),IF(AND(Practices_SubPractices[CP]=6,Practices_SubPractices[Org]="Large"),SUMIFS(Practices_SubPractices[E],Practices_SubPractices[CP],"6",Practices_SubPractices[Org],"Large"),IF(AND(Practices_SubPractices[CP]=7,Practices_SubPractices[Org] ="Large"),SUMIFS(Practices_SubPractices[E],Practices_SubPractices[CP],"7",Practices_SubPractices[Org],"Large"),IF(AND(Practices_SubPractices[CP]=8,Practices_SubPractices[Org] ="Large"),SUMIFS(Practices_SubPractices[E],Practices_SubPractices[CP],"8",Practices_SubPractices[Org],"Large"),IF(AND(Practices_SubPractices[CP]=9,Practices_SubPractices[Org] ="Large"),SUMIFS(Practices_SubPractices[E],Practices_SubPractices[CP],"9",Practices_SubPractices[Org],"Large"),IF(AND(Practices_SubPractices[CP]=10,Practices_SubPractices[Org] ="Large"),SUMIFS(Practices_SubPractices[E],Practices_SubPractices[CP],"10",Practices_SubPractices[Org],"Large"),"TBD"))))))))))))))))))))))))))))))</f>
        <v>1</v>
      </c>
      <c r="S33" s="48" t="s">
        <v>406</v>
      </c>
    </row>
    <row r="34" spans="1:19" x14ac:dyDescent="0.35">
      <c r="A34" s="73">
        <v>24</v>
      </c>
      <c r="B34" s="73">
        <v>1</v>
      </c>
      <c r="C34" s="73" t="s">
        <v>11</v>
      </c>
      <c r="D34" s="73" t="str">
        <f>Practices_SubPractices[[#This Row],[CP]]&amp;LEFT(Practices_SubPractices[[#This Row],[Org]],1)</f>
        <v>1M</v>
      </c>
      <c r="E34" s="73" t="s">
        <v>267</v>
      </c>
      <c r="F34" s="74" t="s">
        <v>57</v>
      </c>
      <c r="G34" s="74" t="s">
        <v>59</v>
      </c>
      <c r="H34" s="74" t="s">
        <v>197</v>
      </c>
      <c r="I34" s="75">
        <v>0</v>
      </c>
      <c r="J34" s="75">
        <v>0</v>
      </c>
      <c r="K34" s="75">
        <v>2</v>
      </c>
      <c r="L34" s="75">
        <v>2</v>
      </c>
      <c r="M34" s="75">
        <v>0</v>
      </c>
      <c r="N34" s="76"/>
      <c r="O34" s="77">
        <f>IF(AND(Practices_SubPractices[CP]=1,Practices_SubPractices[Org]="Small"),SUMIFS(Practices_SubPractices[B],Practices_SubPractices[CP],"1",Practices_SubPractices[Org],"Small"),IF(AND(Practices_SubPractices[CP]=2,Practices_SubPractices[Org]="Small"),SUMIFS(Practices_SubPractices[B],Practices_SubPractices[CP],"2",Practices_SubPractices[Org],"Small"),IF(AND(Practices_SubPractices[CP]=3,Practices_SubPractices[Org]="Small"),SUMIFS(Practices_SubPractices[B],Practices_SubPractices[CP],"3",Practices_SubPractices[Org],"Small"),IF(AND(Practices_SubPractices[CP]=4,Practices_SubPractices[Org]="Small"),SUMIFS(Practices_SubPractices[B],Practices_SubPractices[CP],"4",Practices_SubPractices[Org],"Small"),IF(AND(Practices_SubPractices[CP]=5,Practices_SubPractices[Org]="Small"),SUMIFS(Practices_SubPractices[B],Practices_SubPractices[CP],"5",Practices_SubPractices[Org],"Small"),IF(AND(Practices_SubPractices[CP]=6,Practices_SubPractices[Org]="Small"),SUMIFS(Practices_SubPractices[B],Practices_SubPractices[CP],"6",Practices_SubPractices[Org],"Small"),IF(AND(Practices_SubPractices[CP]=7,Practices_SubPractices[Org] ="Small"),SUMIFS(Practices_SubPractices[B],Practices_SubPractices[CP],"7",Practices_SubPractices[Org],"Small"),IF(AND(Practices_SubPractices[CP]=8,Practices_SubPractices[Org] ="Small"),SUMIFS(Practices_SubPractices[B],Practices_SubPractices[CP],"8",Practices_SubPractices[Org],"Small"),IF(AND(Practices_SubPractices[CP]=9,Practices_SubPractices[Org] ="Small"),SUMIFS(Practices_SubPractices[B],Practices_SubPractices[CP],"9",Practices_SubPractices[Org],"Small"),IF(AND(Practices_SubPractices[CP]=10,Practices_SubPractices[Org] ="Small"),SUMIFS(Practices_SubPractices[B],Practices_SubPractices[CP],"10",Practices_SubPractices[Org],"Small"),IF(AND(Practices_SubPractices[CP]=1,Practices_SubPractices[Org]="Medium"),SUMIFS(Practices_SubPractices[B],Practices_SubPractices[CP],"1",Practices_SubPractices[Org],"Medium"),IF(AND(Practices_SubPractices[CP]=2,Practices_SubPractices[Org]="Medium"),SUMIFS(Practices_SubPractices[B],Practices_SubPractices[CP],"2",Practices_SubPractices[Org],"Medium"),IF(AND(Practices_SubPractices[CP]=3,Practices_SubPractices[Org]="Medium"),SUMIFS(Practices_SubPractices[B],Practices_SubPractices[CP],"3",Practices_SubPractices[Org],"Medium"),IF(AND(Practices_SubPractices[CP]=4,Practices_SubPractices[Org]="Medium"),SUMIFS(Practices_SubPractices[B],Practices_SubPractices[CP],"4",Practices_SubPractices[Org],"Medium"),IF(AND(Practices_SubPractices[CP]=5,Practices_SubPractices[Org]="Medium"),SUMIFS(Practices_SubPractices[B],Practices_SubPractices[CP],"5",Practices_SubPractices[Org],"Medium"),IF(AND(Practices_SubPractices[CP]=6,Practices_SubPractices[Org]="Medium"),SUMIFS(Practices_SubPractices[B],Practices_SubPractices[CP],"6",Practices_SubPractices[Org],"Medium"),IF(AND(Practices_SubPractices[CP]=7,Practices_SubPractices[Org] ="Medium"),SUMIFS(Practices_SubPractices[B],Practices_SubPractices[CP],"7",Practices_SubPractices[Org],"Medium"),IF(AND(Practices_SubPractices[CP]=8,Practices_SubPractices[Org] ="Medium"),SUMIFS(Practices_SubPractices[B],Practices_SubPractices[CP],"8",Practices_SubPractices[Org],"Medium"),IF(AND(Practices_SubPractices[CP]=9,Practices_SubPractices[Org] ="Medium"),SUMIFS(Practices_SubPractices[B],Practices_SubPractices[CP],"9",Practices_SubPractices[Org],"Medium"),IF(AND(Practices_SubPractices[CP]=10,Practices_SubPractices[Org] ="Medium"),SUMIFS(Practices_SubPractices[B],Practices_SubPractices[CP],"10",Practices_SubPractices[Org],"Medium"),IF(AND(Practices_SubPractices[CP]=1,Practices_SubPractices[Org]="Large"),SUMIFS(Practices_SubPractices[B],Practices_SubPractices[CP],"1",Practices_SubPractices[Org],"Large"),IF(AND(Practices_SubPractices[CP]=2,Practices_SubPractices[Org]="Large"),SUMIFS(Practices_SubPractices[B],Practices_SubPractices[CP],"2",Practices_SubPractices[Org],"Large"),IF(AND(Practices_SubPractices[CP]=3,Practices_SubPractices[Org]="Large"),SUMIFS(Practices_SubPractices[B],Practices_SubPractices[CP],"3",Practices_SubPractices[Org],"Large"),IF(AND(Practices_SubPractices[CP]=4,Practices_SubPractices[Org]="Large"),SUMIFS(Practices_SubPractices[B],Practices_SubPractices[CP],"4",Practices_SubPractices[Org],"Large"),IF(AND(Practices_SubPractices[CP]=5,Practices_SubPractices[Org]="Large"),SUMIFS(Practices_SubPractices[B],Practices_SubPractices[CP],"5",Practices_SubPractices[Org],"Large"),IF(AND(Practices_SubPractices[CP]=6,Practices_SubPractices[Org]="Large"),SUMIFS(Practices_SubPractices[B],Practices_SubPractices[CP],"6",Practices_SubPractices[Org],"Large"),IF(AND(Practices_SubPractices[CP]=7,Practices_SubPractices[Org] ="Large"),SUMIFS(Practices_SubPractices[B],Practices_SubPractices[CP],"7",Practices_SubPractices[Org],"Large"),IF(AND(Practices_SubPractices[CP]=8,Practices_SubPractices[Org] ="Large"),SUMIFS(Practices_SubPractices[B],Practices_SubPractices[CP],"8",Practices_SubPractices[Org],"Large"),IF(AND(Practices_SubPractices[CP]=9,Practices_SubPractices[Org] ="Large"),SUMIFS(Practices_SubPractices[B],Practices_SubPractices[CP],"9",Practices_SubPractices[Org],"Large"),IF(AND(Practices_SubPractices[CP]=10,Practices_SubPractices[Org] ="Large"),SUMIFS(Practices_SubPractices[B],Practices_SubPractices[CP],"10",Practices_SubPractices[Org],"Large"),"TBD"))))))))))))))))))))))))))))))</f>
        <v>6</v>
      </c>
      <c r="P34" s="77">
        <f>IF(AND(Practices_SubPractices[CP]=1,Practices_SubPractices[Org]="Small"),SUMIFS(Practices_SubPractices[C],Practices_SubPractices[CP],"1",Practices_SubPractices[Org],"Small"),IF(AND(Practices_SubPractices[CP]=2,Practices_SubPractices[Org]="Small"),SUMIFS(Practices_SubPractices[C],Practices_SubPractices[CP],"2",Practices_SubPractices[Org],"Small"),IF(AND(Practices_SubPractices[CP]=3,Practices_SubPractices[Org]="Small"),SUMIFS(Practices_SubPractices[C],Practices_SubPractices[CP],"3",Practices_SubPractices[Org],"Small"),IF(AND(Practices_SubPractices[CP]=4,Practices_SubPractices[Org]="Small"),SUMIFS(Practices_SubPractices[C],Practices_SubPractices[CP],"4",Practices_SubPractices[Org],"Small"),IF(AND(Practices_SubPractices[CP]=5,Practices_SubPractices[Org]="Small"),SUMIFS(Practices_SubPractices[C],Practices_SubPractices[CP],"5",Practices_SubPractices[Org],"Small"),IF(AND(Practices_SubPractices[CP]=6,Practices_SubPractices[Org]="Small"),SUMIFS(Practices_SubPractices[C],Practices_SubPractices[CP],"6",Practices_SubPractices[Org],"Small"),IF(AND(Practices_SubPractices[CP]=7,Practices_SubPractices[Org] ="Small"),SUMIFS(Practices_SubPractices[C],Practices_SubPractices[CP],"7",Practices_SubPractices[Org],"Small"),IF(AND(Practices_SubPractices[CP]=8,Practices_SubPractices[Org] ="Small"),SUMIFS(Practices_SubPractices[C],Practices_SubPractices[CP],"8",Practices_SubPractices[Org],"Small"),IF(AND(Practices_SubPractices[CP]=9,Practices_SubPractices[Org] ="Small"),SUMIFS(Practices_SubPractices[C],Practices_SubPractices[CP],"9",Practices_SubPractices[Org],"Small"),IF(AND(Practices_SubPractices[CP]=10,Practices_SubPractices[Org] ="Small"),SUMIFS(Practices_SubPractices[C],Practices_SubPractices[CP],"10",Practices_SubPractices[Org],"Small"),IF(AND(Practices_SubPractices[CP]=1,Practices_SubPractices[Org]="Medium"),SUMIFS(Practices_SubPractices[C],Practices_SubPractices[CP],"1",Practices_SubPractices[Org],"Medium"),IF(AND(Practices_SubPractices[CP]=2,Practices_SubPractices[Org]="Medium"),SUMIFS(Practices_SubPractices[C],Practices_SubPractices[CP],"2",Practices_SubPractices[Org],"Medium"),IF(AND(Practices_SubPractices[CP]=3,Practices_SubPractices[Org]="Medium"),SUMIFS(Practices_SubPractices[C],Practices_SubPractices[CP],"3",Practices_SubPractices[Org],"Medium"),IF(AND(Practices_SubPractices[CP]=4,Practices_SubPractices[Org]="Medium"),SUMIFS(Practices_SubPractices[C],Practices_SubPractices[CP],"4",Practices_SubPractices[Org],"Medium"),IF(AND(Practices_SubPractices[CP]=5,Practices_SubPractices[Org]="Medium"),SUMIFS(Practices_SubPractices[C],Practices_SubPractices[CP],"5",Practices_SubPractices[Org],"Medium"),IF(AND(Practices_SubPractices[CP]=6,Practices_SubPractices[Org]="Medium"),SUMIFS(Practices_SubPractices[C],Practices_SubPractices[CP],"6",Practices_SubPractices[Org],"Medium"),IF(AND(Practices_SubPractices[CP]=7,Practices_SubPractices[Org] ="Medium"),SUMIFS(Practices_SubPractices[C],Practices_SubPractices[CP],"7",Practices_SubPractices[Org],"Medium"),IF(AND(Practices_SubPractices[CP]=8,Practices_SubPractices[Org] ="Medium"),SUMIFS(Practices_SubPractices[C],Practices_SubPractices[CP],"8",Practices_SubPractices[Org],"Medium"),IF(AND(Practices_SubPractices[CP]=9,Practices_SubPractices[Org] ="Medium"),SUMIFS(Practices_SubPractices[C],Practices_SubPractices[CP],"9",Practices_SubPractices[Org],"Medium"),IF(AND(Practices_SubPractices[CP]=10,Practices_SubPractices[Org] ="Medium"),SUMIFS(Practices_SubPractices[C],Practices_SubPractices[CP],"10",Practices_SubPractices[Org],"Medium"),IF(AND(Practices_SubPractices[CP]=1,Practices_SubPractices[Org]="Large"),SUMIFS(Practices_SubPractices[C],Practices_SubPractices[CP],"1",Practices_SubPractices[Org],"Large"),IF(AND(Practices_SubPractices[CP]=2,Practices_SubPractices[Org]="Large"),SUMIFS(Practices_SubPractices[C],Practices_SubPractices[CP],"2",Practices_SubPractices[Org],"Large"),IF(AND(Practices_SubPractices[CP]=3,Practices_SubPractices[Org]="Large"),SUMIFS(Practices_SubPractices[C],Practices_SubPractices[CP],"3",Practices_SubPractices[Org],"Large"),IF(AND(Practices_SubPractices[CP]=4,Practices_SubPractices[Org]="Large"),SUMIFS(Practices_SubPractices[C],Practices_SubPractices[CP],"4",Practices_SubPractices[Org],"Large"),IF(AND(Practices_SubPractices[CP]=5,Practices_SubPractices[Org]="Large"),SUMIFS(Practices_SubPractices[C],Practices_SubPractices[CP],"5",Practices_SubPractices[Org],"Large"),IF(AND(Practices_SubPractices[CP]=6,Practices_SubPractices[Org]="Large"),SUMIFS(Practices_SubPractices[C],Practices_SubPractices[CP],"6",Practices_SubPractices[Org],"Large"),IF(AND(Practices_SubPractices[CP]=7,Practices_SubPractices[Org] ="Large"),SUMIFS(Practices_SubPractices[C],Practices_SubPractices[CP],"7",Practices_SubPractices[Org],"Large"),IF(AND(Practices_SubPractices[CP]=8,Practices_SubPractices[Org] ="Large"),SUMIFS(Practices_SubPractices[C],Practices_SubPractices[CP],"8",Practices_SubPractices[Org],"Large"),IF(AND(Practices_SubPractices[CP]=9,Practices_SubPractices[Org] ="Large"),SUMIFS(Practices_SubPractices[C],Practices_SubPractices[CP],"9",Practices_SubPractices[Org],"Large"),IF(AND(Practices_SubPractices[CP]=10,Practices_SubPractices[Org] ="Large"),SUMIFS(Practices_SubPractices[C],Practices_SubPractices[CP],"10",Practices_SubPractices[Org],"Large"),"TBD"))))))))))))))))))))))))))))))</f>
        <v>3</v>
      </c>
      <c r="Q34" s="77">
        <f>IF(AND(Practices_SubPractices[CP]=1,Practices_SubPractices[Org]="Small"),SUMIFS(Practices_SubPractices[D],Practices_SubPractices[CP],"1",Practices_SubPractices[Org],"Small"),IF(AND(Practices_SubPractices[CP]=2,Practices_SubPractices[Org]="Small"),SUMIFS(Practices_SubPractices[D],Practices_SubPractices[CP],"2",Practices_SubPractices[Org],"Small"),IF(AND(Practices_SubPractices[CP]=3,Practices_SubPractices[Org]="Small"),SUMIFS(Practices_SubPractices[D],Practices_SubPractices[CP],"3",Practices_SubPractices[Org],"Small"),IF(AND(Practices_SubPractices[CP]=4,Practices_SubPractices[Org]="Small"),SUMIFS(Practices_SubPractices[D],Practices_SubPractices[CP],"4",Practices_SubPractices[Org],"Small"),IF(AND(Practices_SubPractices[CP]=5,Practices_SubPractices[Org]="Small"),SUMIFS(Practices_SubPractices[D],Practices_SubPractices[CP],"5",Practices_SubPractices[Org],"Small"),IF(AND(Practices_SubPractices[CP]=6,Practices_SubPractices[Org]="Small"),SUMIFS(Practices_SubPractices[D],Practices_SubPractices[CP],"6",Practices_SubPractices[Org],"Small"),IF(AND(Practices_SubPractices[CP]=7,Practices_SubPractices[Org] ="Small"),SUMIFS(Practices_SubPractices[D],Practices_SubPractices[CP],"7",Practices_SubPractices[Org],"Small"),IF(AND(Practices_SubPractices[CP]=8,Practices_SubPractices[Org] ="Small"),SUMIFS(Practices_SubPractices[D],Practices_SubPractices[CP],"8",Practices_SubPractices[Org],"Small"),IF(AND(Practices_SubPractices[CP]=9,Practices_SubPractices[Org] ="Small"),SUMIFS(Practices_SubPractices[D],Practices_SubPractices[CP],"9",Practices_SubPractices[Org],"Small"),IF(AND(Practices_SubPractices[CP]=10,Practices_SubPractices[Org] ="Small"),SUMIFS(Practices_SubPractices[D],Practices_SubPractices[CP],"10",Practices_SubPractices[Org],"Small"),IF(AND(Practices_SubPractices[CP]=1,Practices_SubPractices[Org]="Medium"),SUMIFS(Practices_SubPractices[D],Practices_SubPractices[CP],"1",Practices_SubPractices[Org],"Medium"),IF(AND(Practices_SubPractices[CP]=2,Practices_SubPractices[Org]="Medium"),SUMIFS(Practices_SubPractices[D],Practices_SubPractices[CP],"2",Practices_SubPractices[Org],"Medium"),IF(AND(Practices_SubPractices[CP]=3,Practices_SubPractices[Org]="Medium"),SUMIFS(Practices_SubPractices[D],Practices_SubPractices[CP],"3",Practices_SubPractices[Org],"Medium"),IF(AND(Practices_SubPractices[CP]=4,Practices_SubPractices[Org]="Medium"),SUMIFS(Practices_SubPractices[D],Practices_SubPractices[CP],"4",Practices_SubPractices[Org],"Medium"),IF(AND(Practices_SubPractices[CP]=5,Practices_SubPractices[Org]="Medium"),SUMIFS(Practices_SubPractices[D],Practices_SubPractices[CP],"5",Practices_SubPractices[Org],"Medium"),IF(AND(Practices_SubPractices[CP]=6,Practices_SubPractices[Org]="Medium"),SUMIFS(Practices_SubPractices[D],Practices_SubPractices[CP],"6",Practices_SubPractices[Org],"Medium"),IF(AND(Practices_SubPractices[CP]=7,Practices_SubPractices[Org] ="Medium"),SUMIFS(Practices_SubPractices[D],Practices_SubPractices[CP],"7",Practices_SubPractices[Org],"Medium"),IF(AND(Practices_SubPractices[CP]=8,Practices_SubPractices[Org] ="Medium"),SUMIFS(Practices_SubPractices[D],Practices_SubPractices[CP],"8",Practices_SubPractices[Org],"Medium"),IF(AND(Practices_SubPractices[CP]=9,Practices_SubPractices[Org] ="Medium"),SUMIFS(Practices_SubPractices[D],Practices_SubPractices[CP],"9",Practices_SubPractices[Org],"Medium"),IF(AND(Practices_SubPractices[CP]=10,Practices_SubPractices[Org] ="Medium"),SUMIFS(Practices_SubPractices[D],Practices_SubPractices[CP],"10",Practices_SubPractices[Org],"Medium"),IF(AND(Practices_SubPractices[CP]=1,Practices_SubPractices[Org]="Large"),SUMIFS(Practices_SubPractices[D],Practices_SubPractices[CP],"1",Practices_SubPractices[Org],"Large"),IF(AND(Practices_SubPractices[CP]=2,Practices_SubPractices[Org]="Large"),SUMIFS(Practices_SubPractices[D],Practices_SubPractices[CP],"2",Practices_SubPractices[Org],"Large"),IF(AND(Practices_SubPractices[CP]=3,Practices_SubPractices[Org]="Large"),SUMIFS(Practices_SubPractices[D],Practices_SubPractices[CP],"3",Practices_SubPractices[Org],"Large"),IF(AND(Practices_SubPractices[CP]=4,Practices_SubPractices[Org]="Large"),SUMIFS(Practices_SubPractices[D],Practices_SubPractices[CP],"4",Practices_SubPractices[Org],"Large"),IF(AND(Practices_SubPractices[CP]=5,Practices_SubPractices[Org]="Large"),SUMIFS(Practices_SubPractices[D],Practices_SubPractices[CP],"5",Practices_SubPractices[Org],"Large"),IF(AND(Practices_SubPractices[CP]=6,Practices_SubPractices[Org]="Large"),SUMIFS(Practices_SubPractices[D],Practices_SubPractices[CP],"6",Practices_SubPractices[Org],"Large"),IF(AND(Practices_SubPractices[CP]=7,Practices_SubPractices[Org] ="Large"),SUMIFS(Practices_SubPractices[D],Practices_SubPractices[CP],"7",Practices_SubPractices[Org],"Large"),IF(AND(Practices_SubPractices[CP]=8,Practices_SubPractices[Org] ="Large"),SUMIFS(Practices_SubPractices[D],Practices_SubPractices[CP],"8",Practices_SubPractices[Org],"Large"),IF(AND(Practices_SubPractices[CP]=9,Practices_SubPractices[Org] ="Large"),SUMIFS(Practices_SubPractices[D],Practices_SubPractices[CP],"9",Practices_SubPractices[Org],"Large"),IF(AND(Practices_SubPractices[CP]=10,Practices_SubPractices[Org] ="Large"),SUMIFS(Practices_SubPractices[D],Practices_SubPractices[CP],"10",Practices_SubPractices[Org],"Large"),"TBD"))))))))))))))))))))))))))))))</f>
        <v>5</v>
      </c>
      <c r="R34" s="77">
        <f>IF(AND(Practices_SubPractices[CP]=1,Practices_SubPractices[Org]="Small"),SUMIFS(Practices_SubPractices[E],Practices_SubPractices[CP],"1",Practices_SubPractices[Org],"Small"),IF(AND(Practices_SubPractices[CP]=2,Practices_SubPractices[Org]="Small"),SUMIFS(Practices_SubPractices[E],Practices_SubPractices[CP],"2",Practices_SubPractices[Org],"Small"),IF(AND(Practices_SubPractices[CP]=3,Practices_SubPractices[Org]="Small"),SUMIFS(Practices_SubPractices[E],Practices_SubPractices[CP],"3",Practices_SubPractices[Org],"Small"),IF(AND(Practices_SubPractices[CP]=4,Practices_SubPractices[Org]="Small"),SUMIFS(Practices_SubPractices[E],Practices_SubPractices[CP],"4",Practices_SubPractices[Org],"Small"),IF(AND(Practices_SubPractices[CP]=5,Practices_SubPractices[Org]="Small"),SUMIFS(Practices_SubPractices[E],Practices_SubPractices[CP],"5",Practices_SubPractices[Org],"Small"),IF(AND(Practices_SubPractices[CP]=6,Practices_SubPractices[Org]="Small"),SUMIFS(Practices_SubPractices[E],Practices_SubPractices[CP],"6",Practices_SubPractices[Org],"Small"),IF(AND(Practices_SubPractices[CP]=7,Practices_SubPractices[Org] ="Small"),SUMIFS(Practices_SubPractices[E],Practices_SubPractices[CP],"7",Practices_SubPractices[Org],"Small"),IF(AND(Practices_SubPractices[CP]=8,Practices_SubPractices[Org] ="Small"),SUMIFS(Practices_SubPractices[E],Practices_SubPractices[CP],"8",Practices_SubPractices[Org],"Small"),IF(AND(Practices_SubPractices[CP]=9,Practices_SubPractices[Org] ="Small"),SUMIFS(Practices_SubPractices[E],Practices_SubPractices[CP],"9",Practices_SubPractices[Org],"Small"),IF(AND(Practices_SubPractices[CP]=10,Practices_SubPractices[Org] ="Small"),SUMIFS(Practices_SubPractices[E],Practices_SubPractices[CP],"10",Practices_SubPractices[Org],"Small"),IF(AND(Practices_SubPractices[CP]=1,Practices_SubPractices[Org]="Medium"),SUMIFS(Practices_SubPractices[E],Practices_SubPractices[CP],"1",Practices_SubPractices[Org],"Medium"),IF(AND(Practices_SubPractices[CP]=2,Practices_SubPractices[Org]="Medium"),SUMIFS(Practices_SubPractices[E],Practices_SubPractices[CP],"2",Practices_SubPractices[Org],"Medium"),IF(AND(Practices_SubPractices[CP]=3,Practices_SubPractices[Org]="Medium"),SUMIFS(Practices_SubPractices[E],Practices_SubPractices[CP],"3",Practices_SubPractices[Org],"Medium"),IF(AND(Practices_SubPractices[CP]=4,Practices_SubPractices[Org]="Medium"),SUMIFS(Practices_SubPractices[E],Practices_SubPractices[CP],"4",Practices_SubPractices[Org],"Medium"),IF(AND(Practices_SubPractices[CP]=5,Practices_SubPractices[Org]="Medium"),SUMIFS(Practices_SubPractices[E],Practices_SubPractices[CP],"5",Practices_SubPractices[Org],"Medium"),IF(AND(Practices_SubPractices[CP]=6,Practices_SubPractices[Org]="Medium"),SUMIFS(Practices_SubPractices[E],Practices_SubPractices[CP],"6",Practices_SubPractices[Org],"Medium"),IF(AND(Practices_SubPractices[CP]=7,Practices_SubPractices[Org] ="Medium"),SUMIFS(Practices_SubPractices[E],Practices_SubPractices[CP],"7",Practices_SubPractices[Org],"Medium"),IF(AND(Practices_SubPractices[CP]=8,Practices_SubPractices[Org] ="Medium"),SUMIFS(Practices_SubPractices[E],Practices_SubPractices[CP],"8",Practices_SubPractices[Org],"Medium"),IF(AND(Practices_SubPractices[CP]=9,Practices_SubPractices[Org] ="Medium"),SUMIFS(Practices_SubPractices[E],Practices_SubPractices[CP],"9",Practices_SubPractices[Org],"Medium"),IF(AND(Practices_SubPractices[CP]=10,Practices_SubPractices[Org] ="Medium"),SUMIFS(Practices_SubPractices[E],Practices_SubPractices[CP],"10",Practices_SubPractices[Org],"Medium"),IF(AND(Practices_SubPractices[CP]=1,Practices_SubPractices[Org]="Large"),SUMIFS(Practices_SubPractices[E],Practices_SubPractices[CP],"1",Practices_SubPractices[Org],"Large"),IF(AND(Practices_SubPractices[CP]=2,Practices_SubPractices[Org]="Large"),SUMIFS(Practices_SubPractices[E],Practices_SubPractices[CP],"2",Practices_SubPractices[Org],"Large"),IF(AND(Practices_SubPractices[CP]=3,Practices_SubPractices[Org]="Large"),SUMIFS(Practices_SubPractices[E],Practices_SubPractices[CP],"3",Practices_SubPractices[Org],"Large"),IF(AND(Practices_SubPractices[CP]=4,Practices_SubPractices[Org]="Large"),SUMIFS(Practices_SubPractices[E],Practices_SubPractices[CP],"4",Practices_SubPractices[Org],"Large"),IF(AND(Practices_SubPractices[CP]=5,Practices_SubPractices[Org]="Large"),SUMIFS(Practices_SubPractices[E],Practices_SubPractices[CP],"5",Practices_SubPractices[Org],"Large"),IF(AND(Practices_SubPractices[CP]=6,Practices_SubPractices[Org]="Large"),SUMIFS(Practices_SubPractices[E],Practices_SubPractices[CP],"6",Practices_SubPractices[Org],"Large"),IF(AND(Practices_SubPractices[CP]=7,Practices_SubPractices[Org] ="Large"),SUMIFS(Practices_SubPractices[E],Practices_SubPractices[CP],"7",Practices_SubPractices[Org],"Large"),IF(AND(Practices_SubPractices[CP]=8,Practices_SubPractices[Org] ="Large"),SUMIFS(Practices_SubPractices[E],Practices_SubPractices[CP],"8",Practices_SubPractices[Org],"Large"),IF(AND(Practices_SubPractices[CP]=9,Practices_SubPractices[Org] ="Large"),SUMIFS(Practices_SubPractices[E],Practices_SubPractices[CP],"9",Practices_SubPractices[Org],"Large"),IF(AND(Practices_SubPractices[CP]=10,Practices_SubPractices[Org] ="Large"),SUMIFS(Practices_SubPractices[E],Practices_SubPractices[CP],"10",Practices_SubPractices[Org],"Large"),"TBD"))))))))))))))))))))))))))))))</f>
        <v>1</v>
      </c>
      <c r="S34" s="87" t="s">
        <v>407</v>
      </c>
    </row>
    <row r="35" spans="1:19" x14ac:dyDescent="0.35">
      <c r="A35" s="73">
        <v>25</v>
      </c>
      <c r="B35" s="73">
        <v>1</v>
      </c>
      <c r="C35" s="73" t="s">
        <v>12</v>
      </c>
      <c r="D35" s="73" t="str">
        <f>Practices_SubPractices[[#This Row],[CP]]&amp;LEFT(Practices_SubPractices[[#This Row],[Org]],1)</f>
        <v>1L</v>
      </c>
      <c r="E35" s="73" t="s">
        <v>267</v>
      </c>
      <c r="F35" s="74" t="s">
        <v>57</v>
      </c>
      <c r="G35" s="74" t="s">
        <v>59</v>
      </c>
      <c r="H35" s="74" t="s">
        <v>197</v>
      </c>
      <c r="I35" s="75">
        <v>0</v>
      </c>
      <c r="J35" s="75">
        <v>0</v>
      </c>
      <c r="K35" s="75">
        <v>2</v>
      </c>
      <c r="L35" s="75">
        <v>2</v>
      </c>
      <c r="M35" s="75">
        <v>0</v>
      </c>
      <c r="N35" s="76"/>
      <c r="O35" s="77">
        <f>IF(AND(Practices_SubPractices[CP]=1,Practices_SubPractices[Org]="Small"),SUMIFS(Practices_SubPractices[B],Practices_SubPractices[CP],"1",Practices_SubPractices[Org],"Small"),IF(AND(Practices_SubPractices[CP]=2,Practices_SubPractices[Org]="Small"),SUMIFS(Practices_SubPractices[B],Practices_SubPractices[CP],"2",Practices_SubPractices[Org],"Small"),IF(AND(Practices_SubPractices[CP]=3,Practices_SubPractices[Org]="Small"),SUMIFS(Practices_SubPractices[B],Practices_SubPractices[CP],"3",Practices_SubPractices[Org],"Small"),IF(AND(Practices_SubPractices[CP]=4,Practices_SubPractices[Org]="Small"),SUMIFS(Practices_SubPractices[B],Practices_SubPractices[CP],"4",Practices_SubPractices[Org],"Small"),IF(AND(Practices_SubPractices[CP]=5,Practices_SubPractices[Org]="Small"),SUMIFS(Practices_SubPractices[B],Practices_SubPractices[CP],"5",Practices_SubPractices[Org],"Small"),IF(AND(Practices_SubPractices[CP]=6,Practices_SubPractices[Org]="Small"),SUMIFS(Practices_SubPractices[B],Practices_SubPractices[CP],"6",Practices_SubPractices[Org],"Small"),IF(AND(Practices_SubPractices[CP]=7,Practices_SubPractices[Org] ="Small"),SUMIFS(Practices_SubPractices[B],Practices_SubPractices[CP],"7",Practices_SubPractices[Org],"Small"),IF(AND(Practices_SubPractices[CP]=8,Practices_SubPractices[Org] ="Small"),SUMIFS(Practices_SubPractices[B],Practices_SubPractices[CP],"8",Practices_SubPractices[Org],"Small"),IF(AND(Practices_SubPractices[CP]=9,Practices_SubPractices[Org] ="Small"),SUMIFS(Practices_SubPractices[B],Practices_SubPractices[CP],"9",Practices_SubPractices[Org],"Small"),IF(AND(Practices_SubPractices[CP]=10,Practices_SubPractices[Org] ="Small"),SUMIFS(Practices_SubPractices[B],Practices_SubPractices[CP],"10",Practices_SubPractices[Org],"Small"),IF(AND(Practices_SubPractices[CP]=1,Practices_SubPractices[Org]="Medium"),SUMIFS(Practices_SubPractices[B],Practices_SubPractices[CP],"1",Practices_SubPractices[Org],"Medium"),IF(AND(Practices_SubPractices[CP]=2,Practices_SubPractices[Org]="Medium"),SUMIFS(Practices_SubPractices[B],Practices_SubPractices[CP],"2",Practices_SubPractices[Org],"Medium"),IF(AND(Practices_SubPractices[CP]=3,Practices_SubPractices[Org]="Medium"),SUMIFS(Practices_SubPractices[B],Practices_SubPractices[CP],"3",Practices_SubPractices[Org],"Medium"),IF(AND(Practices_SubPractices[CP]=4,Practices_SubPractices[Org]="Medium"),SUMIFS(Practices_SubPractices[B],Practices_SubPractices[CP],"4",Practices_SubPractices[Org],"Medium"),IF(AND(Practices_SubPractices[CP]=5,Practices_SubPractices[Org]="Medium"),SUMIFS(Practices_SubPractices[B],Practices_SubPractices[CP],"5",Practices_SubPractices[Org],"Medium"),IF(AND(Practices_SubPractices[CP]=6,Practices_SubPractices[Org]="Medium"),SUMIFS(Practices_SubPractices[B],Practices_SubPractices[CP],"6",Practices_SubPractices[Org],"Medium"),IF(AND(Practices_SubPractices[CP]=7,Practices_SubPractices[Org] ="Medium"),SUMIFS(Practices_SubPractices[B],Practices_SubPractices[CP],"7",Practices_SubPractices[Org],"Medium"),IF(AND(Practices_SubPractices[CP]=8,Practices_SubPractices[Org] ="Medium"),SUMIFS(Practices_SubPractices[B],Practices_SubPractices[CP],"8",Practices_SubPractices[Org],"Medium"),IF(AND(Practices_SubPractices[CP]=9,Practices_SubPractices[Org] ="Medium"),SUMIFS(Practices_SubPractices[B],Practices_SubPractices[CP],"9",Practices_SubPractices[Org],"Medium"),IF(AND(Practices_SubPractices[CP]=10,Practices_SubPractices[Org] ="Medium"),SUMIFS(Practices_SubPractices[B],Practices_SubPractices[CP],"10",Practices_SubPractices[Org],"Medium"),IF(AND(Practices_SubPractices[CP]=1,Practices_SubPractices[Org]="Large"),SUMIFS(Practices_SubPractices[B],Practices_SubPractices[CP],"1",Practices_SubPractices[Org],"Large"),IF(AND(Practices_SubPractices[CP]=2,Practices_SubPractices[Org]="Large"),SUMIFS(Practices_SubPractices[B],Practices_SubPractices[CP],"2",Practices_SubPractices[Org],"Large"),IF(AND(Practices_SubPractices[CP]=3,Practices_SubPractices[Org]="Large"),SUMIFS(Practices_SubPractices[B],Practices_SubPractices[CP],"3",Practices_SubPractices[Org],"Large"),IF(AND(Practices_SubPractices[CP]=4,Practices_SubPractices[Org]="Large"),SUMIFS(Practices_SubPractices[B],Practices_SubPractices[CP],"4",Practices_SubPractices[Org],"Large"),IF(AND(Practices_SubPractices[CP]=5,Practices_SubPractices[Org]="Large"),SUMIFS(Practices_SubPractices[B],Practices_SubPractices[CP],"5",Practices_SubPractices[Org],"Large"),IF(AND(Practices_SubPractices[CP]=6,Practices_SubPractices[Org]="Large"),SUMIFS(Practices_SubPractices[B],Practices_SubPractices[CP],"6",Practices_SubPractices[Org],"Large"),IF(AND(Practices_SubPractices[CP]=7,Practices_SubPractices[Org] ="Large"),SUMIFS(Practices_SubPractices[B],Practices_SubPractices[CP],"7",Practices_SubPractices[Org],"Large"),IF(AND(Practices_SubPractices[CP]=8,Practices_SubPractices[Org] ="Large"),SUMIFS(Practices_SubPractices[B],Practices_SubPractices[CP],"8",Practices_SubPractices[Org],"Large"),IF(AND(Practices_SubPractices[CP]=9,Practices_SubPractices[Org] ="Large"),SUMIFS(Practices_SubPractices[B],Practices_SubPractices[CP],"9",Practices_SubPractices[Org],"Large"),IF(AND(Practices_SubPractices[CP]=10,Practices_SubPractices[Org] ="Large"),SUMIFS(Practices_SubPractices[B],Practices_SubPractices[CP],"10",Practices_SubPractices[Org],"Large"),"TBD"))))))))))))))))))))))))))))))</f>
        <v>10</v>
      </c>
      <c r="P35" s="77">
        <f>IF(AND(Practices_SubPractices[CP]=1,Practices_SubPractices[Org]="Small"),SUMIFS(Practices_SubPractices[C],Practices_SubPractices[CP],"1",Practices_SubPractices[Org],"Small"),IF(AND(Practices_SubPractices[CP]=2,Practices_SubPractices[Org]="Small"),SUMIFS(Practices_SubPractices[C],Practices_SubPractices[CP],"2",Practices_SubPractices[Org],"Small"),IF(AND(Practices_SubPractices[CP]=3,Practices_SubPractices[Org]="Small"),SUMIFS(Practices_SubPractices[C],Practices_SubPractices[CP],"3",Practices_SubPractices[Org],"Small"),IF(AND(Practices_SubPractices[CP]=4,Practices_SubPractices[Org]="Small"),SUMIFS(Practices_SubPractices[C],Practices_SubPractices[CP],"4",Practices_SubPractices[Org],"Small"),IF(AND(Practices_SubPractices[CP]=5,Practices_SubPractices[Org]="Small"),SUMIFS(Practices_SubPractices[C],Practices_SubPractices[CP],"5",Practices_SubPractices[Org],"Small"),IF(AND(Practices_SubPractices[CP]=6,Practices_SubPractices[Org]="Small"),SUMIFS(Practices_SubPractices[C],Practices_SubPractices[CP],"6",Practices_SubPractices[Org],"Small"),IF(AND(Practices_SubPractices[CP]=7,Practices_SubPractices[Org] ="Small"),SUMIFS(Practices_SubPractices[C],Practices_SubPractices[CP],"7",Practices_SubPractices[Org],"Small"),IF(AND(Practices_SubPractices[CP]=8,Practices_SubPractices[Org] ="Small"),SUMIFS(Practices_SubPractices[C],Practices_SubPractices[CP],"8",Practices_SubPractices[Org],"Small"),IF(AND(Practices_SubPractices[CP]=9,Practices_SubPractices[Org] ="Small"),SUMIFS(Practices_SubPractices[C],Practices_SubPractices[CP],"9",Practices_SubPractices[Org],"Small"),IF(AND(Practices_SubPractices[CP]=10,Practices_SubPractices[Org] ="Small"),SUMIFS(Practices_SubPractices[C],Practices_SubPractices[CP],"10",Practices_SubPractices[Org],"Small"),IF(AND(Practices_SubPractices[CP]=1,Practices_SubPractices[Org]="Medium"),SUMIFS(Practices_SubPractices[C],Practices_SubPractices[CP],"1",Practices_SubPractices[Org],"Medium"),IF(AND(Practices_SubPractices[CP]=2,Practices_SubPractices[Org]="Medium"),SUMIFS(Practices_SubPractices[C],Practices_SubPractices[CP],"2",Practices_SubPractices[Org],"Medium"),IF(AND(Practices_SubPractices[CP]=3,Practices_SubPractices[Org]="Medium"),SUMIFS(Practices_SubPractices[C],Practices_SubPractices[CP],"3",Practices_SubPractices[Org],"Medium"),IF(AND(Practices_SubPractices[CP]=4,Practices_SubPractices[Org]="Medium"),SUMIFS(Practices_SubPractices[C],Practices_SubPractices[CP],"4",Practices_SubPractices[Org],"Medium"),IF(AND(Practices_SubPractices[CP]=5,Practices_SubPractices[Org]="Medium"),SUMIFS(Practices_SubPractices[C],Practices_SubPractices[CP],"5",Practices_SubPractices[Org],"Medium"),IF(AND(Practices_SubPractices[CP]=6,Practices_SubPractices[Org]="Medium"),SUMIFS(Practices_SubPractices[C],Practices_SubPractices[CP],"6",Practices_SubPractices[Org],"Medium"),IF(AND(Practices_SubPractices[CP]=7,Practices_SubPractices[Org] ="Medium"),SUMIFS(Practices_SubPractices[C],Practices_SubPractices[CP],"7",Practices_SubPractices[Org],"Medium"),IF(AND(Practices_SubPractices[CP]=8,Practices_SubPractices[Org] ="Medium"),SUMIFS(Practices_SubPractices[C],Practices_SubPractices[CP],"8",Practices_SubPractices[Org],"Medium"),IF(AND(Practices_SubPractices[CP]=9,Practices_SubPractices[Org] ="Medium"),SUMIFS(Practices_SubPractices[C],Practices_SubPractices[CP],"9",Practices_SubPractices[Org],"Medium"),IF(AND(Practices_SubPractices[CP]=10,Practices_SubPractices[Org] ="Medium"),SUMIFS(Practices_SubPractices[C],Practices_SubPractices[CP],"10",Practices_SubPractices[Org],"Medium"),IF(AND(Practices_SubPractices[CP]=1,Practices_SubPractices[Org]="Large"),SUMIFS(Practices_SubPractices[C],Practices_SubPractices[CP],"1",Practices_SubPractices[Org],"Large"),IF(AND(Practices_SubPractices[CP]=2,Practices_SubPractices[Org]="Large"),SUMIFS(Practices_SubPractices[C],Practices_SubPractices[CP],"2",Practices_SubPractices[Org],"Large"),IF(AND(Practices_SubPractices[CP]=3,Practices_SubPractices[Org]="Large"),SUMIFS(Practices_SubPractices[C],Practices_SubPractices[CP],"3",Practices_SubPractices[Org],"Large"),IF(AND(Practices_SubPractices[CP]=4,Practices_SubPractices[Org]="Large"),SUMIFS(Practices_SubPractices[C],Practices_SubPractices[CP],"4",Practices_SubPractices[Org],"Large"),IF(AND(Practices_SubPractices[CP]=5,Practices_SubPractices[Org]="Large"),SUMIFS(Practices_SubPractices[C],Practices_SubPractices[CP],"5",Practices_SubPractices[Org],"Large"),IF(AND(Practices_SubPractices[CP]=6,Practices_SubPractices[Org]="Large"),SUMIFS(Practices_SubPractices[C],Practices_SubPractices[CP],"6",Practices_SubPractices[Org],"Large"),IF(AND(Practices_SubPractices[CP]=7,Practices_SubPractices[Org] ="Large"),SUMIFS(Practices_SubPractices[C],Practices_SubPractices[CP],"7",Practices_SubPractices[Org],"Large"),IF(AND(Practices_SubPractices[CP]=8,Practices_SubPractices[Org] ="Large"),SUMIFS(Practices_SubPractices[C],Practices_SubPractices[CP],"8",Practices_SubPractices[Org],"Large"),IF(AND(Practices_SubPractices[CP]=9,Practices_SubPractices[Org] ="Large"),SUMIFS(Practices_SubPractices[C],Practices_SubPractices[CP],"9",Practices_SubPractices[Org],"Large"),IF(AND(Practices_SubPractices[CP]=10,Practices_SubPractices[Org] ="Large"),SUMIFS(Practices_SubPractices[C],Practices_SubPractices[CP],"10",Practices_SubPractices[Org],"Large"),"TBD"))))))))))))))))))))))))))))))</f>
        <v>4</v>
      </c>
      <c r="Q35" s="77">
        <f>IF(AND(Practices_SubPractices[CP]=1,Practices_SubPractices[Org]="Small"),SUMIFS(Practices_SubPractices[D],Practices_SubPractices[CP],"1",Practices_SubPractices[Org],"Small"),IF(AND(Practices_SubPractices[CP]=2,Practices_SubPractices[Org]="Small"),SUMIFS(Practices_SubPractices[D],Practices_SubPractices[CP],"2",Practices_SubPractices[Org],"Small"),IF(AND(Practices_SubPractices[CP]=3,Practices_SubPractices[Org]="Small"),SUMIFS(Practices_SubPractices[D],Practices_SubPractices[CP],"3",Practices_SubPractices[Org],"Small"),IF(AND(Practices_SubPractices[CP]=4,Practices_SubPractices[Org]="Small"),SUMIFS(Practices_SubPractices[D],Practices_SubPractices[CP],"4",Practices_SubPractices[Org],"Small"),IF(AND(Practices_SubPractices[CP]=5,Practices_SubPractices[Org]="Small"),SUMIFS(Practices_SubPractices[D],Practices_SubPractices[CP],"5",Practices_SubPractices[Org],"Small"),IF(AND(Practices_SubPractices[CP]=6,Practices_SubPractices[Org]="Small"),SUMIFS(Practices_SubPractices[D],Practices_SubPractices[CP],"6",Practices_SubPractices[Org],"Small"),IF(AND(Practices_SubPractices[CP]=7,Practices_SubPractices[Org] ="Small"),SUMIFS(Practices_SubPractices[D],Practices_SubPractices[CP],"7",Practices_SubPractices[Org],"Small"),IF(AND(Practices_SubPractices[CP]=8,Practices_SubPractices[Org] ="Small"),SUMIFS(Practices_SubPractices[D],Practices_SubPractices[CP],"8",Practices_SubPractices[Org],"Small"),IF(AND(Practices_SubPractices[CP]=9,Practices_SubPractices[Org] ="Small"),SUMIFS(Practices_SubPractices[D],Practices_SubPractices[CP],"9",Practices_SubPractices[Org],"Small"),IF(AND(Practices_SubPractices[CP]=10,Practices_SubPractices[Org] ="Small"),SUMIFS(Practices_SubPractices[D],Practices_SubPractices[CP],"10",Practices_SubPractices[Org],"Small"),IF(AND(Practices_SubPractices[CP]=1,Practices_SubPractices[Org]="Medium"),SUMIFS(Practices_SubPractices[D],Practices_SubPractices[CP],"1",Practices_SubPractices[Org],"Medium"),IF(AND(Practices_SubPractices[CP]=2,Practices_SubPractices[Org]="Medium"),SUMIFS(Practices_SubPractices[D],Practices_SubPractices[CP],"2",Practices_SubPractices[Org],"Medium"),IF(AND(Practices_SubPractices[CP]=3,Practices_SubPractices[Org]="Medium"),SUMIFS(Practices_SubPractices[D],Practices_SubPractices[CP],"3",Practices_SubPractices[Org],"Medium"),IF(AND(Practices_SubPractices[CP]=4,Practices_SubPractices[Org]="Medium"),SUMIFS(Practices_SubPractices[D],Practices_SubPractices[CP],"4",Practices_SubPractices[Org],"Medium"),IF(AND(Practices_SubPractices[CP]=5,Practices_SubPractices[Org]="Medium"),SUMIFS(Practices_SubPractices[D],Practices_SubPractices[CP],"5",Practices_SubPractices[Org],"Medium"),IF(AND(Practices_SubPractices[CP]=6,Practices_SubPractices[Org]="Medium"),SUMIFS(Practices_SubPractices[D],Practices_SubPractices[CP],"6",Practices_SubPractices[Org],"Medium"),IF(AND(Practices_SubPractices[CP]=7,Practices_SubPractices[Org] ="Medium"),SUMIFS(Practices_SubPractices[D],Practices_SubPractices[CP],"7",Practices_SubPractices[Org],"Medium"),IF(AND(Practices_SubPractices[CP]=8,Practices_SubPractices[Org] ="Medium"),SUMIFS(Practices_SubPractices[D],Practices_SubPractices[CP],"8",Practices_SubPractices[Org],"Medium"),IF(AND(Practices_SubPractices[CP]=9,Practices_SubPractices[Org] ="Medium"),SUMIFS(Practices_SubPractices[D],Practices_SubPractices[CP],"9",Practices_SubPractices[Org],"Medium"),IF(AND(Practices_SubPractices[CP]=10,Practices_SubPractices[Org] ="Medium"),SUMIFS(Practices_SubPractices[D],Practices_SubPractices[CP],"10",Practices_SubPractices[Org],"Medium"),IF(AND(Practices_SubPractices[CP]=1,Practices_SubPractices[Org]="Large"),SUMIFS(Practices_SubPractices[D],Practices_SubPractices[CP],"1",Practices_SubPractices[Org],"Large"),IF(AND(Practices_SubPractices[CP]=2,Practices_SubPractices[Org]="Large"),SUMIFS(Practices_SubPractices[D],Practices_SubPractices[CP],"2",Practices_SubPractices[Org],"Large"),IF(AND(Practices_SubPractices[CP]=3,Practices_SubPractices[Org]="Large"),SUMIFS(Practices_SubPractices[D],Practices_SubPractices[CP],"3",Practices_SubPractices[Org],"Large"),IF(AND(Practices_SubPractices[CP]=4,Practices_SubPractices[Org]="Large"),SUMIFS(Practices_SubPractices[D],Practices_SubPractices[CP],"4",Practices_SubPractices[Org],"Large"),IF(AND(Practices_SubPractices[CP]=5,Practices_SubPractices[Org]="Large"),SUMIFS(Practices_SubPractices[D],Practices_SubPractices[CP],"5",Practices_SubPractices[Org],"Large"),IF(AND(Practices_SubPractices[CP]=6,Practices_SubPractices[Org]="Large"),SUMIFS(Practices_SubPractices[D],Practices_SubPractices[CP],"6",Practices_SubPractices[Org],"Large"),IF(AND(Practices_SubPractices[CP]=7,Practices_SubPractices[Org] ="Large"),SUMIFS(Practices_SubPractices[D],Practices_SubPractices[CP],"7",Practices_SubPractices[Org],"Large"),IF(AND(Practices_SubPractices[CP]=8,Practices_SubPractices[Org] ="Large"),SUMIFS(Practices_SubPractices[D],Practices_SubPractices[CP],"8",Practices_SubPractices[Org],"Large"),IF(AND(Practices_SubPractices[CP]=9,Practices_SubPractices[Org] ="Large"),SUMIFS(Practices_SubPractices[D],Practices_SubPractices[CP],"9",Practices_SubPractices[Org],"Large"),IF(AND(Practices_SubPractices[CP]=10,Practices_SubPractices[Org] ="Large"),SUMIFS(Practices_SubPractices[D],Practices_SubPractices[CP],"10",Practices_SubPractices[Org],"Large"),"TBD"))))))))))))))))))))))))))))))</f>
        <v>7</v>
      </c>
      <c r="R35" s="77">
        <f>IF(AND(Practices_SubPractices[CP]=1,Practices_SubPractices[Org]="Small"),SUMIFS(Practices_SubPractices[E],Practices_SubPractices[CP],"1",Practices_SubPractices[Org],"Small"),IF(AND(Practices_SubPractices[CP]=2,Practices_SubPractices[Org]="Small"),SUMIFS(Practices_SubPractices[E],Practices_SubPractices[CP],"2",Practices_SubPractices[Org],"Small"),IF(AND(Practices_SubPractices[CP]=3,Practices_SubPractices[Org]="Small"),SUMIFS(Practices_SubPractices[E],Practices_SubPractices[CP],"3",Practices_SubPractices[Org],"Small"),IF(AND(Practices_SubPractices[CP]=4,Practices_SubPractices[Org]="Small"),SUMIFS(Practices_SubPractices[E],Practices_SubPractices[CP],"4",Practices_SubPractices[Org],"Small"),IF(AND(Practices_SubPractices[CP]=5,Practices_SubPractices[Org]="Small"),SUMIFS(Practices_SubPractices[E],Practices_SubPractices[CP],"5",Practices_SubPractices[Org],"Small"),IF(AND(Practices_SubPractices[CP]=6,Practices_SubPractices[Org]="Small"),SUMIFS(Practices_SubPractices[E],Practices_SubPractices[CP],"6",Practices_SubPractices[Org],"Small"),IF(AND(Practices_SubPractices[CP]=7,Practices_SubPractices[Org] ="Small"),SUMIFS(Practices_SubPractices[E],Practices_SubPractices[CP],"7",Practices_SubPractices[Org],"Small"),IF(AND(Practices_SubPractices[CP]=8,Practices_SubPractices[Org] ="Small"),SUMIFS(Practices_SubPractices[E],Practices_SubPractices[CP],"8",Practices_SubPractices[Org],"Small"),IF(AND(Practices_SubPractices[CP]=9,Practices_SubPractices[Org] ="Small"),SUMIFS(Practices_SubPractices[E],Practices_SubPractices[CP],"9",Practices_SubPractices[Org],"Small"),IF(AND(Practices_SubPractices[CP]=10,Practices_SubPractices[Org] ="Small"),SUMIFS(Practices_SubPractices[E],Practices_SubPractices[CP],"10",Practices_SubPractices[Org],"Small"),IF(AND(Practices_SubPractices[CP]=1,Practices_SubPractices[Org]="Medium"),SUMIFS(Practices_SubPractices[E],Practices_SubPractices[CP],"1",Practices_SubPractices[Org],"Medium"),IF(AND(Practices_SubPractices[CP]=2,Practices_SubPractices[Org]="Medium"),SUMIFS(Practices_SubPractices[E],Practices_SubPractices[CP],"2",Practices_SubPractices[Org],"Medium"),IF(AND(Practices_SubPractices[CP]=3,Practices_SubPractices[Org]="Medium"),SUMIFS(Practices_SubPractices[E],Practices_SubPractices[CP],"3",Practices_SubPractices[Org],"Medium"),IF(AND(Practices_SubPractices[CP]=4,Practices_SubPractices[Org]="Medium"),SUMIFS(Practices_SubPractices[E],Practices_SubPractices[CP],"4",Practices_SubPractices[Org],"Medium"),IF(AND(Practices_SubPractices[CP]=5,Practices_SubPractices[Org]="Medium"),SUMIFS(Practices_SubPractices[E],Practices_SubPractices[CP],"5",Practices_SubPractices[Org],"Medium"),IF(AND(Practices_SubPractices[CP]=6,Practices_SubPractices[Org]="Medium"),SUMIFS(Practices_SubPractices[E],Practices_SubPractices[CP],"6",Practices_SubPractices[Org],"Medium"),IF(AND(Practices_SubPractices[CP]=7,Practices_SubPractices[Org] ="Medium"),SUMIFS(Practices_SubPractices[E],Practices_SubPractices[CP],"7",Practices_SubPractices[Org],"Medium"),IF(AND(Practices_SubPractices[CP]=8,Practices_SubPractices[Org] ="Medium"),SUMIFS(Practices_SubPractices[E],Practices_SubPractices[CP],"8",Practices_SubPractices[Org],"Medium"),IF(AND(Practices_SubPractices[CP]=9,Practices_SubPractices[Org] ="Medium"),SUMIFS(Practices_SubPractices[E],Practices_SubPractices[CP],"9",Practices_SubPractices[Org],"Medium"),IF(AND(Practices_SubPractices[CP]=10,Practices_SubPractices[Org] ="Medium"),SUMIFS(Practices_SubPractices[E],Practices_SubPractices[CP],"10",Practices_SubPractices[Org],"Medium"),IF(AND(Practices_SubPractices[CP]=1,Practices_SubPractices[Org]="Large"),SUMIFS(Practices_SubPractices[E],Practices_SubPractices[CP],"1",Practices_SubPractices[Org],"Large"),IF(AND(Practices_SubPractices[CP]=2,Practices_SubPractices[Org]="Large"),SUMIFS(Practices_SubPractices[E],Practices_SubPractices[CP],"2",Practices_SubPractices[Org],"Large"),IF(AND(Practices_SubPractices[CP]=3,Practices_SubPractices[Org]="Large"),SUMIFS(Practices_SubPractices[E],Practices_SubPractices[CP],"3",Practices_SubPractices[Org],"Large"),IF(AND(Practices_SubPractices[CP]=4,Practices_SubPractices[Org]="Large"),SUMIFS(Practices_SubPractices[E],Practices_SubPractices[CP],"4",Practices_SubPractices[Org],"Large"),IF(AND(Practices_SubPractices[CP]=5,Practices_SubPractices[Org]="Large"),SUMIFS(Practices_SubPractices[E],Practices_SubPractices[CP],"5",Practices_SubPractices[Org],"Large"),IF(AND(Practices_SubPractices[CP]=6,Practices_SubPractices[Org]="Large"),SUMIFS(Practices_SubPractices[E],Practices_SubPractices[CP],"6",Practices_SubPractices[Org],"Large"),IF(AND(Practices_SubPractices[CP]=7,Practices_SubPractices[Org] ="Large"),SUMIFS(Practices_SubPractices[E],Practices_SubPractices[CP],"7",Practices_SubPractices[Org],"Large"),IF(AND(Practices_SubPractices[CP]=8,Practices_SubPractices[Org] ="Large"),SUMIFS(Practices_SubPractices[E],Practices_SubPractices[CP],"8",Practices_SubPractices[Org],"Large"),IF(AND(Practices_SubPractices[CP]=9,Practices_SubPractices[Org] ="Large"),SUMIFS(Practices_SubPractices[E],Practices_SubPractices[CP],"9",Practices_SubPractices[Org],"Large"),IF(AND(Practices_SubPractices[CP]=10,Practices_SubPractices[Org] ="Large"),SUMIFS(Practices_SubPractices[E],Practices_SubPractices[CP],"10",Practices_SubPractices[Org],"Large"),"TBD"))))))))))))))))))))))))))))))</f>
        <v>1</v>
      </c>
      <c r="S35" s="87" t="s">
        <v>407</v>
      </c>
    </row>
    <row r="36" spans="1:19" x14ac:dyDescent="0.35">
      <c r="A36" s="73">
        <v>26</v>
      </c>
      <c r="B36" s="73">
        <v>1</v>
      </c>
      <c r="C36" s="73" t="s">
        <v>11</v>
      </c>
      <c r="D36" s="73" t="str">
        <f>Practices_SubPractices[[#This Row],[CP]]&amp;LEFT(Practices_SubPractices[[#This Row],[Org]],1)</f>
        <v>1M</v>
      </c>
      <c r="E36" s="73" t="s">
        <v>268</v>
      </c>
      <c r="F36" s="74" t="s">
        <v>58</v>
      </c>
      <c r="G36" s="74" t="s">
        <v>60</v>
      </c>
      <c r="H36" s="74" t="s">
        <v>198</v>
      </c>
      <c r="I36" s="75">
        <v>2</v>
      </c>
      <c r="J36" s="75">
        <v>2</v>
      </c>
      <c r="K36" s="75">
        <v>0</v>
      </c>
      <c r="L36" s="75">
        <v>1</v>
      </c>
      <c r="M36" s="75">
        <v>0</v>
      </c>
      <c r="N36" s="76"/>
      <c r="O36" s="77">
        <f>IF(AND(Practices_SubPractices[CP]=1,Practices_SubPractices[Org]="Small"),SUMIFS(Practices_SubPractices[B],Practices_SubPractices[CP],"1",Practices_SubPractices[Org],"Small"),IF(AND(Practices_SubPractices[CP]=2,Practices_SubPractices[Org]="Small"),SUMIFS(Practices_SubPractices[B],Practices_SubPractices[CP],"2",Practices_SubPractices[Org],"Small"),IF(AND(Practices_SubPractices[CP]=3,Practices_SubPractices[Org]="Small"),SUMIFS(Practices_SubPractices[B],Practices_SubPractices[CP],"3",Practices_SubPractices[Org],"Small"),IF(AND(Practices_SubPractices[CP]=4,Practices_SubPractices[Org]="Small"),SUMIFS(Practices_SubPractices[B],Practices_SubPractices[CP],"4",Practices_SubPractices[Org],"Small"),IF(AND(Practices_SubPractices[CP]=5,Practices_SubPractices[Org]="Small"),SUMIFS(Practices_SubPractices[B],Practices_SubPractices[CP],"5",Practices_SubPractices[Org],"Small"),IF(AND(Practices_SubPractices[CP]=6,Practices_SubPractices[Org]="Small"),SUMIFS(Practices_SubPractices[B],Practices_SubPractices[CP],"6",Practices_SubPractices[Org],"Small"),IF(AND(Practices_SubPractices[CP]=7,Practices_SubPractices[Org] ="Small"),SUMIFS(Practices_SubPractices[B],Practices_SubPractices[CP],"7",Practices_SubPractices[Org],"Small"),IF(AND(Practices_SubPractices[CP]=8,Practices_SubPractices[Org] ="Small"),SUMIFS(Practices_SubPractices[B],Practices_SubPractices[CP],"8",Practices_SubPractices[Org],"Small"),IF(AND(Practices_SubPractices[CP]=9,Practices_SubPractices[Org] ="Small"),SUMIFS(Practices_SubPractices[B],Practices_SubPractices[CP],"9",Practices_SubPractices[Org],"Small"),IF(AND(Practices_SubPractices[CP]=10,Practices_SubPractices[Org] ="Small"),SUMIFS(Practices_SubPractices[B],Practices_SubPractices[CP],"10",Practices_SubPractices[Org],"Small"),IF(AND(Practices_SubPractices[CP]=1,Practices_SubPractices[Org]="Medium"),SUMIFS(Practices_SubPractices[B],Practices_SubPractices[CP],"1",Practices_SubPractices[Org],"Medium"),IF(AND(Practices_SubPractices[CP]=2,Practices_SubPractices[Org]="Medium"),SUMIFS(Practices_SubPractices[B],Practices_SubPractices[CP],"2",Practices_SubPractices[Org],"Medium"),IF(AND(Practices_SubPractices[CP]=3,Practices_SubPractices[Org]="Medium"),SUMIFS(Practices_SubPractices[B],Practices_SubPractices[CP],"3",Practices_SubPractices[Org],"Medium"),IF(AND(Practices_SubPractices[CP]=4,Practices_SubPractices[Org]="Medium"),SUMIFS(Practices_SubPractices[B],Practices_SubPractices[CP],"4",Practices_SubPractices[Org],"Medium"),IF(AND(Practices_SubPractices[CP]=5,Practices_SubPractices[Org]="Medium"),SUMIFS(Practices_SubPractices[B],Practices_SubPractices[CP],"5",Practices_SubPractices[Org],"Medium"),IF(AND(Practices_SubPractices[CP]=6,Practices_SubPractices[Org]="Medium"),SUMIFS(Practices_SubPractices[B],Practices_SubPractices[CP],"6",Practices_SubPractices[Org],"Medium"),IF(AND(Practices_SubPractices[CP]=7,Practices_SubPractices[Org] ="Medium"),SUMIFS(Practices_SubPractices[B],Practices_SubPractices[CP],"7",Practices_SubPractices[Org],"Medium"),IF(AND(Practices_SubPractices[CP]=8,Practices_SubPractices[Org] ="Medium"),SUMIFS(Practices_SubPractices[B],Practices_SubPractices[CP],"8",Practices_SubPractices[Org],"Medium"),IF(AND(Practices_SubPractices[CP]=9,Practices_SubPractices[Org] ="Medium"),SUMIFS(Practices_SubPractices[B],Practices_SubPractices[CP],"9",Practices_SubPractices[Org],"Medium"),IF(AND(Practices_SubPractices[CP]=10,Practices_SubPractices[Org] ="Medium"),SUMIFS(Practices_SubPractices[B],Practices_SubPractices[CP],"10",Practices_SubPractices[Org],"Medium"),IF(AND(Practices_SubPractices[CP]=1,Practices_SubPractices[Org]="Large"),SUMIFS(Practices_SubPractices[B],Practices_SubPractices[CP],"1",Practices_SubPractices[Org],"Large"),IF(AND(Practices_SubPractices[CP]=2,Practices_SubPractices[Org]="Large"),SUMIFS(Practices_SubPractices[B],Practices_SubPractices[CP],"2",Practices_SubPractices[Org],"Large"),IF(AND(Practices_SubPractices[CP]=3,Practices_SubPractices[Org]="Large"),SUMIFS(Practices_SubPractices[B],Practices_SubPractices[CP],"3",Practices_SubPractices[Org],"Large"),IF(AND(Practices_SubPractices[CP]=4,Practices_SubPractices[Org]="Large"),SUMIFS(Practices_SubPractices[B],Practices_SubPractices[CP],"4",Practices_SubPractices[Org],"Large"),IF(AND(Practices_SubPractices[CP]=5,Practices_SubPractices[Org]="Large"),SUMIFS(Practices_SubPractices[B],Practices_SubPractices[CP],"5",Practices_SubPractices[Org],"Large"),IF(AND(Practices_SubPractices[CP]=6,Practices_SubPractices[Org]="Large"),SUMIFS(Practices_SubPractices[B],Practices_SubPractices[CP],"6",Practices_SubPractices[Org],"Large"),IF(AND(Practices_SubPractices[CP]=7,Practices_SubPractices[Org] ="Large"),SUMIFS(Practices_SubPractices[B],Practices_SubPractices[CP],"7",Practices_SubPractices[Org],"Large"),IF(AND(Practices_SubPractices[CP]=8,Practices_SubPractices[Org] ="Large"),SUMIFS(Practices_SubPractices[B],Practices_SubPractices[CP],"8",Practices_SubPractices[Org],"Large"),IF(AND(Practices_SubPractices[CP]=9,Practices_SubPractices[Org] ="Large"),SUMIFS(Practices_SubPractices[B],Practices_SubPractices[CP],"9",Practices_SubPractices[Org],"Large"),IF(AND(Practices_SubPractices[CP]=10,Practices_SubPractices[Org] ="Large"),SUMIFS(Practices_SubPractices[B],Practices_SubPractices[CP],"10",Practices_SubPractices[Org],"Large"),"TBD"))))))))))))))))))))))))))))))</f>
        <v>6</v>
      </c>
      <c r="P36" s="77">
        <f>IF(AND(Practices_SubPractices[CP]=1,Practices_SubPractices[Org]="Small"),SUMIFS(Practices_SubPractices[C],Practices_SubPractices[CP],"1",Practices_SubPractices[Org],"Small"),IF(AND(Practices_SubPractices[CP]=2,Practices_SubPractices[Org]="Small"),SUMIFS(Practices_SubPractices[C],Practices_SubPractices[CP],"2",Practices_SubPractices[Org],"Small"),IF(AND(Practices_SubPractices[CP]=3,Practices_SubPractices[Org]="Small"),SUMIFS(Practices_SubPractices[C],Practices_SubPractices[CP],"3",Practices_SubPractices[Org],"Small"),IF(AND(Practices_SubPractices[CP]=4,Practices_SubPractices[Org]="Small"),SUMIFS(Practices_SubPractices[C],Practices_SubPractices[CP],"4",Practices_SubPractices[Org],"Small"),IF(AND(Practices_SubPractices[CP]=5,Practices_SubPractices[Org]="Small"),SUMIFS(Practices_SubPractices[C],Practices_SubPractices[CP],"5",Practices_SubPractices[Org],"Small"),IF(AND(Practices_SubPractices[CP]=6,Practices_SubPractices[Org]="Small"),SUMIFS(Practices_SubPractices[C],Practices_SubPractices[CP],"6",Practices_SubPractices[Org],"Small"),IF(AND(Practices_SubPractices[CP]=7,Practices_SubPractices[Org] ="Small"),SUMIFS(Practices_SubPractices[C],Practices_SubPractices[CP],"7",Practices_SubPractices[Org],"Small"),IF(AND(Practices_SubPractices[CP]=8,Practices_SubPractices[Org] ="Small"),SUMIFS(Practices_SubPractices[C],Practices_SubPractices[CP],"8",Practices_SubPractices[Org],"Small"),IF(AND(Practices_SubPractices[CP]=9,Practices_SubPractices[Org] ="Small"),SUMIFS(Practices_SubPractices[C],Practices_SubPractices[CP],"9",Practices_SubPractices[Org],"Small"),IF(AND(Practices_SubPractices[CP]=10,Practices_SubPractices[Org] ="Small"),SUMIFS(Practices_SubPractices[C],Practices_SubPractices[CP],"10",Practices_SubPractices[Org],"Small"),IF(AND(Practices_SubPractices[CP]=1,Practices_SubPractices[Org]="Medium"),SUMIFS(Practices_SubPractices[C],Practices_SubPractices[CP],"1",Practices_SubPractices[Org],"Medium"),IF(AND(Practices_SubPractices[CP]=2,Practices_SubPractices[Org]="Medium"),SUMIFS(Practices_SubPractices[C],Practices_SubPractices[CP],"2",Practices_SubPractices[Org],"Medium"),IF(AND(Practices_SubPractices[CP]=3,Practices_SubPractices[Org]="Medium"),SUMIFS(Practices_SubPractices[C],Practices_SubPractices[CP],"3",Practices_SubPractices[Org],"Medium"),IF(AND(Practices_SubPractices[CP]=4,Practices_SubPractices[Org]="Medium"),SUMIFS(Practices_SubPractices[C],Practices_SubPractices[CP],"4",Practices_SubPractices[Org],"Medium"),IF(AND(Practices_SubPractices[CP]=5,Practices_SubPractices[Org]="Medium"),SUMIFS(Practices_SubPractices[C],Practices_SubPractices[CP],"5",Practices_SubPractices[Org],"Medium"),IF(AND(Practices_SubPractices[CP]=6,Practices_SubPractices[Org]="Medium"),SUMIFS(Practices_SubPractices[C],Practices_SubPractices[CP],"6",Practices_SubPractices[Org],"Medium"),IF(AND(Practices_SubPractices[CP]=7,Practices_SubPractices[Org] ="Medium"),SUMIFS(Practices_SubPractices[C],Practices_SubPractices[CP],"7",Practices_SubPractices[Org],"Medium"),IF(AND(Practices_SubPractices[CP]=8,Practices_SubPractices[Org] ="Medium"),SUMIFS(Practices_SubPractices[C],Practices_SubPractices[CP],"8",Practices_SubPractices[Org],"Medium"),IF(AND(Practices_SubPractices[CP]=9,Practices_SubPractices[Org] ="Medium"),SUMIFS(Practices_SubPractices[C],Practices_SubPractices[CP],"9",Practices_SubPractices[Org],"Medium"),IF(AND(Practices_SubPractices[CP]=10,Practices_SubPractices[Org] ="Medium"),SUMIFS(Practices_SubPractices[C],Practices_SubPractices[CP],"10",Practices_SubPractices[Org],"Medium"),IF(AND(Practices_SubPractices[CP]=1,Practices_SubPractices[Org]="Large"),SUMIFS(Practices_SubPractices[C],Practices_SubPractices[CP],"1",Practices_SubPractices[Org],"Large"),IF(AND(Practices_SubPractices[CP]=2,Practices_SubPractices[Org]="Large"),SUMIFS(Practices_SubPractices[C],Practices_SubPractices[CP],"2",Practices_SubPractices[Org],"Large"),IF(AND(Practices_SubPractices[CP]=3,Practices_SubPractices[Org]="Large"),SUMIFS(Practices_SubPractices[C],Practices_SubPractices[CP],"3",Practices_SubPractices[Org],"Large"),IF(AND(Practices_SubPractices[CP]=4,Practices_SubPractices[Org]="Large"),SUMIFS(Practices_SubPractices[C],Practices_SubPractices[CP],"4",Practices_SubPractices[Org],"Large"),IF(AND(Practices_SubPractices[CP]=5,Practices_SubPractices[Org]="Large"),SUMIFS(Practices_SubPractices[C],Practices_SubPractices[CP],"5",Practices_SubPractices[Org],"Large"),IF(AND(Practices_SubPractices[CP]=6,Practices_SubPractices[Org]="Large"),SUMIFS(Practices_SubPractices[C],Practices_SubPractices[CP],"6",Practices_SubPractices[Org],"Large"),IF(AND(Practices_SubPractices[CP]=7,Practices_SubPractices[Org] ="Large"),SUMIFS(Practices_SubPractices[C],Practices_SubPractices[CP],"7",Practices_SubPractices[Org],"Large"),IF(AND(Practices_SubPractices[CP]=8,Practices_SubPractices[Org] ="Large"),SUMIFS(Practices_SubPractices[C],Practices_SubPractices[CP],"8",Practices_SubPractices[Org],"Large"),IF(AND(Practices_SubPractices[CP]=9,Practices_SubPractices[Org] ="Large"),SUMIFS(Practices_SubPractices[C],Practices_SubPractices[CP],"9",Practices_SubPractices[Org],"Large"),IF(AND(Practices_SubPractices[CP]=10,Practices_SubPractices[Org] ="Large"),SUMIFS(Practices_SubPractices[C],Practices_SubPractices[CP],"10",Practices_SubPractices[Org],"Large"),"TBD"))))))))))))))))))))))))))))))</f>
        <v>3</v>
      </c>
      <c r="Q36" s="77">
        <f>IF(AND(Practices_SubPractices[CP]=1,Practices_SubPractices[Org]="Small"),SUMIFS(Practices_SubPractices[D],Practices_SubPractices[CP],"1",Practices_SubPractices[Org],"Small"),IF(AND(Practices_SubPractices[CP]=2,Practices_SubPractices[Org]="Small"),SUMIFS(Practices_SubPractices[D],Practices_SubPractices[CP],"2",Practices_SubPractices[Org],"Small"),IF(AND(Practices_SubPractices[CP]=3,Practices_SubPractices[Org]="Small"),SUMIFS(Practices_SubPractices[D],Practices_SubPractices[CP],"3",Practices_SubPractices[Org],"Small"),IF(AND(Practices_SubPractices[CP]=4,Practices_SubPractices[Org]="Small"),SUMIFS(Practices_SubPractices[D],Practices_SubPractices[CP],"4",Practices_SubPractices[Org],"Small"),IF(AND(Practices_SubPractices[CP]=5,Practices_SubPractices[Org]="Small"),SUMIFS(Practices_SubPractices[D],Practices_SubPractices[CP],"5",Practices_SubPractices[Org],"Small"),IF(AND(Practices_SubPractices[CP]=6,Practices_SubPractices[Org]="Small"),SUMIFS(Practices_SubPractices[D],Practices_SubPractices[CP],"6",Practices_SubPractices[Org],"Small"),IF(AND(Practices_SubPractices[CP]=7,Practices_SubPractices[Org] ="Small"),SUMIFS(Practices_SubPractices[D],Practices_SubPractices[CP],"7",Practices_SubPractices[Org],"Small"),IF(AND(Practices_SubPractices[CP]=8,Practices_SubPractices[Org] ="Small"),SUMIFS(Practices_SubPractices[D],Practices_SubPractices[CP],"8",Practices_SubPractices[Org],"Small"),IF(AND(Practices_SubPractices[CP]=9,Practices_SubPractices[Org] ="Small"),SUMIFS(Practices_SubPractices[D],Practices_SubPractices[CP],"9",Practices_SubPractices[Org],"Small"),IF(AND(Practices_SubPractices[CP]=10,Practices_SubPractices[Org] ="Small"),SUMIFS(Practices_SubPractices[D],Practices_SubPractices[CP],"10",Practices_SubPractices[Org],"Small"),IF(AND(Practices_SubPractices[CP]=1,Practices_SubPractices[Org]="Medium"),SUMIFS(Practices_SubPractices[D],Practices_SubPractices[CP],"1",Practices_SubPractices[Org],"Medium"),IF(AND(Practices_SubPractices[CP]=2,Practices_SubPractices[Org]="Medium"),SUMIFS(Practices_SubPractices[D],Practices_SubPractices[CP],"2",Practices_SubPractices[Org],"Medium"),IF(AND(Practices_SubPractices[CP]=3,Practices_SubPractices[Org]="Medium"),SUMIFS(Practices_SubPractices[D],Practices_SubPractices[CP],"3",Practices_SubPractices[Org],"Medium"),IF(AND(Practices_SubPractices[CP]=4,Practices_SubPractices[Org]="Medium"),SUMIFS(Practices_SubPractices[D],Practices_SubPractices[CP],"4",Practices_SubPractices[Org],"Medium"),IF(AND(Practices_SubPractices[CP]=5,Practices_SubPractices[Org]="Medium"),SUMIFS(Practices_SubPractices[D],Practices_SubPractices[CP],"5",Practices_SubPractices[Org],"Medium"),IF(AND(Practices_SubPractices[CP]=6,Practices_SubPractices[Org]="Medium"),SUMIFS(Practices_SubPractices[D],Practices_SubPractices[CP],"6",Practices_SubPractices[Org],"Medium"),IF(AND(Practices_SubPractices[CP]=7,Practices_SubPractices[Org] ="Medium"),SUMIFS(Practices_SubPractices[D],Practices_SubPractices[CP],"7",Practices_SubPractices[Org],"Medium"),IF(AND(Practices_SubPractices[CP]=8,Practices_SubPractices[Org] ="Medium"),SUMIFS(Practices_SubPractices[D],Practices_SubPractices[CP],"8",Practices_SubPractices[Org],"Medium"),IF(AND(Practices_SubPractices[CP]=9,Practices_SubPractices[Org] ="Medium"),SUMIFS(Practices_SubPractices[D],Practices_SubPractices[CP],"9",Practices_SubPractices[Org],"Medium"),IF(AND(Practices_SubPractices[CP]=10,Practices_SubPractices[Org] ="Medium"),SUMIFS(Practices_SubPractices[D],Practices_SubPractices[CP],"10",Practices_SubPractices[Org],"Medium"),IF(AND(Practices_SubPractices[CP]=1,Practices_SubPractices[Org]="Large"),SUMIFS(Practices_SubPractices[D],Practices_SubPractices[CP],"1",Practices_SubPractices[Org],"Large"),IF(AND(Practices_SubPractices[CP]=2,Practices_SubPractices[Org]="Large"),SUMIFS(Practices_SubPractices[D],Practices_SubPractices[CP],"2",Practices_SubPractices[Org],"Large"),IF(AND(Practices_SubPractices[CP]=3,Practices_SubPractices[Org]="Large"),SUMIFS(Practices_SubPractices[D],Practices_SubPractices[CP],"3",Practices_SubPractices[Org],"Large"),IF(AND(Practices_SubPractices[CP]=4,Practices_SubPractices[Org]="Large"),SUMIFS(Practices_SubPractices[D],Practices_SubPractices[CP],"4",Practices_SubPractices[Org],"Large"),IF(AND(Practices_SubPractices[CP]=5,Practices_SubPractices[Org]="Large"),SUMIFS(Practices_SubPractices[D],Practices_SubPractices[CP],"5",Practices_SubPractices[Org],"Large"),IF(AND(Practices_SubPractices[CP]=6,Practices_SubPractices[Org]="Large"),SUMIFS(Practices_SubPractices[D],Practices_SubPractices[CP],"6",Practices_SubPractices[Org],"Large"),IF(AND(Practices_SubPractices[CP]=7,Practices_SubPractices[Org] ="Large"),SUMIFS(Practices_SubPractices[D],Practices_SubPractices[CP],"7",Practices_SubPractices[Org],"Large"),IF(AND(Practices_SubPractices[CP]=8,Practices_SubPractices[Org] ="Large"),SUMIFS(Practices_SubPractices[D],Practices_SubPractices[CP],"8",Practices_SubPractices[Org],"Large"),IF(AND(Practices_SubPractices[CP]=9,Practices_SubPractices[Org] ="Large"),SUMIFS(Practices_SubPractices[D],Practices_SubPractices[CP],"9",Practices_SubPractices[Org],"Large"),IF(AND(Practices_SubPractices[CP]=10,Practices_SubPractices[Org] ="Large"),SUMIFS(Practices_SubPractices[D],Practices_SubPractices[CP],"10",Practices_SubPractices[Org],"Large"),"TBD"))))))))))))))))))))))))))))))</f>
        <v>5</v>
      </c>
      <c r="R36" s="77">
        <f>IF(AND(Practices_SubPractices[CP]=1,Practices_SubPractices[Org]="Small"),SUMIFS(Practices_SubPractices[E],Practices_SubPractices[CP],"1",Practices_SubPractices[Org],"Small"),IF(AND(Practices_SubPractices[CP]=2,Practices_SubPractices[Org]="Small"),SUMIFS(Practices_SubPractices[E],Practices_SubPractices[CP],"2",Practices_SubPractices[Org],"Small"),IF(AND(Practices_SubPractices[CP]=3,Practices_SubPractices[Org]="Small"),SUMIFS(Practices_SubPractices[E],Practices_SubPractices[CP],"3",Practices_SubPractices[Org],"Small"),IF(AND(Practices_SubPractices[CP]=4,Practices_SubPractices[Org]="Small"),SUMIFS(Practices_SubPractices[E],Practices_SubPractices[CP],"4",Practices_SubPractices[Org],"Small"),IF(AND(Practices_SubPractices[CP]=5,Practices_SubPractices[Org]="Small"),SUMIFS(Practices_SubPractices[E],Practices_SubPractices[CP],"5",Practices_SubPractices[Org],"Small"),IF(AND(Practices_SubPractices[CP]=6,Practices_SubPractices[Org]="Small"),SUMIFS(Practices_SubPractices[E],Practices_SubPractices[CP],"6",Practices_SubPractices[Org],"Small"),IF(AND(Practices_SubPractices[CP]=7,Practices_SubPractices[Org] ="Small"),SUMIFS(Practices_SubPractices[E],Practices_SubPractices[CP],"7",Practices_SubPractices[Org],"Small"),IF(AND(Practices_SubPractices[CP]=8,Practices_SubPractices[Org] ="Small"),SUMIFS(Practices_SubPractices[E],Practices_SubPractices[CP],"8",Practices_SubPractices[Org],"Small"),IF(AND(Practices_SubPractices[CP]=9,Practices_SubPractices[Org] ="Small"),SUMIFS(Practices_SubPractices[E],Practices_SubPractices[CP],"9",Practices_SubPractices[Org],"Small"),IF(AND(Practices_SubPractices[CP]=10,Practices_SubPractices[Org] ="Small"),SUMIFS(Practices_SubPractices[E],Practices_SubPractices[CP],"10",Practices_SubPractices[Org],"Small"),IF(AND(Practices_SubPractices[CP]=1,Practices_SubPractices[Org]="Medium"),SUMIFS(Practices_SubPractices[E],Practices_SubPractices[CP],"1",Practices_SubPractices[Org],"Medium"),IF(AND(Practices_SubPractices[CP]=2,Practices_SubPractices[Org]="Medium"),SUMIFS(Practices_SubPractices[E],Practices_SubPractices[CP],"2",Practices_SubPractices[Org],"Medium"),IF(AND(Practices_SubPractices[CP]=3,Practices_SubPractices[Org]="Medium"),SUMIFS(Practices_SubPractices[E],Practices_SubPractices[CP],"3",Practices_SubPractices[Org],"Medium"),IF(AND(Practices_SubPractices[CP]=4,Practices_SubPractices[Org]="Medium"),SUMIFS(Practices_SubPractices[E],Practices_SubPractices[CP],"4",Practices_SubPractices[Org],"Medium"),IF(AND(Practices_SubPractices[CP]=5,Practices_SubPractices[Org]="Medium"),SUMIFS(Practices_SubPractices[E],Practices_SubPractices[CP],"5",Practices_SubPractices[Org],"Medium"),IF(AND(Practices_SubPractices[CP]=6,Practices_SubPractices[Org]="Medium"),SUMIFS(Practices_SubPractices[E],Practices_SubPractices[CP],"6",Practices_SubPractices[Org],"Medium"),IF(AND(Practices_SubPractices[CP]=7,Practices_SubPractices[Org] ="Medium"),SUMIFS(Practices_SubPractices[E],Practices_SubPractices[CP],"7",Practices_SubPractices[Org],"Medium"),IF(AND(Practices_SubPractices[CP]=8,Practices_SubPractices[Org] ="Medium"),SUMIFS(Practices_SubPractices[E],Practices_SubPractices[CP],"8",Practices_SubPractices[Org],"Medium"),IF(AND(Practices_SubPractices[CP]=9,Practices_SubPractices[Org] ="Medium"),SUMIFS(Practices_SubPractices[E],Practices_SubPractices[CP],"9",Practices_SubPractices[Org],"Medium"),IF(AND(Practices_SubPractices[CP]=10,Practices_SubPractices[Org] ="Medium"),SUMIFS(Practices_SubPractices[E],Practices_SubPractices[CP],"10",Practices_SubPractices[Org],"Medium"),IF(AND(Practices_SubPractices[CP]=1,Practices_SubPractices[Org]="Large"),SUMIFS(Practices_SubPractices[E],Practices_SubPractices[CP],"1",Practices_SubPractices[Org],"Large"),IF(AND(Practices_SubPractices[CP]=2,Practices_SubPractices[Org]="Large"),SUMIFS(Practices_SubPractices[E],Practices_SubPractices[CP],"2",Practices_SubPractices[Org],"Large"),IF(AND(Practices_SubPractices[CP]=3,Practices_SubPractices[Org]="Large"),SUMIFS(Practices_SubPractices[E],Practices_SubPractices[CP],"3",Practices_SubPractices[Org],"Large"),IF(AND(Practices_SubPractices[CP]=4,Practices_SubPractices[Org]="Large"),SUMIFS(Practices_SubPractices[E],Practices_SubPractices[CP],"4",Practices_SubPractices[Org],"Large"),IF(AND(Practices_SubPractices[CP]=5,Practices_SubPractices[Org]="Large"),SUMIFS(Practices_SubPractices[E],Practices_SubPractices[CP],"5",Practices_SubPractices[Org],"Large"),IF(AND(Practices_SubPractices[CP]=6,Practices_SubPractices[Org]="Large"),SUMIFS(Practices_SubPractices[E],Practices_SubPractices[CP],"6",Practices_SubPractices[Org],"Large"),IF(AND(Practices_SubPractices[CP]=7,Practices_SubPractices[Org] ="Large"),SUMIFS(Practices_SubPractices[E],Practices_SubPractices[CP],"7",Practices_SubPractices[Org],"Large"),IF(AND(Practices_SubPractices[CP]=8,Practices_SubPractices[Org] ="Large"),SUMIFS(Practices_SubPractices[E],Practices_SubPractices[CP],"8",Practices_SubPractices[Org],"Large"),IF(AND(Practices_SubPractices[CP]=9,Practices_SubPractices[Org] ="Large"),SUMIFS(Practices_SubPractices[E],Practices_SubPractices[CP],"9",Practices_SubPractices[Org],"Large"),IF(AND(Practices_SubPractices[CP]=10,Practices_SubPractices[Org] ="Large"),SUMIFS(Practices_SubPractices[E],Practices_SubPractices[CP],"10",Practices_SubPractices[Org],"Large"),"TBD"))))))))))))))))))))))))))))))</f>
        <v>1</v>
      </c>
      <c r="S36" s="87" t="s">
        <v>388</v>
      </c>
    </row>
    <row r="37" spans="1:19" x14ac:dyDescent="0.35">
      <c r="A37" s="73">
        <v>27</v>
      </c>
      <c r="B37" s="73">
        <v>1</v>
      </c>
      <c r="C37" s="73" t="s">
        <v>12</v>
      </c>
      <c r="D37" s="73" t="str">
        <f>Practices_SubPractices[[#This Row],[CP]]&amp;LEFT(Practices_SubPractices[[#This Row],[Org]],1)</f>
        <v>1L</v>
      </c>
      <c r="E37" s="73" t="s">
        <v>268</v>
      </c>
      <c r="F37" s="74" t="s">
        <v>58</v>
      </c>
      <c r="G37" s="74" t="s">
        <v>60</v>
      </c>
      <c r="H37" s="74" t="s">
        <v>198</v>
      </c>
      <c r="I37" s="75">
        <v>2</v>
      </c>
      <c r="J37" s="75">
        <v>2</v>
      </c>
      <c r="K37" s="75">
        <v>0</v>
      </c>
      <c r="L37" s="75">
        <v>1</v>
      </c>
      <c r="M37" s="75">
        <v>0</v>
      </c>
      <c r="N37" s="76"/>
      <c r="O37" s="77">
        <f>IF(AND(Practices_SubPractices[CP]=1,Practices_SubPractices[Org]="Small"),SUMIFS(Practices_SubPractices[B],Practices_SubPractices[CP],"1",Practices_SubPractices[Org],"Small"),IF(AND(Practices_SubPractices[CP]=2,Practices_SubPractices[Org]="Small"),SUMIFS(Practices_SubPractices[B],Practices_SubPractices[CP],"2",Practices_SubPractices[Org],"Small"),IF(AND(Practices_SubPractices[CP]=3,Practices_SubPractices[Org]="Small"),SUMIFS(Practices_SubPractices[B],Practices_SubPractices[CP],"3",Practices_SubPractices[Org],"Small"),IF(AND(Practices_SubPractices[CP]=4,Practices_SubPractices[Org]="Small"),SUMIFS(Practices_SubPractices[B],Practices_SubPractices[CP],"4",Practices_SubPractices[Org],"Small"),IF(AND(Practices_SubPractices[CP]=5,Practices_SubPractices[Org]="Small"),SUMIFS(Practices_SubPractices[B],Practices_SubPractices[CP],"5",Practices_SubPractices[Org],"Small"),IF(AND(Practices_SubPractices[CP]=6,Practices_SubPractices[Org]="Small"),SUMIFS(Practices_SubPractices[B],Practices_SubPractices[CP],"6",Practices_SubPractices[Org],"Small"),IF(AND(Practices_SubPractices[CP]=7,Practices_SubPractices[Org] ="Small"),SUMIFS(Practices_SubPractices[B],Practices_SubPractices[CP],"7",Practices_SubPractices[Org],"Small"),IF(AND(Practices_SubPractices[CP]=8,Practices_SubPractices[Org] ="Small"),SUMIFS(Practices_SubPractices[B],Practices_SubPractices[CP],"8",Practices_SubPractices[Org],"Small"),IF(AND(Practices_SubPractices[CP]=9,Practices_SubPractices[Org] ="Small"),SUMIFS(Practices_SubPractices[B],Practices_SubPractices[CP],"9",Practices_SubPractices[Org],"Small"),IF(AND(Practices_SubPractices[CP]=10,Practices_SubPractices[Org] ="Small"),SUMIFS(Practices_SubPractices[B],Practices_SubPractices[CP],"10",Practices_SubPractices[Org],"Small"),IF(AND(Practices_SubPractices[CP]=1,Practices_SubPractices[Org]="Medium"),SUMIFS(Practices_SubPractices[B],Practices_SubPractices[CP],"1",Practices_SubPractices[Org],"Medium"),IF(AND(Practices_SubPractices[CP]=2,Practices_SubPractices[Org]="Medium"),SUMIFS(Practices_SubPractices[B],Practices_SubPractices[CP],"2",Practices_SubPractices[Org],"Medium"),IF(AND(Practices_SubPractices[CP]=3,Practices_SubPractices[Org]="Medium"),SUMIFS(Practices_SubPractices[B],Practices_SubPractices[CP],"3",Practices_SubPractices[Org],"Medium"),IF(AND(Practices_SubPractices[CP]=4,Practices_SubPractices[Org]="Medium"),SUMIFS(Practices_SubPractices[B],Practices_SubPractices[CP],"4",Practices_SubPractices[Org],"Medium"),IF(AND(Practices_SubPractices[CP]=5,Practices_SubPractices[Org]="Medium"),SUMIFS(Practices_SubPractices[B],Practices_SubPractices[CP],"5",Practices_SubPractices[Org],"Medium"),IF(AND(Practices_SubPractices[CP]=6,Practices_SubPractices[Org]="Medium"),SUMIFS(Practices_SubPractices[B],Practices_SubPractices[CP],"6",Practices_SubPractices[Org],"Medium"),IF(AND(Practices_SubPractices[CP]=7,Practices_SubPractices[Org] ="Medium"),SUMIFS(Practices_SubPractices[B],Practices_SubPractices[CP],"7",Practices_SubPractices[Org],"Medium"),IF(AND(Practices_SubPractices[CP]=8,Practices_SubPractices[Org] ="Medium"),SUMIFS(Practices_SubPractices[B],Practices_SubPractices[CP],"8",Practices_SubPractices[Org],"Medium"),IF(AND(Practices_SubPractices[CP]=9,Practices_SubPractices[Org] ="Medium"),SUMIFS(Practices_SubPractices[B],Practices_SubPractices[CP],"9",Practices_SubPractices[Org],"Medium"),IF(AND(Practices_SubPractices[CP]=10,Practices_SubPractices[Org] ="Medium"),SUMIFS(Practices_SubPractices[B],Practices_SubPractices[CP],"10",Practices_SubPractices[Org],"Medium"),IF(AND(Practices_SubPractices[CP]=1,Practices_SubPractices[Org]="Large"),SUMIFS(Practices_SubPractices[B],Practices_SubPractices[CP],"1",Practices_SubPractices[Org],"Large"),IF(AND(Practices_SubPractices[CP]=2,Practices_SubPractices[Org]="Large"),SUMIFS(Practices_SubPractices[B],Practices_SubPractices[CP],"2",Practices_SubPractices[Org],"Large"),IF(AND(Practices_SubPractices[CP]=3,Practices_SubPractices[Org]="Large"),SUMIFS(Practices_SubPractices[B],Practices_SubPractices[CP],"3",Practices_SubPractices[Org],"Large"),IF(AND(Practices_SubPractices[CP]=4,Practices_SubPractices[Org]="Large"),SUMIFS(Practices_SubPractices[B],Practices_SubPractices[CP],"4",Practices_SubPractices[Org],"Large"),IF(AND(Practices_SubPractices[CP]=5,Practices_SubPractices[Org]="Large"),SUMIFS(Practices_SubPractices[B],Practices_SubPractices[CP],"5",Practices_SubPractices[Org],"Large"),IF(AND(Practices_SubPractices[CP]=6,Practices_SubPractices[Org]="Large"),SUMIFS(Practices_SubPractices[B],Practices_SubPractices[CP],"6",Practices_SubPractices[Org],"Large"),IF(AND(Practices_SubPractices[CP]=7,Practices_SubPractices[Org] ="Large"),SUMIFS(Practices_SubPractices[B],Practices_SubPractices[CP],"7",Practices_SubPractices[Org],"Large"),IF(AND(Practices_SubPractices[CP]=8,Practices_SubPractices[Org] ="Large"),SUMIFS(Practices_SubPractices[B],Practices_SubPractices[CP],"8",Practices_SubPractices[Org],"Large"),IF(AND(Practices_SubPractices[CP]=9,Practices_SubPractices[Org] ="Large"),SUMIFS(Practices_SubPractices[B],Practices_SubPractices[CP],"9",Practices_SubPractices[Org],"Large"),IF(AND(Practices_SubPractices[CP]=10,Practices_SubPractices[Org] ="Large"),SUMIFS(Practices_SubPractices[B],Practices_SubPractices[CP],"10",Practices_SubPractices[Org],"Large"),"TBD"))))))))))))))))))))))))))))))</f>
        <v>10</v>
      </c>
      <c r="P37" s="77">
        <f>IF(AND(Practices_SubPractices[CP]=1,Practices_SubPractices[Org]="Small"),SUMIFS(Practices_SubPractices[C],Practices_SubPractices[CP],"1",Practices_SubPractices[Org],"Small"),IF(AND(Practices_SubPractices[CP]=2,Practices_SubPractices[Org]="Small"),SUMIFS(Practices_SubPractices[C],Practices_SubPractices[CP],"2",Practices_SubPractices[Org],"Small"),IF(AND(Practices_SubPractices[CP]=3,Practices_SubPractices[Org]="Small"),SUMIFS(Practices_SubPractices[C],Practices_SubPractices[CP],"3",Practices_SubPractices[Org],"Small"),IF(AND(Practices_SubPractices[CP]=4,Practices_SubPractices[Org]="Small"),SUMIFS(Practices_SubPractices[C],Practices_SubPractices[CP],"4",Practices_SubPractices[Org],"Small"),IF(AND(Practices_SubPractices[CP]=5,Practices_SubPractices[Org]="Small"),SUMIFS(Practices_SubPractices[C],Practices_SubPractices[CP],"5",Practices_SubPractices[Org],"Small"),IF(AND(Practices_SubPractices[CP]=6,Practices_SubPractices[Org]="Small"),SUMIFS(Practices_SubPractices[C],Practices_SubPractices[CP],"6",Practices_SubPractices[Org],"Small"),IF(AND(Practices_SubPractices[CP]=7,Practices_SubPractices[Org] ="Small"),SUMIFS(Practices_SubPractices[C],Practices_SubPractices[CP],"7",Practices_SubPractices[Org],"Small"),IF(AND(Practices_SubPractices[CP]=8,Practices_SubPractices[Org] ="Small"),SUMIFS(Practices_SubPractices[C],Practices_SubPractices[CP],"8",Practices_SubPractices[Org],"Small"),IF(AND(Practices_SubPractices[CP]=9,Practices_SubPractices[Org] ="Small"),SUMIFS(Practices_SubPractices[C],Practices_SubPractices[CP],"9",Practices_SubPractices[Org],"Small"),IF(AND(Practices_SubPractices[CP]=10,Practices_SubPractices[Org] ="Small"),SUMIFS(Practices_SubPractices[C],Practices_SubPractices[CP],"10",Practices_SubPractices[Org],"Small"),IF(AND(Practices_SubPractices[CP]=1,Practices_SubPractices[Org]="Medium"),SUMIFS(Practices_SubPractices[C],Practices_SubPractices[CP],"1",Practices_SubPractices[Org],"Medium"),IF(AND(Practices_SubPractices[CP]=2,Practices_SubPractices[Org]="Medium"),SUMIFS(Practices_SubPractices[C],Practices_SubPractices[CP],"2",Practices_SubPractices[Org],"Medium"),IF(AND(Practices_SubPractices[CP]=3,Practices_SubPractices[Org]="Medium"),SUMIFS(Practices_SubPractices[C],Practices_SubPractices[CP],"3",Practices_SubPractices[Org],"Medium"),IF(AND(Practices_SubPractices[CP]=4,Practices_SubPractices[Org]="Medium"),SUMIFS(Practices_SubPractices[C],Practices_SubPractices[CP],"4",Practices_SubPractices[Org],"Medium"),IF(AND(Practices_SubPractices[CP]=5,Practices_SubPractices[Org]="Medium"),SUMIFS(Practices_SubPractices[C],Practices_SubPractices[CP],"5",Practices_SubPractices[Org],"Medium"),IF(AND(Practices_SubPractices[CP]=6,Practices_SubPractices[Org]="Medium"),SUMIFS(Practices_SubPractices[C],Practices_SubPractices[CP],"6",Practices_SubPractices[Org],"Medium"),IF(AND(Practices_SubPractices[CP]=7,Practices_SubPractices[Org] ="Medium"),SUMIFS(Practices_SubPractices[C],Practices_SubPractices[CP],"7",Practices_SubPractices[Org],"Medium"),IF(AND(Practices_SubPractices[CP]=8,Practices_SubPractices[Org] ="Medium"),SUMIFS(Practices_SubPractices[C],Practices_SubPractices[CP],"8",Practices_SubPractices[Org],"Medium"),IF(AND(Practices_SubPractices[CP]=9,Practices_SubPractices[Org] ="Medium"),SUMIFS(Practices_SubPractices[C],Practices_SubPractices[CP],"9",Practices_SubPractices[Org],"Medium"),IF(AND(Practices_SubPractices[CP]=10,Practices_SubPractices[Org] ="Medium"),SUMIFS(Practices_SubPractices[C],Practices_SubPractices[CP],"10",Practices_SubPractices[Org],"Medium"),IF(AND(Practices_SubPractices[CP]=1,Practices_SubPractices[Org]="Large"),SUMIFS(Practices_SubPractices[C],Practices_SubPractices[CP],"1",Practices_SubPractices[Org],"Large"),IF(AND(Practices_SubPractices[CP]=2,Practices_SubPractices[Org]="Large"),SUMIFS(Practices_SubPractices[C],Practices_SubPractices[CP],"2",Practices_SubPractices[Org],"Large"),IF(AND(Practices_SubPractices[CP]=3,Practices_SubPractices[Org]="Large"),SUMIFS(Practices_SubPractices[C],Practices_SubPractices[CP],"3",Practices_SubPractices[Org],"Large"),IF(AND(Practices_SubPractices[CP]=4,Practices_SubPractices[Org]="Large"),SUMIFS(Practices_SubPractices[C],Practices_SubPractices[CP],"4",Practices_SubPractices[Org],"Large"),IF(AND(Practices_SubPractices[CP]=5,Practices_SubPractices[Org]="Large"),SUMIFS(Practices_SubPractices[C],Practices_SubPractices[CP],"5",Practices_SubPractices[Org],"Large"),IF(AND(Practices_SubPractices[CP]=6,Practices_SubPractices[Org]="Large"),SUMIFS(Practices_SubPractices[C],Practices_SubPractices[CP],"6",Practices_SubPractices[Org],"Large"),IF(AND(Practices_SubPractices[CP]=7,Practices_SubPractices[Org] ="Large"),SUMIFS(Practices_SubPractices[C],Practices_SubPractices[CP],"7",Practices_SubPractices[Org],"Large"),IF(AND(Practices_SubPractices[CP]=8,Practices_SubPractices[Org] ="Large"),SUMIFS(Practices_SubPractices[C],Practices_SubPractices[CP],"8",Practices_SubPractices[Org],"Large"),IF(AND(Practices_SubPractices[CP]=9,Practices_SubPractices[Org] ="Large"),SUMIFS(Practices_SubPractices[C],Practices_SubPractices[CP],"9",Practices_SubPractices[Org],"Large"),IF(AND(Practices_SubPractices[CP]=10,Practices_SubPractices[Org] ="Large"),SUMIFS(Practices_SubPractices[C],Practices_SubPractices[CP],"10",Practices_SubPractices[Org],"Large"),"TBD"))))))))))))))))))))))))))))))</f>
        <v>4</v>
      </c>
      <c r="Q37" s="77">
        <f>IF(AND(Practices_SubPractices[CP]=1,Practices_SubPractices[Org]="Small"),SUMIFS(Practices_SubPractices[D],Practices_SubPractices[CP],"1",Practices_SubPractices[Org],"Small"),IF(AND(Practices_SubPractices[CP]=2,Practices_SubPractices[Org]="Small"),SUMIFS(Practices_SubPractices[D],Practices_SubPractices[CP],"2",Practices_SubPractices[Org],"Small"),IF(AND(Practices_SubPractices[CP]=3,Practices_SubPractices[Org]="Small"),SUMIFS(Practices_SubPractices[D],Practices_SubPractices[CP],"3",Practices_SubPractices[Org],"Small"),IF(AND(Practices_SubPractices[CP]=4,Practices_SubPractices[Org]="Small"),SUMIFS(Practices_SubPractices[D],Practices_SubPractices[CP],"4",Practices_SubPractices[Org],"Small"),IF(AND(Practices_SubPractices[CP]=5,Practices_SubPractices[Org]="Small"),SUMIFS(Practices_SubPractices[D],Practices_SubPractices[CP],"5",Practices_SubPractices[Org],"Small"),IF(AND(Practices_SubPractices[CP]=6,Practices_SubPractices[Org]="Small"),SUMIFS(Practices_SubPractices[D],Practices_SubPractices[CP],"6",Practices_SubPractices[Org],"Small"),IF(AND(Practices_SubPractices[CP]=7,Practices_SubPractices[Org] ="Small"),SUMIFS(Practices_SubPractices[D],Practices_SubPractices[CP],"7",Practices_SubPractices[Org],"Small"),IF(AND(Practices_SubPractices[CP]=8,Practices_SubPractices[Org] ="Small"),SUMIFS(Practices_SubPractices[D],Practices_SubPractices[CP],"8",Practices_SubPractices[Org],"Small"),IF(AND(Practices_SubPractices[CP]=9,Practices_SubPractices[Org] ="Small"),SUMIFS(Practices_SubPractices[D],Practices_SubPractices[CP],"9",Practices_SubPractices[Org],"Small"),IF(AND(Practices_SubPractices[CP]=10,Practices_SubPractices[Org] ="Small"),SUMIFS(Practices_SubPractices[D],Practices_SubPractices[CP],"10",Practices_SubPractices[Org],"Small"),IF(AND(Practices_SubPractices[CP]=1,Practices_SubPractices[Org]="Medium"),SUMIFS(Practices_SubPractices[D],Practices_SubPractices[CP],"1",Practices_SubPractices[Org],"Medium"),IF(AND(Practices_SubPractices[CP]=2,Practices_SubPractices[Org]="Medium"),SUMIFS(Practices_SubPractices[D],Practices_SubPractices[CP],"2",Practices_SubPractices[Org],"Medium"),IF(AND(Practices_SubPractices[CP]=3,Practices_SubPractices[Org]="Medium"),SUMIFS(Practices_SubPractices[D],Practices_SubPractices[CP],"3",Practices_SubPractices[Org],"Medium"),IF(AND(Practices_SubPractices[CP]=4,Practices_SubPractices[Org]="Medium"),SUMIFS(Practices_SubPractices[D],Practices_SubPractices[CP],"4",Practices_SubPractices[Org],"Medium"),IF(AND(Practices_SubPractices[CP]=5,Practices_SubPractices[Org]="Medium"),SUMIFS(Practices_SubPractices[D],Practices_SubPractices[CP],"5",Practices_SubPractices[Org],"Medium"),IF(AND(Practices_SubPractices[CP]=6,Practices_SubPractices[Org]="Medium"),SUMIFS(Practices_SubPractices[D],Practices_SubPractices[CP],"6",Practices_SubPractices[Org],"Medium"),IF(AND(Practices_SubPractices[CP]=7,Practices_SubPractices[Org] ="Medium"),SUMIFS(Practices_SubPractices[D],Practices_SubPractices[CP],"7",Practices_SubPractices[Org],"Medium"),IF(AND(Practices_SubPractices[CP]=8,Practices_SubPractices[Org] ="Medium"),SUMIFS(Practices_SubPractices[D],Practices_SubPractices[CP],"8",Practices_SubPractices[Org],"Medium"),IF(AND(Practices_SubPractices[CP]=9,Practices_SubPractices[Org] ="Medium"),SUMIFS(Practices_SubPractices[D],Practices_SubPractices[CP],"9",Practices_SubPractices[Org],"Medium"),IF(AND(Practices_SubPractices[CP]=10,Practices_SubPractices[Org] ="Medium"),SUMIFS(Practices_SubPractices[D],Practices_SubPractices[CP],"10",Practices_SubPractices[Org],"Medium"),IF(AND(Practices_SubPractices[CP]=1,Practices_SubPractices[Org]="Large"),SUMIFS(Practices_SubPractices[D],Practices_SubPractices[CP],"1",Practices_SubPractices[Org],"Large"),IF(AND(Practices_SubPractices[CP]=2,Practices_SubPractices[Org]="Large"),SUMIFS(Practices_SubPractices[D],Practices_SubPractices[CP],"2",Practices_SubPractices[Org],"Large"),IF(AND(Practices_SubPractices[CP]=3,Practices_SubPractices[Org]="Large"),SUMIFS(Practices_SubPractices[D],Practices_SubPractices[CP],"3",Practices_SubPractices[Org],"Large"),IF(AND(Practices_SubPractices[CP]=4,Practices_SubPractices[Org]="Large"),SUMIFS(Practices_SubPractices[D],Practices_SubPractices[CP],"4",Practices_SubPractices[Org],"Large"),IF(AND(Practices_SubPractices[CP]=5,Practices_SubPractices[Org]="Large"),SUMIFS(Practices_SubPractices[D],Practices_SubPractices[CP],"5",Practices_SubPractices[Org],"Large"),IF(AND(Practices_SubPractices[CP]=6,Practices_SubPractices[Org]="Large"),SUMIFS(Practices_SubPractices[D],Practices_SubPractices[CP],"6",Practices_SubPractices[Org],"Large"),IF(AND(Practices_SubPractices[CP]=7,Practices_SubPractices[Org] ="Large"),SUMIFS(Practices_SubPractices[D],Practices_SubPractices[CP],"7",Practices_SubPractices[Org],"Large"),IF(AND(Practices_SubPractices[CP]=8,Practices_SubPractices[Org] ="Large"),SUMIFS(Practices_SubPractices[D],Practices_SubPractices[CP],"8",Practices_SubPractices[Org],"Large"),IF(AND(Practices_SubPractices[CP]=9,Practices_SubPractices[Org] ="Large"),SUMIFS(Practices_SubPractices[D],Practices_SubPractices[CP],"9",Practices_SubPractices[Org],"Large"),IF(AND(Practices_SubPractices[CP]=10,Practices_SubPractices[Org] ="Large"),SUMIFS(Practices_SubPractices[D],Practices_SubPractices[CP],"10",Practices_SubPractices[Org],"Large"),"TBD"))))))))))))))))))))))))))))))</f>
        <v>7</v>
      </c>
      <c r="R37" s="77">
        <f>IF(AND(Practices_SubPractices[CP]=1,Practices_SubPractices[Org]="Small"),SUMIFS(Practices_SubPractices[E],Practices_SubPractices[CP],"1",Practices_SubPractices[Org],"Small"),IF(AND(Practices_SubPractices[CP]=2,Practices_SubPractices[Org]="Small"),SUMIFS(Practices_SubPractices[E],Practices_SubPractices[CP],"2",Practices_SubPractices[Org],"Small"),IF(AND(Practices_SubPractices[CP]=3,Practices_SubPractices[Org]="Small"),SUMIFS(Practices_SubPractices[E],Practices_SubPractices[CP],"3",Practices_SubPractices[Org],"Small"),IF(AND(Practices_SubPractices[CP]=4,Practices_SubPractices[Org]="Small"),SUMIFS(Practices_SubPractices[E],Practices_SubPractices[CP],"4",Practices_SubPractices[Org],"Small"),IF(AND(Practices_SubPractices[CP]=5,Practices_SubPractices[Org]="Small"),SUMIFS(Practices_SubPractices[E],Practices_SubPractices[CP],"5",Practices_SubPractices[Org],"Small"),IF(AND(Practices_SubPractices[CP]=6,Practices_SubPractices[Org]="Small"),SUMIFS(Practices_SubPractices[E],Practices_SubPractices[CP],"6",Practices_SubPractices[Org],"Small"),IF(AND(Practices_SubPractices[CP]=7,Practices_SubPractices[Org] ="Small"),SUMIFS(Practices_SubPractices[E],Practices_SubPractices[CP],"7",Practices_SubPractices[Org],"Small"),IF(AND(Practices_SubPractices[CP]=8,Practices_SubPractices[Org] ="Small"),SUMIFS(Practices_SubPractices[E],Practices_SubPractices[CP],"8",Practices_SubPractices[Org],"Small"),IF(AND(Practices_SubPractices[CP]=9,Practices_SubPractices[Org] ="Small"),SUMIFS(Practices_SubPractices[E],Practices_SubPractices[CP],"9",Practices_SubPractices[Org],"Small"),IF(AND(Practices_SubPractices[CP]=10,Practices_SubPractices[Org] ="Small"),SUMIFS(Practices_SubPractices[E],Practices_SubPractices[CP],"10",Practices_SubPractices[Org],"Small"),IF(AND(Practices_SubPractices[CP]=1,Practices_SubPractices[Org]="Medium"),SUMIFS(Practices_SubPractices[E],Practices_SubPractices[CP],"1",Practices_SubPractices[Org],"Medium"),IF(AND(Practices_SubPractices[CP]=2,Practices_SubPractices[Org]="Medium"),SUMIFS(Practices_SubPractices[E],Practices_SubPractices[CP],"2",Practices_SubPractices[Org],"Medium"),IF(AND(Practices_SubPractices[CP]=3,Practices_SubPractices[Org]="Medium"),SUMIFS(Practices_SubPractices[E],Practices_SubPractices[CP],"3",Practices_SubPractices[Org],"Medium"),IF(AND(Practices_SubPractices[CP]=4,Practices_SubPractices[Org]="Medium"),SUMIFS(Practices_SubPractices[E],Practices_SubPractices[CP],"4",Practices_SubPractices[Org],"Medium"),IF(AND(Practices_SubPractices[CP]=5,Practices_SubPractices[Org]="Medium"),SUMIFS(Practices_SubPractices[E],Practices_SubPractices[CP],"5",Practices_SubPractices[Org],"Medium"),IF(AND(Practices_SubPractices[CP]=6,Practices_SubPractices[Org]="Medium"),SUMIFS(Practices_SubPractices[E],Practices_SubPractices[CP],"6",Practices_SubPractices[Org],"Medium"),IF(AND(Practices_SubPractices[CP]=7,Practices_SubPractices[Org] ="Medium"),SUMIFS(Practices_SubPractices[E],Practices_SubPractices[CP],"7",Practices_SubPractices[Org],"Medium"),IF(AND(Practices_SubPractices[CP]=8,Practices_SubPractices[Org] ="Medium"),SUMIFS(Practices_SubPractices[E],Practices_SubPractices[CP],"8",Practices_SubPractices[Org],"Medium"),IF(AND(Practices_SubPractices[CP]=9,Practices_SubPractices[Org] ="Medium"),SUMIFS(Practices_SubPractices[E],Practices_SubPractices[CP],"9",Practices_SubPractices[Org],"Medium"),IF(AND(Practices_SubPractices[CP]=10,Practices_SubPractices[Org] ="Medium"),SUMIFS(Practices_SubPractices[E],Practices_SubPractices[CP],"10",Practices_SubPractices[Org],"Medium"),IF(AND(Practices_SubPractices[CP]=1,Practices_SubPractices[Org]="Large"),SUMIFS(Practices_SubPractices[E],Practices_SubPractices[CP],"1",Practices_SubPractices[Org],"Large"),IF(AND(Practices_SubPractices[CP]=2,Practices_SubPractices[Org]="Large"),SUMIFS(Practices_SubPractices[E],Practices_SubPractices[CP],"2",Practices_SubPractices[Org],"Large"),IF(AND(Practices_SubPractices[CP]=3,Practices_SubPractices[Org]="Large"),SUMIFS(Practices_SubPractices[E],Practices_SubPractices[CP],"3",Practices_SubPractices[Org],"Large"),IF(AND(Practices_SubPractices[CP]=4,Practices_SubPractices[Org]="Large"),SUMIFS(Practices_SubPractices[E],Practices_SubPractices[CP],"4",Practices_SubPractices[Org],"Large"),IF(AND(Practices_SubPractices[CP]=5,Practices_SubPractices[Org]="Large"),SUMIFS(Practices_SubPractices[E],Practices_SubPractices[CP],"5",Practices_SubPractices[Org],"Large"),IF(AND(Practices_SubPractices[CP]=6,Practices_SubPractices[Org]="Large"),SUMIFS(Practices_SubPractices[E],Practices_SubPractices[CP],"6",Practices_SubPractices[Org],"Large"),IF(AND(Practices_SubPractices[CP]=7,Practices_SubPractices[Org] ="Large"),SUMIFS(Practices_SubPractices[E],Practices_SubPractices[CP],"7",Practices_SubPractices[Org],"Large"),IF(AND(Practices_SubPractices[CP]=8,Practices_SubPractices[Org] ="Large"),SUMIFS(Practices_SubPractices[E],Practices_SubPractices[CP],"8",Practices_SubPractices[Org],"Large"),IF(AND(Practices_SubPractices[CP]=9,Practices_SubPractices[Org] ="Large"),SUMIFS(Practices_SubPractices[E],Practices_SubPractices[CP],"9",Practices_SubPractices[Org],"Large"),IF(AND(Practices_SubPractices[CP]=10,Practices_SubPractices[Org] ="Large"),SUMIFS(Practices_SubPractices[E],Practices_SubPractices[CP],"10",Practices_SubPractices[Org],"Large"),"TBD"))))))))))))))))))))))))))))))</f>
        <v>1</v>
      </c>
      <c r="S37" s="87" t="s">
        <v>388</v>
      </c>
    </row>
    <row r="38" spans="1:19" x14ac:dyDescent="0.35">
      <c r="A38" s="73">
        <v>28</v>
      </c>
      <c r="B38" s="73">
        <v>2</v>
      </c>
      <c r="C38" s="73" t="s">
        <v>11</v>
      </c>
      <c r="D38" s="73" t="str">
        <f>Practices_SubPractices[[#This Row],[CP]]&amp;LEFT(Practices_SubPractices[[#This Row],[Org]],1)</f>
        <v>2M</v>
      </c>
      <c r="E38" s="73" t="s">
        <v>265</v>
      </c>
      <c r="F38" s="74" t="s">
        <v>67</v>
      </c>
      <c r="G38" s="74" t="s">
        <v>24</v>
      </c>
      <c r="H38" s="74" t="s">
        <v>179</v>
      </c>
      <c r="I38" s="75">
        <v>0</v>
      </c>
      <c r="J38" s="75">
        <v>2</v>
      </c>
      <c r="K38" s="75">
        <v>2</v>
      </c>
      <c r="L38" s="75">
        <v>1</v>
      </c>
      <c r="M38" s="75">
        <v>1</v>
      </c>
      <c r="N38" s="76"/>
      <c r="O38" s="77">
        <f>IF(AND(Practices_SubPractices[CP]=1,Practices_SubPractices[Org]="Small"),SUMIFS(Practices_SubPractices[B],Practices_SubPractices[CP],"1",Practices_SubPractices[Org],"Small"),IF(AND(Practices_SubPractices[CP]=2,Practices_SubPractices[Org]="Small"),SUMIFS(Practices_SubPractices[B],Practices_SubPractices[CP],"2",Practices_SubPractices[Org],"Small"),IF(AND(Practices_SubPractices[CP]=3,Practices_SubPractices[Org]="Small"),SUMIFS(Practices_SubPractices[B],Practices_SubPractices[CP],"3",Practices_SubPractices[Org],"Small"),IF(AND(Practices_SubPractices[CP]=4,Practices_SubPractices[Org]="Small"),SUMIFS(Practices_SubPractices[B],Practices_SubPractices[CP],"4",Practices_SubPractices[Org],"Small"),IF(AND(Practices_SubPractices[CP]=5,Practices_SubPractices[Org]="Small"),SUMIFS(Practices_SubPractices[B],Practices_SubPractices[CP],"5",Practices_SubPractices[Org],"Small"),IF(AND(Practices_SubPractices[CP]=6,Practices_SubPractices[Org]="Small"),SUMIFS(Practices_SubPractices[B],Practices_SubPractices[CP],"6",Practices_SubPractices[Org],"Small"),IF(AND(Practices_SubPractices[CP]=7,Practices_SubPractices[Org] ="Small"),SUMIFS(Practices_SubPractices[B],Practices_SubPractices[CP],"7",Practices_SubPractices[Org],"Small"),IF(AND(Practices_SubPractices[CP]=8,Practices_SubPractices[Org] ="Small"),SUMIFS(Practices_SubPractices[B],Practices_SubPractices[CP],"8",Practices_SubPractices[Org],"Small"),IF(AND(Practices_SubPractices[CP]=9,Practices_SubPractices[Org] ="Small"),SUMIFS(Practices_SubPractices[B],Practices_SubPractices[CP],"9",Practices_SubPractices[Org],"Small"),IF(AND(Practices_SubPractices[CP]=10,Practices_SubPractices[Org] ="Small"),SUMIFS(Practices_SubPractices[B],Practices_SubPractices[CP],"10",Practices_SubPractices[Org],"Small"),IF(AND(Practices_SubPractices[CP]=1,Practices_SubPractices[Org]="Medium"),SUMIFS(Practices_SubPractices[B],Practices_SubPractices[CP],"1",Practices_SubPractices[Org],"Medium"),IF(AND(Practices_SubPractices[CP]=2,Practices_SubPractices[Org]="Medium"),SUMIFS(Practices_SubPractices[B],Practices_SubPractices[CP],"2",Practices_SubPractices[Org],"Medium"),IF(AND(Practices_SubPractices[CP]=3,Practices_SubPractices[Org]="Medium"),SUMIFS(Practices_SubPractices[B],Practices_SubPractices[CP],"3",Practices_SubPractices[Org],"Medium"),IF(AND(Practices_SubPractices[CP]=4,Practices_SubPractices[Org]="Medium"),SUMIFS(Practices_SubPractices[B],Practices_SubPractices[CP],"4",Practices_SubPractices[Org],"Medium"),IF(AND(Practices_SubPractices[CP]=5,Practices_SubPractices[Org]="Medium"),SUMIFS(Practices_SubPractices[B],Practices_SubPractices[CP],"5",Practices_SubPractices[Org],"Medium"),IF(AND(Practices_SubPractices[CP]=6,Practices_SubPractices[Org]="Medium"),SUMIFS(Practices_SubPractices[B],Practices_SubPractices[CP],"6",Practices_SubPractices[Org],"Medium"),IF(AND(Practices_SubPractices[CP]=7,Practices_SubPractices[Org] ="Medium"),SUMIFS(Practices_SubPractices[B],Practices_SubPractices[CP],"7",Practices_SubPractices[Org],"Medium"),IF(AND(Practices_SubPractices[CP]=8,Practices_SubPractices[Org] ="Medium"),SUMIFS(Practices_SubPractices[B],Practices_SubPractices[CP],"8",Practices_SubPractices[Org],"Medium"),IF(AND(Practices_SubPractices[CP]=9,Practices_SubPractices[Org] ="Medium"),SUMIFS(Practices_SubPractices[B],Practices_SubPractices[CP],"9",Practices_SubPractices[Org],"Medium"),IF(AND(Practices_SubPractices[CP]=10,Practices_SubPractices[Org] ="Medium"),SUMIFS(Practices_SubPractices[B],Practices_SubPractices[CP],"10",Practices_SubPractices[Org],"Medium"),IF(AND(Practices_SubPractices[CP]=1,Practices_SubPractices[Org]="Large"),SUMIFS(Practices_SubPractices[B],Practices_SubPractices[CP],"1",Practices_SubPractices[Org],"Large"),IF(AND(Practices_SubPractices[CP]=2,Practices_SubPractices[Org]="Large"),SUMIFS(Practices_SubPractices[B],Practices_SubPractices[CP],"2",Practices_SubPractices[Org],"Large"),IF(AND(Practices_SubPractices[CP]=3,Practices_SubPractices[Org]="Large"),SUMIFS(Practices_SubPractices[B],Practices_SubPractices[CP],"3",Practices_SubPractices[Org],"Large"),IF(AND(Practices_SubPractices[CP]=4,Practices_SubPractices[Org]="Large"),SUMIFS(Practices_SubPractices[B],Practices_SubPractices[CP],"4",Practices_SubPractices[Org],"Large"),IF(AND(Practices_SubPractices[CP]=5,Practices_SubPractices[Org]="Large"),SUMIFS(Practices_SubPractices[B],Practices_SubPractices[CP],"5",Practices_SubPractices[Org],"Large"),IF(AND(Practices_SubPractices[CP]=6,Practices_SubPractices[Org]="Large"),SUMIFS(Practices_SubPractices[B],Practices_SubPractices[CP],"6",Practices_SubPractices[Org],"Large"),IF(AND(Practices_SubPractices[CP]=7,Practices_SubPractices[Org] ="Large"),SUMIFS(Practices_SubPractices[B],Practices_SubPractices[CP],"7",Practices_SubPractices[Org],"Large"),IF(AND(Practices_SubPractices[CP]=8,Practices_SubPractices[Org] ="Large"),SUMIFS(Practices_SubPractices[B],Practices_SubPractices[CP],"8",Practices_SubPractices[Org],"Large"),IF(AND(Practices_SubPractices[CP]=9,Practices_SubPractices[Org] ="Large"),SUMIFS(Practices_SubPractices[B],Practices_SubPractices[CP],"9",Practices_SubPractices[Org],"Large"),IF(AND(Practices_SubPractices[CP]=10,Practices_SubPractices[Org] ="Large"),SUMIFS(Practices_SubPractices[B],Practices_SubPractices[CP],"10",Practices_SubPractices[Org],"Large"),"TBD"))))))))))))))))))))))))))))))</f>
        <v>2</v>
      </c>
      <c r="P38" s="77">
        <f>IF(AND(Practices_SubPractices[CP]=1,Practices_SubPractices[Org]="Small"),SUMIFS(Practices_SubPractices[C],Practices_SubPractices[CP],"1",Practices_SubPractices[Org],"Small"),IF(AND(Practices_SubPractices[CP]=2,Practices_SubPractices[Org]="Small"),SUMIFS(Practices_SubPractices[C],Practices_SubPractices[CP],"2",Practices_SubPractices[Org],"Small"),IF(AND(Practices_SubPractices[CP]=3,Practices_SubPractices[Org]="Small"),SUMIFS(Practices_SubPractices[C],Practices_SubPractices[CP],"3",Practices_SubPractices[Org],"Small"),IF(AND(Practices_SubPractices[CP]=4,Practices_SubPractices[Org]="Small"),SUMIFS(Practices_SubPractices[C],Practices_SubPractices[CP],"4",Practices_SubPractices[Org],"Small"),IF(AND(Practices_SubPractices[CP]=5,Practices_SubPractices[Org]="Small"),SUMIFS(Practices_SubPractices[C],Practices_SubPractices[CP],"5",Practices_SubPractices[Org],"Small"),IF(AND(Practices_SubPractices[CP]=6,Practices_SubPractices[Org]="Small"),SUMIFS(Practices_SubPractices[C],Practices_SubPractices[CP],"6",Practices_SubPractices[Org],"Small"),IF(AND(Practices_SubPractices[CP]=7,Practices_SubPractices[Org] ="Small"),SUMIFS(Practices_SubPractices[C],Practices_SubPractices[CP],"7",Practices_SubPractices[Org],"Small"),IF(AND(Practices_SubPractices[CP]=8,Practices_SubPractices[Org] ="Small"),SUMIFS(Practices_SubPractices[C],Practices_SubPractices[CP],"8",Practices_SubPractices[Org],"Small"),IF(AND(Practices_SubPractices[CP]=9,Practices_SubPractices[Org] ="Small"),SUMIFS(Practices_SubPractices[C],Practices_SubPractices[CP],"9",Practices_SubPractices[Org],"Small"),IF(AND(Practices_SubPractices[CP]=10,Practices_SubPractices[Org] ="Small"),SUMIFS(Practices_SubPractices[C],Practices_SubPractices[CP],"10",Practices_SubPractices[Org],"Small"),IF(AND(Practices_SubPractices[CP]=1,Practices_SubPractices[Org]="Medium"),SUMIFS(Practices_SubPractices[C],Practices_SubPractices[CP],"1",Practices_SubPractices[Org],"Medium"),IF(AND(Practices_SubPractices[CP]=2,Practices_SubPractices[Org]="Medium"),SUMIFS(Practices_SubPractices[C],Practices_SubPractices[CP],"2",Practices_SubPractices[Org],"Medium"),IF(AND(Practices_SubPractices[CP]=3,Practices_SubPractices[Org]="Medium"),SUMIFS(Practices_SubPractices[C],Practices_SubPractices[CP],"3",Practices_SubPractices[Org],"Medium"),IF(AND(Practices_SubPractices[CP]=4,Practices_SubPractices[Org]="Medium"),SUMIFS(Practices_SubPractices[C],Practices_SubPractices[CP],"4",Practices_SubPractices[Org],"Medium"),IF(AND(Practices_SubPractices[CP]=5,Practices_SubPractices[Org]="Medium"),SUMIFS(Practices_SubPractices[C],Practices_SubPractices[CP],"5",Practices_SubPractices[Org],"Medium"),IF(AND(Practices_SubPractices[CP]=6,Practices_SubPractices[Org]="Medium"),SUMIFS(Practices_SubPractices[C],Practices_SubPractices[CP],"6",Practices_SubPractices[Org],"Medium"),IF(AND(Practices_SubPractices[CP]=7,Practices_SubPractices[Org] ="Medium"),SUMIFS(Practices_SubPractices[C],Practices_SubPractices[CP],"7",Practices_SubPractices[Org],"Medium"),IF(AND(Practices_SubPractices[CP]=8,Practices_SubPractices[Org] ="Medium"),SUMIFS(Practices_SubPractices[C],Practices_SubPractices[CP],"8",Practices_SubPractices[Org],"Medium"),IF(AND(Practices_SubPractices[CP]=9,Practices_SubPractices[Org] ="Medium"),SUMIFS(Practices_SubPractices[C],Practices_SubPractices[CP],"9",Practices_SubPractices[Org],"Medium"),IF(AND(Practices_SubPractices[CP]=10,Practices_SubPractices[Org] ="Medium"),SUMIFS(Practices_SubPractices[C],Practices_SubPractices[CP],"10",Practices_SubPractices[Org],"Medium"),IF(AND(Practices_SubPractices[CP]=1,Practices_SubPractices[Org]="Large"),SUMIFS(Practices_SubPractices[C],Practices_SubPractices[CP],"1",Practices_SubPractices[Org],"Large"),IF(AND(Practices_SubPractices[CP]=2,Practices_SubPractices[Org]="Large"),SUMIFS(Practices_SubPractices[C],Practices_SubPractices[CP],"2",Practices_SubPractices[Org],"Large"),IF(AND(Practices_SubPractices[CP]=3,Practices_SubPractices[Org]="Large"),SUMIFS(Practices_SubPractices[C],Practices_SubPractices[CP],"3",Practices_SubPractices[Org],"Large"),IF(AND(Practices_SubPractices[CP]=4,Practices_SubPractices[Org]="Large"),SUMIFS(Practices_SubPractices[C],Practices_SubPractices[CP],"4",Practices_SubPractices[Org],"Large"),IF(AND(Practices_SubPractices[CP]=5,Practices_SubPractices[Org]="Large"),SUMIFS(Practices_SubPractices[C],Practices_SubPractices[CP],"5",Practices_SubPractices[Org],"Large"),IF(AND(Practices_SubPractices[CP]=6,Practices_SubPractices[Org]="Large"),SUMIFS(Practices_SubPractices[C],Practices_SubPractices[CP],"6",Practices_SubPractices[Org],"Large"),IF(AND(Practices_SubPractices[CP]=7,Practices_SubPractices[Org] ="Large"),SUMIFS(Practices_SubPractices[C],Practices_SubPractices[CP],"7",Practices_SubPractices[Org],"Large"),IF(AND(Practices_SubPractices[CP]=8,Practices_SubPractices[Org] ="Large"),SUMIFS(Practices_SubPractices[C],Practices_SubPractices[CP],"8",Practices_SubPractices[Org],"Large"),IF(AND(Practices_SubPractices[CP]=9,Practices_SubPractices[Org] ="Large"),SUMIFS(Practices_SubPractices[C],Practices_SubPractices[CP],"9",Practices_SubPractices[Org],"Large"),IF(AND(Practices_SubPractices[CP]=10,Practices_SubPractices[Org] ="Large"),SUMIFS(Practices_SubPractices[C],Practices_SubPractices[CP],"10",Practices_SubPractices[Org],"Large"),"TBD"))))))))))))))))))))))))))))))</f>
        <v>2</v>
      </c>
      <c r="Q38" s="77">
        <f>IF(AND(Practices_SubPractices[CP]=1,Practices_SubPractices[Org]="Small"),SUMIFS(Practices_SubPractices[D],Practices_SubPractices[CP],"1",Practices_SubPractices[Org],"Small"),IF(AND(Practices_SubPractices[CP]=2,Practices_SubPractices[Org]="Small"),SUMIFS(Practices_SubPractices[D],Practices_SubPractices[CP],"2",Practices_SubPractices[Org],"Small"),IF(AND(Practices_SubPractices[CP]=3,Practices_SubPractices[Org]="Small"),SUMIFS(Practices_SubPractices[D],Practices_SubPractices[CP],"3",Practices_SubPractices[Org],"Small"),IF(AND(Practices_SubPractices[CP]=4,Practices_SubPractices[Org]="Small"),SUMIFS(Practices_SubPractices[D],Practices_SubPractices[CP],"4",Practices_SubPractices[Org],"Small"),IF(AND(Practices_SubPractices[CP]=5,Practices_SubPractices[Org]="Small"),SUMIFS(Practices_SubPractices[D],Practices_SubPractices[CP],"5",Practices_SubPractices[Org],"Small"),IF(AND(Practices_SubPractices[CP]=6,Practices_SubPractices[Org]="Small"),SUMIFS(Practices_SubPractices[D],Practices_SubPractices[CP],"6",Practices_SubPractices[Org],"Small"),IF(AND(Practices_SubPractices[CP]=7,Practices_SubPractices[Org] ="Small"),SUMIFS(Practices_SubPractices[D],Practices_SubPractices[CP],"7",Practices_SubPractices[Org],"Small"),IF(AND(Practices_SubPractices[CP]=8,Practices_SubPractices[Org] ="Small"),SUMIFS(Practices_SubPractices[D],Practices_SubPractices[CP],"8",Practices_SubPractices[Org],"Small"),IF(AND(Practices_SubPractices[CP]=9,Practices_SubPractices[Org] ="Small"),SUMIFS(Practices_SubPractices[D],Practices_SubPractices[CP],"9",Practices_SubPractices[Org],"Small"),IF(AND(Practices_SubPractices[CP]=10,Practices_SubPractices[Org] ="Small"),SUMIFS(Practices_SubPractices[D],Practices_SubPractices[CP],"10",Practices_SubPractices[Org],"Small"),IF(AND(Practices_SubPractices[CP]=1,Practices_SubPractices[Org]="Medium"),SUMIFS(Practices_SubPractices[D],Practices_SubPractices[CP],"1",Practices_SubPractices[Org],"Medium"),IF(AND(Practices_SubPractices[CP]=2,Practices_SubPractices[Org]="Medium"),SUMIFS(Practices_SubPractices[D],Practices_SubPractices[CP],"2",Practices_SubPractices[Org],"Medium"),IF(AND(Practices_SubPractices[CP]=3,Practices_SubPractices[Org]="Medium"),SUMIFS(Practices_SubPractices[D],Practices_SubPractices[CP],"3",Practices_SubPractices[Org],"Medium"),IF(AND(Practices_SubPractices[CP]=4,Practices_SubPractices[Org]="Medium"),SUMIFS(Practices_SubPractices[D],Practices_SubPractices[CP],"4",Practices_SubPractices[Org],"Medium"),IF(AND(Practices_SubPractices[CP]=5,Practices_SubPractices[Org]="Medium"),SUMIFS(Practices_SubPractices[D],Practices_SubPractices[CP],"5",Practices_SubPractices[Org],"Medium"),IF(AND(Practices_SubPractices[CP]=6,Practices_SubPractices[Org]="Medium"),SUMIFS(Practices_SubPractices[D],Practices_SubPractices[CP],"6",Practices_SubPractices[Org],"Medium"),IF(AND(Practices_SubPractices[CP]=7,Practices_SubPractices[Org] ="Medium"),SUMIFS(Practices_SubPractices[D],Practices_SubPractices[CP],"7",Practices_SubPractices[Org],"Medium"),IF(AND(Practices_SubPractices[CP]=8,Practices_SubPractices[Org] ="Medium"),SUMIFS(Practices_SubPractices[D],Practices_SubPractices[CP],"8",Practices_SubPractices[Org],"Medium"),IF(AND(Practices_SubPractices[CP]=9,Practices_SubPractices[Org] ="Medium"),SUMIFS(Practices_SubPractices[D],Practices_SubPractices[CP],"9",Practices_SubPractices[Org],"Medium"),IF(AND(Practices_SubPractices[CP]=10,Practices_SubPractices[Org] ="Medium"),SUMIFS(Practices_SubPractices[D],Practices_SubPractices[CP],"10",Practices_SubPractices[Org],"Medium"),IF(AND(Practices_SubPractices[CP]=1,Practices_SubPractices[Org]="Large"),SUMIFS(Practices_SubPractices[D],Practices_SubPractices[CP],"1",Practices_SubPractices[Org],"Large"),IF(AND(Practices_SubPractices[CP]=2,Practices_SubPractices[Org]="Large"),SUMIFS(Practices_SubPractices[D],Practices_SubPractices[CP],"2",Practices_SubPractices[Org],"Large"),IF(AND(Practices_SubPractices[CP]=3,Practices_SubPractices[Org]="Large"),SUMIFS(Practices_SubPractices[D],Practices_SubPractices[CP],"3",Practices_SubPractices[Org],"Large"),IF(AND(Practices_SubPractices[CP]=4,Practices_SubPractices[Org]="Large"),SUMIFS(Practices_SubPractices[D],Practices_SubPractices[CP],"4",Practices_SubPractices[Org],"Large"),IF(AND(Practices_SubPractices[CP]=5,Practices_SubPractices[Org]="Large"),SUMIFS(Practices_SubPractices[D],Practices_SubPractices[CP],"5",Practices_SubPractices[Org],"Large"),IF(AND(Practices_SubPractices[CP]=6,Practices_SubPractices[Org]="Large"),SUMIFS(Practices_SubPractices[D],Practices_SubPractices[CP],"6",Practices_SubPractices[Org],"Large"),IF(AND(Practices_SubPractices[CP]=7,Practices_SubPractices[Org] ="Large"),SUMIFS(Practices_SubPractices[D],Practices_SubPractices[CP],"7",Practices_SubPractices[Org],"Large"),IF(AND(Practices_SubPractices[CP]=8,Practices_SubPractices[Org] ="Large"),SUMIFS(Practices_SubPractices[D],Practices_SubPractices[CP],"8",Practices_SubPractices[Org],"Large"),IF(AND(Practices_SubPractices[CP]=9,Practices_SubPractices[Org] ="Large"),SUMIFS(Practices_SubPractices[D],Practices_SubPractices[CP],"9",Practices_SubPractices[Org],"Large"),IF(AND(Practices_SubPractices[CP]=10,Practices_SubPractices[Org] ="Large"),SUMIFS(Practices_SubPractices[D],Practices_SubPractices[CP],"10",Practices_SubPractices[Org],"Large"),"TBD"))))))))))))))))))))))))))))))</f>
        <v>1</v>
      </c>
      <c r="R38" s="77">
        <f>IF(AND(Practices_SubPractices[CP]=1,Practices_SubPractices[Org]="Small"),SUMIFS(Practices_SubPractices[E],Practices_SubPractices[CP],"1",Practices_SubPractices[Org],"Small"),IF(AND(Practices_SubPractices[CP]=2,Practices_SubPractices[Org]="Small"),SUMIFS(Practices_SubPractices[E],Practices_SubPractices[CP],"2",Practices_SubPractices[Org],"Small"),IF(AND(Practices_SubPractices[CP]=3,Practices_SubPractices[Org]="Small"),SUMIFS(Practices_SubPractices[E],Practices_SubPractices[CP],"3",Practices_SubPractices[Org],"Small"),IF(AND(Practices_SubPractices[CP]=4,Practices_SubPractices[Org]="Small"),SUMIFS(Practices_SubPractices[E],Practices_SubPractices[CP],"4",Practices_SubPractices[Org],"Small"),IF(AND(Practices_SubPractices[CP]=5,Practices_SubPractices[Org]="Small"),SUMIFS(Practices_SubPractices[E],Practices_SubPractices[CP],"5",Practices_SubPractices[Org],"Small"),IF(AND(Practices_SubPractices[CP]=6,Practices_SubPractices[Org]="Small"),SUMIFS(Practices_SubPractices[E],Practices_SubPractices[CP],"6",Practices_SubPractices[Org],"Small"),IF(AND(Practices_SubPractices[CP]=7,Practices_SubPractices[Org] ="Small"),SUMIFS(Practices_SubPractices[E],Practices_SubPractices[CP],"7",Practices_SubPractices[Org],"Small"),IF(AND(Practices_SubPractices[CP]=8,Practices_SubPractices[Org] ="Small"),SUMIFS(Practices_SubPractices[E],Practices_SubPractices[CP],"8",Practices_SubPractices[Org],"Small"),IF(AND(Practices_SubPractices[CP]=9,Practices_SubPractices[Org] ="Small"),SUMIFS(Practices_SubPractices[E],Practices_SubPractices[CP],"9",Practices_SubPractices[Org],"Small"),IF(AND(Practices_SubPractices[CP]=10,Practices_SubPractices[Org] ="Small"),SUMIFS(Practices_SubPractices[E],Practices_SubPractices[CP],"10",Practices_SubPractices[Org],"Small"),IF(AND(Practices_SubPractices[CP]=1,Practices_SubPractices[Org]="Medium"),SUMIFS(Practices_SubPractices[E],Practices_SubPractices[CP],"1",Practices_SubPractices[Org],"Medium"),IF(AND(Practices_SubPractices[CP]=2,Practices_SubPractices[Org]="Medium"),SUMIFS(Practices_SubPractices[E],Practices_SubPractices[CP],"2",Practices_SubPractices[Org],"Medium"),IF(AND(Practices_SubPractices[CP]=3,Practices_SubPractices[Org]="Medium"),SUMIFS(Practices_SubPractices[E],Practices_SubPractices[CP],"3",Practices_SubPractices[Org],"Medium"),IF(AND(Practices_SubPractices[CP]=4,Practices_SubPractices[Org]="Medium"),SUMIFS(Practices_SubPractices[E],Practices_SubPractices[CP],"4",Practices_SubPractices[Org],"Medium"),IF(AND(Practices_SubPractices[CP]=5,Practices_SubPractices[Org]="Medium"),SUMIFS(Practices_SubPractices[E],Practices_SubPractices[CP],"5",Practices_SubPractices[Org],"Medium"),IF(AND(Practices_SubPractices[CP]=6,Practices_SubPractices[Org]="Medium"),SUMIFS(Practices_SubPractices[E],Practices_SubPractices[CP],"6",Practices_SubPractices[Org],"Medium"),IF(AND(Practices_SubPractices[CP]=7,Practices_SubPractices[Org] ="Medium"),SUMIFS(Practices_SubPractices[E],Practices_SubPractices[CP],"7",Practices_SubPractices[Org],"Medium"),IF(AND(Practices_SubPractices[CP]=8,Practices_SubPractices[Org] ="Medium"),SUMIFS(Practices_SubPractices[E],Practices_SubPractices[CP],"8",Practices_SubPractices[Org],"Medium"),IF(AND(Practices_SubPractices[CP]=9,Practices_SubPractices[Org] ="Medium"),SUMIFS(Practices_SubPractices[E],Practices_SubPractices[CP],"9",Practices_SubPractices[Org],"Medium"),IF(AND(Practices_SubPractices[CP]=10,Practices_SubPractices[Org] ="Medium"),SUMIFS(Practices_SubPractices[E],Practices_SubPractices[CP],"10",Practices_SubPractices[Org],"Medium"),IF(AND(Practices_SubPractices[CP]=1,Practices_SubPractices[Org]="Large"),SUMIFS(Practices_SubPractices[E],Practices_SubPractices[CP],"1",Practices_SubPractices[Org],"Large"),IF(AND(Practices_SubPractices[CP]=2,Practices_SubPractices[Org]="Large"),SUMIFS(Practices_SubPractices[E],Practices_SubPractices[CP],"2",Practices_SubPractices[Org],"Large"),IF(AND(Practices_SubPractices[CP]=3,Practices_SubPractices[Org]="Large"),SUMIFS(Practices_SubPractices[E],Practices_SubPractices[CP],"3",Practices_SubPractices[Org],"Large"),IF(AND(Practices_SubPractices[CP]=4,Practices_SubPractices[Org]="Large"),SUMIFS(Practices_SubPractices[E],Practices_SubPractices[CP],"4",Practices_SubPractices[Org],"Large"),IF(AND(Practices_SubPractices[CP]=5,Practices_SubPractices[Org]="Large"),SUMIFS(Practices_SubPractices[E],Practices_SubPractices[CP],"5",Practices_SubPractices[Org],"Large"),IF(AND(Practices_SubPractices[CP]=6,Practices_SubPractices[Org]="Large"),SUMIFS(Practices_SubPractices[E],Practices_SubPractices[CP],"6",Practices_SubPractices[Org],"Large"),IF(AND(Practices_SubPractices[CP]=7,Practices_SubPractices[Org] ="Large"),SUMIFS(Practices_SubPractices[E],Practices_SubPractices[CP],"7",Practices_SubPractices[Org],"Large"),IF(AND(Practices_SubPractices[CP]=8,Practices_SubPractices[Org] ="Large"),SUMIFS(Practices_SubPractices[E],Practices_SubPractices[CP],"8",Practices_SubPractices[Org],"Large"),IF(AND(Practices_SubPractices[CP]=9,Practices_SubPractices[Org] ="Large"),SUMIFS(Practices_SubPractices[E],Practices_SubPractices[CP],"9",Practices_SubPractices[Org],"Large"),IF(AND(Practices_SubPractices[CP]=10,Practices_SubPractices[Org] ="Large"),SUMIFS(Practices_SubPractices[E],Practices_SubPractices[CP],"10",Practices_SubPractices[Org],"Large"),"TBD"))))))))))))))))))))))))))))))</f>
        <v>1</v>
      </c>
      <c r="S38" s="87" t="s">
        <v>408</v>
      </c>
    </row>
    <row r="39" spans="1:19" x14ac:dyDescent="0.35">
      <c r="A39" s="73">
        <v>29</v>
      </c>
      <c r="B39" s="73">
        <v>2</v>
      </c>
      <c r="C39" s="73" t="s">
        <v>12</v>
      </c>
      <c r="D39" s="73" t="str">
        <f>Practices_SubPractices[[#This Row],[CP]]&amp;LEFT(Practices_SubPractices[[#This Row],[Org]],1)</f>
        <v>2L</v>
      </c>
      <c r="E39" s="73" t="s">
        <v>265</v>
      </c>
      <c r="F39" s="74" t="s">
        <v>67</v>
      </c>
      <c r="G39" s="74" t="s">
        <v>24</v>
      </c>
      <c r="H39" s="74" t="s">
        <v>179</v>
      </c>
      <c r="I39" s="75">
        <v>0</v>
      </c>
      <c r="J39" s="75">
        <v>2</v>
      </c>
      <c r="K39" s="75">
        <v>2</v>
      </c>
      <c r="L39" s="75">
        <v>1</v>
      </c>
      <c r="M39" s="75">
        <v>1</v>
      </c>
      <c r="N39" s="76"/>
      <c r="O39" s="77">
        <f>IF(AND(Practices_SubPractices[CP]=1,Practices_SubPractices[Org]="Small"),SUMIFS(Practices_SubPractices[B],Practices_SubPractices[CP],"1",Practices_SubPractices[Org],"Small"),IF(AND(Practices_SubPractices[CP]=2,Practices_SubPractices[Org]="Small"),SUMIFS(Practices_SubPractices[B],Practices_SubPractices[CP],"2",Practices_SubPractices[Org],"Small"),IF(AND(Practices_SubPractices[CP]=3,Practices_SubPractices[Org]="Small"),SUMIFS(Practices_SubPractices[B],Practices_SubPractices[CP],"3",Practices_SubPractices[Org],"Small"),IF(AND(Practices_SubPractices[CP]=4,Practices_SubPractices[Org]="Small"),SUMIFS(Practices_SubPractices[B],Practices_SubPractices[CP],"4",Practices_SubPractices[Org],"Small"),IF(AND(Practices_SubPractices[CP]=5,Practices_SubPractices[Org]="Small"),SUMIFS(Practices_SubPractices[B],Practices_SubPractices[CP],"5",Practices_SubPractices[Org],"Small"),IF(AND(Practices_SubPractices[CP]=6,Practices_SubPractices[Org]="Small"),SUMIFS(Practices_SubPractices[B],Practices_SubPractices[CP],"6",Practices_SubPractices[Org],"Small"),IF(AND(Practices_SubPractices[CP]=7,Practices_SubPractices[Org] ="Small"),SUMIFS(Practices_SubPractices[B],Practices_SubPractices[CP],"7",Practices_SubPractices[Org],"Small"),IF(AND(Practices_SubPractices[CP]=8,Practices_SubPractices[Org] ="Small"),SUMIFS(Practices_SubPractices[B],Practices_SubPractices[CP],"8",Practices_SubPractices[Org],"Small"),IF(AND(Practices_SubPractices[CP]=9,Practices_SubPractices[Org] ="Small"),SUMIFS(Practices_SubPractices[B],Practices_SubPractices[CP],"9",Practices_SubPractices[Org],"Small"),IF(AND(Practices_SubPractices[CP]=10,Practices_SubPractices[Org] ="Small"),SUMIFS(Practices_SubPractices[B],Practices_SubPractices[CP],"10",Practices_SubPractices[Org],"Small"),IF(AND(Practices_SubPractices[CP]=1,Practices_SubPractices[Org]="Medium"),SUMIFS(Practices_SubPractices[B],Practices_SubPractices[CP],"1",Practices_SubPractices[Org],"Medium"),IF(AND(Practices_SubPractices[CP]=2,Practices_SubPractices[Org]="Medium"),SUMIFS(Practices_SubPractices[B],Practices_SubPractices[CP],"2",Practices_SubPractices[Org],"Medium"),IF(AND(Practices_SubPractices[CP]=3,Practices_SubPractices[Org]="Medium"),SUMIFS(Practices_SubPractices[B],Practices_SubPractices[CP],"3",Practices_SubPractices[Org],"Medium"),IF(AND(Practices_SubPractices[CP]=4,Practices_SubPractices[Org]="Medium"),SUMIFS(Practices_SubPractices[B],Practices_SubPractices[CP],"4",Practices_SubPractices[Org],"Medium"),IF(AND(Practices_SubPractices[CP]=5,Practices_SubPractices[Org]="Medium"),SUMIFS(Practices_SubPractices[B],Practices_SubPractices[CP],"5",Practices_SubPractices[Org],"Medium"),IF(AND(Practices_SubPractices[CP]=6,Practices_SubPractices[Org]="Medium"),SUMIFS(Practices_SubPractices[B],Practices_SubPractices[CP],"6",Practices_SubPractices[Org],"Medium"),IF(AND(Practices_SubPractices[CP]=7,Practices_SubPractices[Org] ="Medium"),SUMIFS(Practices_SubPractices[B],Practices_SubPractices[CP],"7",Practices_SubPractices[Org],"Medium"),IF(AND(Practices_SubPractices[CP]=8,Practices_SubPractices[Org] ="Medium"),SUMIFS(Practices_SubPractices[B],Practices_SubPractices[CP],"8",Practices_SubPractices[Org],"Medium"),IF(AND(Practices_SubPractices[CP]=9,Practices_SubPractices[Org] ="Medium"),SUMIFS(Practices_SubPractices[B],Practices_SubPractices[CP],"9",Practices_SubPractices[Org],"Medium"),IF(AND(Practices_SubPractices[CP]=10,Practices_SubPractices[Org] ="Medium"),SUMIFS(Practices_SubPractices[B],Practices_SubPractices[CP],"10",Practices_SubPractices[Org],"Medium"),IF(AND(Practices_SubPractices[CP]=1,Practices_SubPractices[Org]="Large"),SUMIFS(Practices_SubPractices[B],Practices_SubPractices[CP],"1",Practices_SubPractices[Org],"Large"),IF(AND(Practices_SubPractices[CP]=2,Practices_SubPractices[Org]="Large"),SUMIFS(Practices_SubPractices[B],Practices_SubPractices[CP],"2",Practices_SubPractices[Org],"Large"),IF(AND(Practices_SubPractices[CP]=3,Practices_SubPractices[Org]="Large"),SUMIFS(Practices_SubPractices[B],Practices_SubPractices[CP],"3",Practices_SubPractices[Org],"Large"),IF(AND(Practices_SubPractices[CP]=4,Practices_SubPractices[Org]="Large"),SUMIFS(Practices_SubPractices[B],Practices_SubPractices[CP],"4",Practices_SubPractices[Org],"Large"),IF(AND(Practices_SubPractices[CP]=5,Practices_SubPractices[Org]="Large"),SUMIFS(Practices_SubPractices[B],Practices_SubPractices[CP],"5",Practices_SubPractices[Org],"Large"),IF(AND(Practices_SubPractices[CP]=6,Practices_SubPractices[Org]="Large"),SUMIFS(Practices_SubPractices[B],Practices_SubPractices[CP],"6",Practices_SubPractices[Org],"Large"),IF(AND(Practices_SubPractices[CP]=7,Practices_SubPractices[Org] ="Large"),SUMIFS(Practices_SubPractices[B],Practices_SubPractices[CP],"7",Practices_SubPractices[Org],"Large"),IF(AND(Practices_SubPractices[CP]=8,Practices_SubPractices[Org] ="Large"),SUMIFS(Practices_SubPractices[B],Practices_SubPractices[CP],"8",Practices_SubPractices[Org],"Large"),IF(AND(Practices_SubPractices[CP]=9,Practices_SubPractices[Org] ="Large"),SUMIFS(Practices_SubPractices[B],Practices_SubPractices[CP],"9",Practices_SubPractices[Org],"Large"),IF(AND(Practices_SubPractices[CP]=10,Practices_SubPractices[Org] ="Large"),SUMIFS(Practices_SubPractices[B],Practices_SubPractices[CP],"10",Practices_SubPractices[Org],"Large"),"TBD"))))))))))))))))))))))))))))))</f>
        <v>12</v>
      </c>
      <c r="P39" s="77">
        <f>IF(AND(Practices_SubPractices[CP]=1,Practices_SubPractices[Org]="Small"),SUMIFS(Practices_SubPractices[C],Practices_SubPractices[CP],"1",Practices_SubPractices[Org],"Small"),IF(AND(Practices_SubPractices[CP]=2,Practices_SubPractices[Org]="Small"),SUMIFS(Practices_SubPractices[C],Practices_SubPractices[CP],"2",Practices_SubPractices[Org],"Small"),IF(AND(Practices_SubPractices[CP]=3,Practices_SubPractices[Org]="Small"),SUMIFS(Practices_SubPractices[C],Practices_SubPractices[CP],"3",Practices_SubPractices[Org],"Small"),IF(AND(Practices_SubPractices[CP]=4,Practices_SubPractices[Org]="Small"),SUMIFS(Practices_SubPractices[C],Practices_SubPractices[CP],"4",Practices_SubPractices[Org],"Small"),IF(AND(Practices_SubPractices[CP]=5,Practices_SubPractices[Org]="Small"),SUMIFS(Practices_SubPractices[C],Practices_SubPractices[CP],"5",Practices_SubPractices[Org],"Small"),IF(AND(Practices_SubPractices[CP]=6,Practices_SubPractices[Org]="Small"),SUMIFS(Practices_SubPractices[C],Practices_SubPractices[CP],"6",Practices_SubPractices[Org],"Small"),IF(AND(Practices_SubPractices[CP]=7,Practices_SubPractices[Org] ="Small"),SUMIFS(Practices_SubPractices[C],Practices_SubPractices[CP],"7",Practices_SubPractices[Org],"Small"),IF(AND(Practices_SubPractices[CP]=8,Practices_SubPractices[Org] ="Small"),SUMIFS(Practices_SubPractices[C],Practices_SubPractices[CP],"8",Practices_SubPractices[Org],"Small"),IF(AND(Practices_SubPractices[CP]=9,Practices_SubPractices[Org] ="Small"),SUMIFS(Practices_SubPractices[C],Practices_SubPractices[CP],"9",Practices_SubPractices[Org],"Small"),IF(AND(Practices_SubPractices[CP]=10,Practices_SubPractices[Org] ="Small"),SUMIFS(Practices_SubPractices[C],Practices_SubPractices[CP],"10",Practices_SubPractices[Org],"Small"),IF(AND(Practices_SubPractices[CP]=1,Practices_SubPractices[Org]="Medium"),SUMIFS(Practices_SubPractices[C],Practices_SubPractices[CP],"1",Practices_SubPractices[Org],"Medium"),IF(AND(Practices_SubPractices[CP]=2,Practices_SubPractices[Org]="Medium"),SUMIFS(Practices_SubPractices[C],Practices_SubPractices[CP],"2",Practices_SubPractices[Org],"Medium"),IF(AND(Practices_SubPractices[CP]=3,Practices_SubPractices[Org]="Medium"),SUMIFS(Practices_SubPractices[C],Practices_SubPractices[CP],"3",Practices_SubPractices[Org],"Medium"),IF(AND(Practices_SubPractices[CP]=4,Practices_SubPractices[Org]="Medium"),SUMIFS(Practices_SubPractices[C],Practices_SubPractices[CP],"4",Practices_SubPractices[Org],"Medium"),IF(AND(Practices_SubPractices[CP]=5,Practices_SubPractices[Org]="Medium"),SUMIFS(Practices_SubPractices[C],Practices_SubPractices[CP],"5",Practices_SubPractices[Org],"Medium"),IF(AND(Practices_SubPractices[CP]=6,Practices_SubPractices[Org]="Medium"),SUMIFS(Practices_SubPractices[C],Practices_SubPractices[CP],"6",Practices_SubPractices[Org],"Medium"),IF(AND(Practices_SubPractices[CP]=7,Practices_SubPractices[Org] ="Medium"),SUMIFS(Practices_SubPractices[C],Practices_SubPractices[CP],"7",Practices_SubPractices[Org],"Medium"),IF(AND(Practices_SubPractices[CP]=8,Practices_SubPractices[Org] ="Medium"),SUMIFS(Practices_SubPractices[C],Practices_SubPractices[CP],"8",Practices_SubPractices[Org],"Medium"),IF(AND(Practices_SubPractices[CP]=9,Practices_SubPractices[Org] ="Medium"),SUMIFS(Practices_SubPractices[C],Practices_SubPractices[CP],"9",Practices_SubPractices[Org],"Medium"),IF(AND(Practices_SubPractices[CP]=10,Practices_SubPractices[Org] ="Medium"),SUMIFS(Practices_SubPractices[C],Practices_SubPractices[CP],"10",Practices_SubPractices[Org],"Medium"),IF(AND(Practices_SubPractices[CP]=1,Practices_SubPractices[Org]="Large"),SUMIFS(Practices_SubPractices[C],Practices_SubPractices[CP],"1",Practices_SubPractices[Org],"Large"),IF(AND(Practices_SubPractices[CP]=2,Practices_SubPractices[Org]="Large"),SUMIFS(Practices_SubPractices[C],Practices_SubPractices[CP],"2",Practices_SubPractices[Org],"Large"),IF(AND(Practices_SubPractices[CP]=3,Practices_SubPractices[Org]="Large"),SUMIFS(Practices_SubPractices[C],Practices_SubPractices[CP],"3",Practices_SubPractices[Org],"Large"),IF(AND(Practices_SubPractices[CP]=4,Practices_SubPractices[Org]="Large"),SUMIFS(Practices_SubPractices[C],Practices_SubPractices[CP],"4",Practices_SubPractices[Org],"Large"),IF(AND(Practices_SubPractices[CP]=5,Practices_SubPractices[Org]="Large"),SUMIFS(Practices_SubPractices[C],Practices_SubPractices[CP],"5",Practices_SubPractices[Org],"Large"),IF(AND(Practices_SubPractices[CP]=6,Practices_SubPractices[Org]="Large"),SUMIFS(Practices_SubPractices[C],Practices_SubPractices[CP],"6",Practices_SubPractices[Org],"Large"),IF(AND(Practices_SubPractices[CP]=7,Practices_SubPractices[Org] ="Large"),SUMIFS(Practices_SubPractices[C],Practices_SubPractices[CP],"7",Practices_SubPractices[Org],"Large"),IF(AND(Practices_SubPractices[CP]=8,Practices_SubPractices[Org] ="Large"),SUMIFS(Practices_SubPractices[C],Practices_SubPractices[CP],"8",Practices_SubPractices[Org],"Large"),IF(AND(Practices_SubPractices[CP]=9,Practices_SubPractices[Org] ="Large"),SUMIFS(Practices_SubPractices[C],Practices_SubPractices[CP],"9",Practices_SubPractices[Org],"Large"),IF(AND(Practices_SubPractices[CP]=10,Practices_SubPractices[Org] ="Large"),SUMIFS(Practices_SubPractices[C],Practices_SubPractices[CP],"10",Practices_SubPractices[Org],"Large"),"TBD"))))))))))))))))))))))))))))))</f>
        <v>7</v>
      </c>
      <c r="Q39" s="77">
        <f>IF(AND(Practices_SubPractices[CP]=1,Practices_SubPractices[Org]="Small"),SUMIFS(Practices_SubPractices[D],Practices_SubPractices[CP],"1",Practices_SubPractices[Org],"Small"),IF(AND(Practices_SubPractices[CP]=2,Practices_SubPractices[Org]="Small"),SUMIFS(Practices_SubPractices[D],Practices_SubPractices[CP],"2",Practices_SubPractices[Org],"Small"),IF(AND(Practices_SubPractices[CP]=3,Practices_SubPractices[Org]="Small"),SUMIFS(Practices_SubPractices[D],Practices_SubPractices[CP],"3",Practices_SubPractices[Org],"Small"),IF(AND(Practices_SubPractices[CP]=4,Practices_SubPractices[Org]="Small"),SUMIFS(Practices_SubPractices[D],Practices_SubPractices[CP],"4",Practices_SubPractices[Org],"Small"),IF(AND(Practices_SubPractices[CP]=5,Practices_SubPractices[Org]="Small"),SUMIFS(Practices_SubPractices[D],Practices_SubPractices[CP],"5",Practices_SubPractices[Org],"Small"),IF(AND(Practices_SubPractices[CP]=6,Practices_SubPractices[Org]="Small"),SUMIFS(Practices_SubPractices[D],Practices_SubPractices[CP],"6",Practices_SubPractices[Org],"Small"),IF(AND(Practices_SubPractices[CP]=7,Practices_SubPractices[Org] ="Small"),SUMIFS(Practices_SubPractices[D],Practices_SubPractices[CP],"7",Practices_SubPractices[Org],"Small"),IF(AND(Practices_SubPractices[CP]=8,Practices_SubPractices[Org] ="Small"),SUMIFS(Practices_SubPractices[D],Practices_SubPractices[CP],"8",Practices_SubPractices[Org],"Small"),IF(AND(Practices_SubPractices[CP]=9,Practices_SubPractices[Org] ="Small"),SUMIFS(Practices_SubPractices[D],Practices_SubPractices[CP],"9",Practices_SubPractices[Org],"Small"),IF(AND(Practices_SubPractices[CP]=10,Practices_SubPractices[Org] ="Small"),SUMIFS(Practices_SubPractices[D],Practices_SubPractices[CP],"10",Practices_SubPractices[Org],"Small"),IF(AND(Practices_SubPractices[CP]=1,Practices_SubPractices[Org]="Medium"),SUMIFS(Practices_SubPractices[D],Practices_SubPractices[CP],"1",Practices_SubPractices[Org],"Medium"),IF(AND(Practices_SubPractices[CP]=2,Practices_SubPractices[Org]="Medium"),SUMIFS(Practices_SubPractices[D],Practices_SubPractices[CP],"2",Practices_SubPractices[Org],"Medium"),IF(AND(Practices_SubPractices[CP]=3,Practices_SubPractices[Org]="Medium"),SUMIFS(Practices_SubPractices[D],Practices_SubPractices[CP],"3",Practices_SubPractices[Org],"Medium"),IF(AND(Practices_SubPractices[CP]=4,Practices_SubPractices[Org]="Medium"),SUMIFS(Practices_SubPractices[D],Practices_SubPractices[CP],"4",Practices_SubPractices[Org],"Medium"),IF(AND(Practices_SubPractices[CP]=5,Practices_SubPractices[Org]="Medium"),SUMIFS(Practices_SubPractices[D],Practices_SubPractices[CP],"5",Practices_SubPractices[Org],"Medium"),IF(AND(Practices_SubPractices[CP]=6,Practices_SubPractices[Org]="Medium"),SUMIFS(Practices_SubPractices[D],Practices_SubPractices[CP],"6",Practices_SubPractices[Org],"Medium"),IF(AND(Practices_SubPractices[CP]=7,Practices_SubPractices[Org] ="Medium"),SUMIFS(Practices_SubPractices[D],Practices_SubPractices[CP],"7",Practices_SubPractices[Org],"Medium"),IF(AND(Practices_SubPractices[CP]=8,Practices_SubPractices[Org] ="Medium"),SUMIFS(Practices_SubPractices[D],Practices_SubPractices[CP],"8",Practices_SubPractices[Org],"Medium"),IF(AND(Practices_SubPractices[CP]=9,Practices_SubPractices[Org] ="Medium"),SUMIFS(Practices_SubPractices[D],Practices_SubPractices[CP],"9",Practices_SubPractices[Org],"Medium"),IF(AND(Practices_SubPractices[CP]=10,Practices_SubPractices[Org] ="Medium"),SUMIFS(Practices_SubPractices[D],Practices_SubPractices[CP],"10",Practices_SubPractices[Org],"Medium"),IF(AND(Practices_SubPractices[CP]=1,Practices_SubPractices[Org]="Large"),SUMIFS(Practices_SubPractices[D],Practices_SubPractices[CP],"1",Practices_SubPractices[Org],"Large"),IF(AND(Practices_SubPractices[CP]=2,Practices_SubPractices[Org]="Large"),SUMIFS(Practices_SubPractices[D],Practices_SubPractices[CP],"2",Practices_SubPractices[Org],"Large"),IF(AND(Practices_SubPractices[CP]=3,Practices_SubPractices[Org]="Large"),SUMIFS(Practices_SubPractices[D],Practices_SubPractices[CP],"3",Practices_SubPractices[Org],"Large"),IF(AND(Practices_SubPractices[CP]=4,Practices_SubPractices[Org]="Large"),SUMIFS(Practices_SubPractices[D],Practices_SubPractices[CP],"4",Practices_SubPractices[Org],"Large"),IF(AND(Practices_SubPractices[CP]=5,Practices_SubPractices[Org]="Large"),SUMIFS(Practices_SubPractices[D],Practices_SubPractices[CP],"5",Practices_SubPractices[Org],"Large"),IF(AND(Practices_SubPractices[CP]=6,Practices_SubPractices[Org]="Large"),SUMIFS(Practices_SubPractices[D],Practices_SubPractices[CP],"6",Practices_SubPractices[Org],"Large"),IF(AND(Practices_SubPractices[CP]=7,Practices_SubPractices[Org] ="Large"),SUMIFS(Practices_SubPractices[D],Practices_SubPractices[CP],"7",Practices_SubPractices[Org],"Large"),IF(AND(Practices_SubPractices[CP]=8,Practices_SubPractices[Org] ="Large"),SUMIFS(Practices_SubPractices[D],Practices_SubPractices[CP],"8",Practices_SubPractices[Org],"Large"),IF(AND(Practices_SubPractices[CP]=9,Practices_SubPractices[Org] ="Large"),SUMIFS(Practices_SubPractices[D],Practices_SubPractices[CP],"9",Practices_SubPractices[Org],"Large"),IF(AND(Practices_SubPractices[CP]=10,Practices_SubPractices[Org] ="Large"),SUMIFS(Practices_SubPractices[D],Practices_SubPractices[CP],"10",Practices_SubPractices[Org],"Large"),"TBD"))))))))))))))))))))))))))))))</f>
        <v>6</v>
      </c>
      <c r="R39" s="77">
        <f>IF(AND(Practices_SubPractices[CP]=1,Practices_SubPractices[Org]="Small"),SUMIFS(Practices_SubPractices[E],Practices_SubPractices[CP],"1",Practices_SubPractices[Org],"Small"),IF(AND(Practices_SubPractices[CP]=2,Practices_SubPractices[Org]="Small"),SUMIFS(Practices_SubPractices[E],Practices_SubPractices[CP],"2",Practices_SubPractices[Org],"Small"),IF(AND(Practices_SubPractices[CP]=3,Practices_SubPractices[Org]="Small"),SUMIFS(Practices_SubPractices[E],Practices_SubPractices[CP],"3",Practices_SubPractices[Org],"Small"),IF(AND(Practices_SubPractices[CP]=4,Practices_SubPractices[Org]="Small"),SUMIFS(Practices_SubPractices[E],Practices_SubPractices[CP],"4",Practices_SubPractices[Org],"Small"),IF(AND(Practices_SubPractices[CP]=5,Practices_SubPractices[Org]="Small"),SUMIFS(Practices_SubPractices[E],Practices_SubPractices[CP],"5",Practices_SubPractices[Org],"Small"),IF(AND(Practices_SubPractices[CP]=6,Practices_SubPractices[Org]="Small"),SUMIFS(Practices_SubPractices[E],Practices_SubPractices[CP],"6",Practices_SubPractices[Org],"Small"),IF(AND(Practices_SubPractices[CP]=7,Practices_SubPractices[Org] ="Small"),SUMIFS(Practices_SubPractices[E],Practices_SubPractices[CP],"7",Practices_SubPractices[Org],"Small"),IF(AND(Practices_SubPractices[CP]=8,Practices_SubPractices[Org] ="Small"),SUMIFS(Practices_SubPractices[E],Practices_SubPractices[CP],"8",Practices_SubPractices[Org],"Small"),IF(AND(Practices_SubPractices[CP]=9,Practices_SubPractices[Org] ="Small"),SUMIFS(Practices_SubPractices[E],Practices_SubPractices[CP],"9",Practices_SubPractices[Org],"Small"),IF(AND(Practices_SubPractices[CP]=10,Practices_SubPractices[Org] ="Small"),SUMIFS(Practices_SubPractices[E],Practices_SubPractices[CP],"10",Practices_SubPractices[Org],"Small"),IF(AND(Practices_SubPractices[CP]=1,Practices_SubPractices[Org]="Medium"),SUMIFS(Practices_SubPractices[E],Practices_SubPractices[CP],"1",Practices_SubPractices[Org],"Medium"),IF(AND(Practices_SubPractices[CP]=2,Practices_SubPractices[Org]="Medium"),SUMIFS(Practices_SubPractices[E],Practices_SubPractices[CP],"2",Practices_SubPractices[Org],"Medium"),IF(AND(Practices_SubPractices[CP]=3,Practices_SubPractices[Org]="Medium"),SUMIFS(Practices_SubPractices[E],Practices_SubPractices[CP],"3",Practices_SubPractices[Org],"Medium"),IF(AND(Practices_SubPractices[CP]=4,Practices_SubPractices[Org]="Medium"),SUMIFS(Practices_SubPractices[E],Practices_SubPractices[CP],"4",Practices_SubPractices[Org],"Medium"),IF(AND(Practices_SubPractices[CP]=5,Practices_SubPractices[Org]="Medium"),SUMIFS(Practices_SubPractices[E],Practices_SubPractices[CP],"5",Practices_SubPractices[Org],"Medium"),IF(AND(Practices_SubPractices[CP]=6,Practices_SubPractices[Org]="Medium"),SUMIFS(Practices_SubPractices[E],Practices_SubPractices[CP],"6",Practices_SubPractices[Org],"Medium"),IF(AND(Practices_SubPractices[CP]=7,Practices_SubPractices[Org] ="Medium"),SUMIFS(Practices_SubPractices[E],Practices_SubPractices[CP],"7",Practices_SubPractices[Org],"Medium"),IF(AND(Practices_SubPractices[CP]=8,Practices_SubPractices[Org] ="Medium"),SUMIFS(Practices_SubPractices[E],Practices_SubPractices[CP],"8",Practices_SubPractices[Org],"Medium"),IF(AND(Practices_SubPractices[CP]=9,Practices_SubPractices[Org] ="Medium"),SUMIFS(Practices_SubPractices[E],Practices_SubPractices[CP],"9",Practices_SubPractices[Org],"Medium"),IF(AND(Practices_SubPractices[CP]=10,Practices_SubPractices[Org] ="Medium"),SUMIFS(Practices_SubPractices[E],Practices_SubPractices[CP],"10",Practices_SubPractices[Org],"Medium"),IF(AND(Practices_SubPractices[CP]=1,Practices_SubPractices[Org]="Large"),SUMIFS(Practices_SubPractices[E],Practices_SubPractices[CP],"1",Practices_SubPractices[Org],"Large"),IF(AND(Practices_SubPractices[CP]=2,Practices_SubPractices[Org]="Large"),SUMIFS(Practices_SubPractices[E],Practices_SubPractices[CP],"2",Practices_SubPractices[Org],"Large"),IF(AND(Practices_SubPractices[CP]=3,Practices_SubPractices[Org]="Large"),SUMIFS(Practices_SubPractices[E],Practices_SubPractices[CP],"3",Practices_SubPractices[Org],"Large"),IF(AND(Practices_SubPractices[CP]=4,Practices_SubPractices[Org]="Large"),SUMIFS(Practices_SubPractices[E],Practices_SubPractices[CP],"4",Practices_SubPractices[Org],"Large"),IF(AND(Practices_SubPractices[CP]=5,Practices_SubPractices[Org]="Large"),SUMIFS(Practices_SubPractices[E],Practices_SubPractices[CP],"5",Practices_SubPractices[Org],"Large"),IF(AND(Practices_SubPractices[CP]=6,Practices_SubPractices[Org]="Large"),SUMIFS(Practices_SubPractices[E],Practices_SubPractices[CP],"6",Practices_SubPractices[Org],"Large"),IF(AND(Practices_SubPractices[CP]=7,Practices_SubPractices[Org] ="Large"),SUMIFS(Practices_SubPractices[E],Practices_SubPractices[CP],"7",Practices_SubPractices[Org],"Large"),IF(AND(Practices_SubPractices[CP]=8,Practices_SubPractices[Org] ="Large"),SUMIFS(Practices_SubPractices[E],Practices_SubPractices[CP],"8",Practices_SubPractices[Org],"Large"),IF(AND(Practices_SubPractices[CP]=9,Practices_SubPractices[Org] ="Large"),SUMIFS(Practices_SubPractices[E],Practices_SubPractices[CP],"9",Practices_SubPractices[Org],"Large"),IF(AND(Practices_SubPractices[CP]=10,Practices_SubPractices[Org] ="Large"),SUMIFS(Practices_SubPractices[E],Practices_SubPractices[CP],"10",Practices_SubPractices[Org],"Large"),"TBD"))))))))))))))))))))))))))))))</f>
        <v>2</v>
      </c>
      <c r="S39" s="87" t="s">
        <v>408</v>
      </c>
    </row>
    <row r="40" spans="1:19" x14ac:dyDescent="0.35">
      <c r="A40" s="73">
        <v>30</v>
      </c>
      <c r="B40" s="73">
        <v>3</v>
      </c>
      <c r="C40" s="73" t="s">
        <v>11</v>
      </c>
      <c r="D40" s="73" t="str">
        <f>Practices_SubPractices[[#This Row],[CP]]&amp;LEFT(Practices_SubPractices[[#This Row],[Org]],1)</f>
        <v>3M</v>
      </c>
      <c r="E40" s="73" t="s">
        <v>265</v>
      </c>
      <c r="F40" s="74" t="s">
        <v>15</v>
      </c>
      <c r="G40" s="74" t="s">
        <v>83</v>
      </c>
      <c r="H40" s="74" t="s">
        <v>207</v>
      </c>
      <c r="I40" s="75">
        <v>1</v>
      </c>
      <c r="J40" s="75">
        <v>1</v>
      </c>
      <c r="K40" s="75">
        <v>2</v>
      </c>
      <c r="L40" s="75">
        <v>2</v>
      </c>
      <c r="M40" s="75">
        <v>1</v>
      </c>
      <c r="N40" s="76"/>
      <c r="O40" s="77">
        <f>IF(AND(Practices_SubPractices[CP]=1,Practices_SubPractices[Org]="Small"),SUMIFS(Practices_SubPractices[B],Practices_SubPractices[CP],"1",Practices_SubPractices[Org],"Small"),IF(AND(Practices_SubPractices[CP]=2,Practices_SubPractices[Org]="Small"),SUMIFS(Practices_SubPractices[B],Practices_SubPractices[CP],"2",Practices_SubPractices[Org],"Small"),IF(AND(Practices_SubPractices[CP]=3,Practices_SubPractices[Org]="Small"),SUMIFS(Practices_SubPractices[B],Practices_SubPractices[CP],"3",Practices_SubPractices[Org],"Small"),IF(AND(Practices_SubPractices[CP]=4,Practices_SubPractices[Org]="Small"),SUMIFS(Practices_SubPractices[B],Practices_SubPractices[CP],"4",Practices_SubPractices[Org],"Small"),IF(AND(Practices_SubPractices[CP]=5,Practices_SubPractices[Org]="Small"),SUMIFS(Practices_SubPractices[B],Practices_SubPractices[CP],"5",Practices_SubPractices[Org],"Small"),IF(AND(Practices_SubPractices[CP]=6,Practices_SubPractices[Org]="Small"),SUMIFS(Practices_SubPractices[B],Practices_SubPractices[CP],"6",Practices_SubPractices[Org],"Small"),IF(AND(Practices_SubPractices[CP]=7,Practices_SubPractices[Org] ="Small"),SUMIFS(Practices_SubPractices[B],Practices_SubPractices[CP],"7",Practices_SubPractices[Org],"Small"),IF(AND(Practices_SubPractices[CP]=8,Practices_SubPractices[Org] ="Small"),SUMIFS(Practices_SubPractices[B],Practices_SubPractices[CP],"8",Practices_SubPractices[Org],"Small"),IF(AND(Practices_SubPractices[CP]=9,Practices_SubPractices[Org] ="Small"),SUMIFS(Practices_SubPractices[B],Practices_SubPractices[CP],"9",Practices_SubPractices[Org],"Small"),IF(AND(Practices_SubPractices[CP]=10,Practices_SubPractices[Org] ="Small"),SUMIFS(Practices_SubPractices[B],Practices_SubPractices[CP],"10",Practices_SubPractices[Org],"Small"),IF(AND(Practices_SubPractices[CP]=1,Practices_SubPractices[Org]="Medium"),SUMIFS(Practices_SubPractices[B],Practices_SubPractices[CP],"1",Practices_SubPractices[Org],"Medium"),IF(AND(Practices_SubPractices[CP]=2,Practices_SubPractices[Org]="Medium"),SUMIFS(Practices_SubPractices[B],Practices_SubPractices[CP],"2",Practices_SubPractices[Org],"Medium"),IF(AND(Practices_SubPractices[CP]=3,Practices_SubPractices[Org]="Medium"),SUMIFS(Practices_SubPractices[B],Practices_SubPractices[CP],"3",Practices_SubPractices[Org],"Medium"),IF(AND(Practices_SubPractices[CP]=4,Practices_SubPractices[Org]="Medium"),SUMIFS(Practices_SubPractices[B],Practices_SubPractices[CP],"4",Practices_SubPractices[Org],"Medium"),IF(AND(Practices_SubPractices[CP]=5,Practices_SubPractices[Org]="Medium"),SUMIFS(Practices_SubPractices[B],Practices_SubPractices[CP],"5",Practices_SubPractices[Org],"Medium"),IF(AND(Practices_SubPractices[CP]=6,Practices_SubPractices[Org]="Medium"),SUMIFS(Practices_SubPractices[B],Practices_SubPractices[CP],"6",Practices_SubPractices[Org],"Medium"),IF(AND(Practices_SubPractices[CP]=7,Practices_SubPractices[Org] ="Medium"),SUMIFS(Practices_SubPractices[B],Practices_SubPractices[CP],"7",Practices_SubPractices[Org],"Medium"),IF(AND(Practices_SubPractices[CP]=8,Practices_SubPractices[Org] ="Medium"),SUMIFS(Practices_SubPractices[B],Practices_SubPractices[CP],"8",Practices_SubPractices[Org],"Medium"),IF(AND(Practices_SubPractices[CP]=9,Practices_SubPractices[Org] ="Medium"),SUMIFS(Practices_SubPractices[B],Practices_SubPractices[CP],"9",Practices_SubPractices[Org],"Medium"),IF(AND(Practices_SubPractices[CP]=10,Practices_SubPractices[Org] ="Medium"),SUMIFS(Practices_SubPractices[B],Practices_SubPractices[CP],"10",Practices_SubPractices[Org],"Medium"),IF(AND(Practices_SubPractices[CP]=1,Practices_SubPractices[Org]="Large"),SUMIFS(Practices_SubPractices[B],Practices_SubPractices[CP],"1",Practices_SubPractices[Org],"Large"),IF(AND(Practices_SubPractices[CP]=2,Practices_SubPractices[Org]="Large"),SUMIFS(Practices_SubPractices[B],Practices_SubPractices[CP],"2",Practices_SubPractices[Org],"Large"),IF(AND(Practices_SubPractices[CP]=3,Practices_SubPractices[Org]="Large"),SUMIFS(Practices_SubPractices[B],Practices_SubPractices[CP],"3",Practices_SubPractices[Org],"Large"),IF(AND(Practices_SubPractices[CP]=4,Practices_SubPractices[Org]="Large"),SUMIFS(Practices_SubPractices[B],Practices_SubPractices[CP],"4",Practices_SubPractices[Org],"Large"),IF(AND(Practices_SubPractices[CP]=5,Practices_SubPractices[Org]="Large"),SUMIFS(Practices_SubPractices[B],Practices_SubPractices[CP],"5",Practices_SubPractices[Org],"Large"),IF(AND(Practices_SubPractices[CP]=6,Practices_SubPractices[Org]="Large"),SUMIFS(Practices_SubPractices[B],Practices_SubPractices[CP],"6",Practices_SubPractices[Org],"Large"),IF(AND(Practices_SubPractices[CP]=7,Practices_SubPractices[Org] ="Large"),SUMIFS(Practices_SubPractices[B],Practices_SubPractices[CP],"7",Practices_SubPractices[Org],"Large"),IF(AND(Practices_SubPractices[CP]=8,Practices_SubPractices[Org] ="Large"),SUMIFS(Practices_SubPractices[B],Practices_SubPractices[CP],"8",Practices_SubPractices[Org],"Large"),IF(AND(Practices_SubPractices[CP]=9,Practices_SubPractices[Org] ="Large"),SUMIFS(Practices_SubPractices[B],Practices_SubPractices[CP],"9",Practices_SubPractices[Org],"Large"),IF(AND(Practices_SubPractices[CP]=10,Practices_SubPractices[Org] ="Large"),SUMIFS(Practices_SubPractices[B],Practices_SubPractices[CP],"10",Practices_SubPractices[Org],"Large"),"TBD"))))))))))))))))))))))))))))))</f>
        <v>6</v>
      </c>
      <c r="P40" s="77">
        <f>IF(AND(Practices_SubPractices[CP]=1,Practices_SubPractices[Org]="Small"),SUMIFS(Practices_SubPractices[C],Practices_SubPractices[CP],"1",Practices_SubPractices[Org],"Small"),IF(AND(Practices_SubPractices[CP]=2,Practices_SubPractices[Org]="Small"),SUMIFS(Practices_SubPractices[C],Practices_SubPractices[CP],"2",Practices_SubPractices[Org],"Small"),IF(AND(Practices_SubPractices[CP]=3,Practices_SubPractices[Org]="Small"),SUMIFS(Practices_SubPractices[C],Practices_SubPractices[CP],"3",Practices_SubPractices[Org],"Small"),IF(AND(Practices_SubPractices[CP]=4,Practices_SubPractices[Org]="Small"),SUMIFS(Practices_SubPractices[C],Practices_SubPractices[CP],"4",Practices_SubPractices[Org],"Small"),IF(AND(Practices_SubPractices[CP]=5,Practices_SubPractices[Org]="Small"),SUMIFS(Practices_SubPractices[C],Practices_SubPractices[CP],"5",Practices_SubPractices[Org],"Small"),IF(AND(Practices_SubPractices[CP]=6,Practices_SubPractices[Org]="Small"),SUMIFS(Practices_SubPractices[C],Practices_SubPractices[CP],"6",Practices_SubPractices[Org],"Small"),IF(AND(Practices_SubPractices[CP]=7,Practices_SubPractices[Org] ="Small"),SUMIFS(Practices_SubPractices[C],Practices_SubPractices[CP],"7",Practices_SubPractices[Org],"Small"),IF(AND(Practices_SubPractices[CP]=8,Practices_SubPractices[Org] ="Small"),SUMIFS(Practices_SubPractices[C],Practices_SubPractices[CP],"8",Practices_SubPractices[Org],"Small"),IF(AND(Practices_SubPractices[CP]=9,Practices_SubPractices[Org] ="Small"),SUMIFS(Practices_SubPractices[C],Practices_SubPractices[CP],"9",Practices_SubPractices[Org],"Small"),IF(AND(Practices_SubPractices[CP]=10,Practices_SubPractices[Org] ="Small"),SUMIFS(Practices_SubPractices[C],Practices_SubPractices[CP],"10",Practices_SubPractices[Org],"Small"),IF(AND(Practices_SubPractices[CP]=1,Practices_SubPractices[Org]="Medium"),SUMIFS(Practices_SubPractices[C],Practices_SubPractices[CP],"1",Practices_SubPractices[Org],"Medium"),IF(AND(Practices_SubPractices[CP]=2,Practices_SubPractices[Org]="Medium"),SUMIFS(Practices_SubPractices[C],Practices_SubPractices[CP],"2",Practices_SubPractices[Org],"Medium"),IF(AND(Practices_SubPractices[CP]=3,Practices_SubPractices[Org]="Medium"),SUMIFS(Practices_SubPractices[C],Practices_SubPractices[CP],"3",Practices_SubPractices[Org],"Medium"),IF(AND(Practices_SubPractices[CP]=4,Practices_SubPractices[Org]="Medium"),SUMIFS(Practices_SubPractices[C],Practices_SubPractices[CP],"4",Practices_SubPractices[Org],"Medium"),IF(AND(Practices_SubPractices[CP]=5,Practices_SubPractices[Org]="Medium"),SUMIFS(Practices_SubPractices[C],Practices_SubPractices[CP],"5",Practices_SubPractices[Org],"Medium"),IF(AND(Practices_SubPractices[CP]=6,Practices_SubPractices[Org]="Medium"),SUMIFS(Practices_SubPractices[C],Practices_SubPractices[CP],"6",Practices_SubPractices[Org],"Medium"),IF(AND(Practices_SubPractices[CP]=7,Practices_SubPractices[Org] ="Medium"),SUMIFS(Practices_SubPractices[C],Practices_SubPractices[CP],"7",Practices_SubPractices[Org],"Medium"),IF(AND(Practices_SubPractices[CP]=8,Practices_SubPractices[Org] ="Medium"),SUMIFS(Practices_SubPractices[C],Practices_SubPractices[CP],"8",Practices_SubPractices[Org],"Medium"),IF(AND(Practices_SubPractices[CP]=9,Practices_SubPractices[Org] ="Medium"),SUMIFS(Practices_SubPractices[C],Practices_SubPractices[CP],"9",Practices_SubPractices[Org],"Medium"),IF(AND(Practices_SubPractices[CP]=10,Practices_SubPractices[Org] ="Medium"),SUMIFS(Practices_SubPractices[C],Practices_SubPractices[CP],"10",Practices_SubPractices[Org],"Medium"),IF(AND(Practices_SubPractices[CP]=1,Practices_SubPractices[Org]="Large"),SUMIFS(Practices_SubPractices[C],Practices_SubPractices[CP],"1",Practices_SubPractices[Org],"Large"),IF(AND(Practices_SubPractices[CP]=2,Practices_SubPractices[Org]="Large"),SUMIFS(Practices_SubPractices[C],Practices_SubPractices[CP],"2",Practices_SubPractices[Org],"Large"),IF(AND(Practices_SubPractices[CP]=3,Practices_SubPractices[Org]="Large"),SUMIFS(Practices_SubPractices[C],Practices_SubPractices[CP],"3",Practices_SubPractices[Org],"Large"),IF(AND(Practices_SubPractices[CP]=4,Practices_SubPractices[Org]="Large"),SUMIFS(Practices_SubPractices[C],Practices_SubPractices[CP],"4",Practices_SubPractices[Org],"Large"),IF(AND(Practices_SubPractices[CP]=5,Practices_SubPractices[Org]="Large"),SUMIFS(Practices_SubPractices[C],Practices_SubPractices[CP],"5",Practices_SubPractices[Org],"Large"),IF(AND(Practices_SubPractices[CP]=6,Practices_SubPractices[Org]="Large"),SUMIFS(Practices_SubPractices[C],Practices_SubPractices[CP],"6",Practices_SubPractices[Org],"Large"),IF(AND(Practices_SubPractices[CP]=7,Practices_SubPractices[Org] ="Large"),SUMIFS(Practices_SubPractices[C],Practices_SubPractices[CP],"7",Practices_SubPractices[Org],"Large"),IF(AND(Practices_SubPractices[CP]=8,Practices_SubPractices[Org] ="Large"),SUMIFS(Practices_SubPractices[C],Practices_SubPractices[CP],"8",Practices_SubPractices[Org],"Large"),IF(AND(Practices_SubPractices[CP]=9,Practices_SubPractices[Org] ="Large"),SUMIFS(Practices_SubPractices[C],Practices_SubPractices[CP],"9",Practices_SubPractices[Org],"Large"),IF(AND(Practices_SubPractices[CP]=10,Practices_SubPractices[Org] ="Large"),SUMIFS(Practices_SubPractices[C],Practices_SubPractices[CP],"10",Practices_SubPractices[Org],"Large"),"TBD"))))))))))))))))))))))))))))))</f>
        <v>6</v>
      </c>
      <c r="Q40" s="77">
        <f>IF(AND(Practices_SubPractices[CP]=1,Practices_SubPractices[Org]="Small"),SUMIFS(Practices_SubPractices[D],Practices_SubPractices[CP],"1",Practices_SubPractices[Org],"Small"),IF(AND(Practices_SubPractices[CP]=2,Practices_SubPractices[Org]="Small"),SUMIFS(Practices_SubPractices[D],Practices_SubPractices[CP],"2",Practices_SubPractices[Org],"Small"),IF(AND(Practices_SubPractices[CP]=3,Practices_SubPractices[Org]="Small"),SUMIFS(Practices_SubPractices[D],Practices_SubPractices[CP],"3",Practices_SubPractices[Org],"Small"),IF(AND(Practices_SubPractices[CP]=4,Practices_SubPractices[Org]="Small"),SUMIFS(Practices_SubPractices[D],Practices_SubPractices[CP],"4",Practices_SubPractices[Org],"Small"),IF(AND(Practices_SubPractices[CP]=5,Practices_SubPractices[Org]="Small"),SUMIFS(Practices_SubPractices[D],Practices_SubPractices[CP],"5",Practices_SubPractices[Org],"Small"),IF(AND(Practices_SubPractices[CP]=6,Practices_SubPractices[Org]="Small"),SUMIFS(Practices_SubPractices[D],Practices_SubPractices[CP],"6",Practices_SubPractices[Org],"Small"),IF(AND(Practices_SubPractices[CP]=7,Practices_SubPractices[Org] ="Small"),SUMIFS(Practices_SubPractices[D],Practices_SubPractices[CP],"7",Practices_SubPractices[Org],"Small"),IF(AND(Practices_SubPractices[CP]=8,Practices_SubPractices[Org] ="Small"),SUMIFS(Practices_SubPractices[D],Practices_SubPractices[CP],"8",Practices_SubPractices[Org],"Small"),IF(AND(Practices_SubPractices[CP]=9,Practices_SubPractices[Org] ="Small"),SUMIFS(Practices_SubPractices[D],Practices_SubPractices[CP],"9",Practices_SubPractices[Org],"Small"),IF(AND(Practices_SubPractices[CP]=10,Practices_SubPractices[Org] ="Small"),SUMIFS(Practices_SubPractices[D],Practices_SubPractices[CP],"10",Practices_SubPractices[Org],"Small"),IF(AND(Practices_SubPractices[CP]=1,Practices_SubPractices[Org]="Medium"),SUMIFS(Practices_SubPractices[D],Practices_SubPractices[CP],"1",Practices_SubPractices[Org],"Medium"),IF(AND(Practices_SubPractices[CP]=2,Practices_SubPractices[Org]="Medium"),SUMIFS(Practices_SubPractices[D],Practices_SubPractices[CP],"2",Practices_SubPractices[Org],"Medium"),IF(AND(Practices_SubPractices[CP]=3,Practices_SubPractices[Org]="Medium"),SUMIFS(Practices_SubPractices[D],Practices_SubPractices[CP],"3",Practices_SubPractices[Org],"Medium"),IF(AND(Practices_SubPractices[CP]=4,Practices_SubPractices[Org]="Medium"),SUMIFS(Practices_SubPractices[D],Practices_SubPractices[CP],"4",Practices_SubPractices[Org],"Medium"),IF(AND(Practices_SubPractices[CP]=5,Practices_SubPractices[Org]="Medium"),SUMIFS(Practices_SubPractices[D],Practices_SubPractices[CP],"5",Practices_SubPractices[Org],"Medium"),IF(AND(Practices_SubPractices[CP]=6,Practices_SubPractices[Org]="Medium"),SUMIFS(Practices_SubPractices[D],Practices_SubPractices[CP],"6",Practices_SubPractices[Org],"Medium"),IF(AND(Practices_SubPractices[CP]=7,Practices_SubPractices[Org] ="Medium"),SUMIFS(Practices_SubPractices[D],Practices_SubPractices[CP],"7",Practices_SubPractices[Org],"Medium"),IF(AND(Practices_SubPractices[CP]=8,Practices_SubPractices[Org] ="Medium"),SUMIFS(Practices_SubPractices[D],Practices_SubPractices[CP],"8",Practices_SubPractices[Org],"Medium"),IF(AND(Practices_SubPractices[CP]=9,Practices_SubPractices[Org] ="Medium"),SUMIFS(Practices_SubPractices[D],Practices_SubPractices[CP],"9",Practices_SubPractices[Org],"Medium"),IF(AND(Practices_SubPractices[CP]=10,Practices_SubPractices[Org] ="Medium"),SUMIFS(Practices_SubPractices[D],Practices_SubPractices[CP],"10",Practices_SubPractices[Org],"Medium"),IF(AND(Practices_SubPractices[CP]=1,Practices_SubPractices[Org]="Large"),SUMIFS(Practices_SubPractices[D],Practices_SubPractices[CP],"1",Practices_SubPractices[Org],"Large"),IF(AND(Practices_SubPractices[CP]=2,Practices_SubPractices[Org]="Large"),SUMIFS(Practices_SubPractices[D],Practices_SubPractices[CP],"2",Practices_SubPractices[Org],"Large"),IF(AND(Practices_SubPractices[CP]=3,Practices_SubPractices[Org]="Large"),SUMIFS(Practices_SubPractices[D],Practices_SubPractices[CP],"3",Practices_SubPractices[Org],"Large"),IF(AND(Practices_SubPractices[CP]=4,Practices_SubPractices[Org]="Large"),SUMIFS(Practices_SubPractices[D],Practices_SubPractices[CP],"4",Practices_SubPractices[Org],"Large"),IF(AND(Practices_SubPractices[CP]=5,Practices_SubPractices[Org]="Large"),SUMIFS(Practices_SubPractices[D],Practices_SubPractices[CP],"5",Practices_SubPractices[Org],"Large"),IF(AND(Practices_SubPractices[CP]=6,Practices_SubPractices[Org]="Large"),SUMIFS(Practices_SubPractices[D],Practices_SubPractices[CP],"6",Practices_SubPractices[Org],"Large"),IF(AND(Practices_SubPractices[CP]=7,Practices_SubPractices[Org] ="Large"),SUMIFS(Practices_SubPractices[D],Practices_SubPractices[CP],"7",Practices_SubPractices[Org],"Large"),IF(AND(Practices_SubPractices[CP]=8,Practices_SubPractices[Org] ="Large"),SUMIFS(Practices_SubPractices[D],Practices_SubPractices[CP],"8",Practices_SubPractices[Org],"Large"),IF(AND(Practices_SubPractices[CP]=9,Practices_SubPractices[Org] ="Large"),SUMIFS(Practices_SubPractices[D],Practices_SubPractices[CP],"9",Practices_SubPractices[Org],"Large"),IF(AND(Practices_SubPractices[CP]=10,Practices_SubPractices[Org] ="Large"),SUMIFS(Practices_SubPractices[D],Practices_SubPractices[CP],"10",Practices_SubPractices[Org],"Large"),"TBD"))))))))))))))))))))))))))))))</f>
        <v>7</v>
      </c>
      <c r="R40" s="77">
        <f>IF(AND(Practices_SubPractices[CP]=1,Practices_SubPractices[Org]="Small"),SUMIFS(Practices_SubPractices[E],Practices_SubPractices[CP],"1",Practices_SubPractices[Org],"Small"),IF(AND(Practices_SubPractices[CP]=2,Practices_SubPractices[Org]="Small"),SUMIFS(Practices_SubPractices[E],Practices_SubPractices[CP],"2",Practices_SubPractices[Org],"Small"),IF(AND(Practices_SubPractices[CP]=3,Practices_SubPractices[Org]="Small"),SUMIFS(Practices_SubPractices[E],Practices_SubPractices[CP],"3",Practices_SubPractices[Org],"Small"),IF(AND(Practices_SubPractices[CP]=4,Practices_SubPractices[Org]="Small"),SUMIFS(Practices_SubPractices[E],Practices_SubPractices[CP],"4",Practices_SubPractices[Org],"Small"),IF(AND(Practices_SubPractices[CP]=5,Practices_SubPractices[Org]="Small"),SUMIFS(Practices_SubPractices[E],Practices_SubPractices[CP],"5",Practices_SubPractices[Org],"Small"),IF(AND(Practices_SubPractices[CP]=6,Practices_SubPractices[Org]="Small"),SUMIFS(Practices_SubPractices[E],Practices_SubPractices[CP],"6",Practices_SubPractices[Org],"Small"),IF(AND(Practices_SubPractices[CP]=7,Practices_SubPractices[Org] ="Small"),SUMIFS(Practices_SubPractices[E],Practices_SubPractices[CP],"7",Practices_SubPractices[Org],"Small"),IF(AND(Practices_SubPractices[CP]=8,Practices_SubPractices[Org] ="Small"),SUMIFS(Practices_SubPractices[E],Practices_SubPractices[CP],"8",Practices_SubPractices[Org],"Small"),IF(AND(Practices_SubPractices[CP]=9,Practices_SubPractices[Org] ="Small"),SUMIFS(Practices_SubPractices[E],Practices_SubPractices[CP],"9",Practices_SubPractices[Org],"Small"),IF(AND(Practices_SubPractices[CP]=10,Practices_SubPractices[Org] ="Small"),SUMIFS(Practices_SubPractices[E],Practices_SubPractices[CP],"10",Practices_SubPractices[Org],"Small"),IF(AND(Practices_SubPractices[CP]=1,Practices_SubPractices[Org]="Medium"),SUMIFS(Practices_SubPractices[E],Practices_SubPractices[CP],"1",Practices_SubPractices[Org],"Medium"),IF(AND(Practices_SubPractices[CP]=2,Practices_SubPractices[Org]="Medium"),SUMIFS(Practices_SubPractices[E],Practices_SubPractices[CP],"2",Practices_SubPractices[Org],"Medium"),IF(AND(Practices_SubPractices[CP]=3,Practices_SubPractices[Org]="Medium"),SUMIFS(Practices_SubPractices[E],Practices_SubPractices[CP],"3",Practices_SubPractices[Org],"Medium"),IF(AND(Practices_SubPractices[CP]=4,Practices_SubPractices[Org]="Medium"),SUMIFS(Practices_SubPractices[E],Practices_SubPractices[CP],"4",Practices_SubPractices[Org],"Medium"),IF(AND(Practices_SubPractices[CP]=5,Practices_SubPractices[Org]="Medium"),SUMIFS(Practices_SubPractices[E],Practices_SubPractices[CP],"5",Practices_SubPractices[Org],"Medium"),IF(AND(Practices_SubPractices[CP]=6,Practices_SubPractices[Org]="Medium"),SUMIFS(Practices_SubPractices[E],Practices_SubPractices[CP],"6",Practices_SubPractices[Org],"Medium"),IF(AND(Practices_SubPractices[CP]=7,Practices_SubPractices[Org] ="Medium"),SUMIFS(Practices_SubPractices[E],Practices_SubPractices[CP],"7",Practices_SubPractices[Org],"Medium"),IF(AND(Practices_SubPractices[CP]=8,Practices_SubPractices[Org] ="Medium"),SUMIFS(Practices_SubPractices[E],Practices_SubPractices[CP],"8",Practices_SubPractices[Org],"Medium"),IF(AND(Practices_SubPractices[CP]=9,Practices_SubPractices[Org] ="Medium"),SUMIFS(Practices_SubPractices[E],Practices_SubPractices[CP],"9",Practices_SubPractices[Org],"Medium"),IF(AND(Practices_SubPractices[CP]=10,Practices_SubPractices[Org] ="Medium"),SUMIFS(Practices_SubPractices[E],Practices_SubPractices[CP],"10",Practices_SubPractices[Org],"Medium"),IF(AND(Practices_SubPractices[CP]=1,Practices_SubPractices[Org]="Large"),SUMIFS(Practices_SubPractices[E],Practices_SubPractices[CP],"1",Practices_SubPractices[Org],"Large"),IF(AND(Practices_SubPractices[CP]=2,Practices_SubPractices[Org]="Large"),SUMIFS(Practices_SubPractices[E],Practices_SubPractices[CP],"2",Practices_SubPractices[Org],"Large"),IF(AND(Practices_SubPractices[CP]=3,Practices_SubPractices[Org]="Large"),SUMIFS(Practices_SubPractices[E],Practices_SubPractices[CP],"3",Practices_SubPractices[Org],"Large"),IF(AND(Practices_SubPractices[CP]=4,Practices_SubPractices[Org]="Large"),SUMIFS(Practices_SubPractices[E],Practices_SubPractices[CP],"4",Practices_SubPractices[Org],"Large"),IF(AND(Practices_SubPractices[CP]=5,Practices_SubPractices[Org]="Large"),SUMIFS(Practices_SubPractices[E],Practices_SubPractices[CP],"5",Practices_SubPractices[Org],"Large"),IF(AND(Practices_SubPractices[CP]=6,Practices_SubPractices[Org]="Large"),SUMIFS(Practices_SubPractices[E],Practices_SubPractices[CP],"6",Practices_SubPractices[Org],"Large"),IF(AND(Practices_SubPractices[CP]=7,Practices_SubPractices[Org] ="Large"),SUMIFS(Practices_SubPractices[E],Practices_SubPractices[CP],"7",Practices_SubPractices[Org],"Large"),IF(AND(Practices_SubPractices[CP]=8,Practices_SubPractices[Org] ="Large"),SUMIFS(Practices_SubPractices[E],Practices_SubPractices[CP],"8",Practices_SubPractices[Org],"Large"),IF(AND(Practices_SubPractices[CP]=9,Practices_SubPractices[Org] ="Large"),SUMIFS(Practices_SubPractices[E],Practices_SubPractices[CP],"9",Practices_SubPractices[Org],"Large"),IF(AND(Practices_SubPractices[CP]=10,Practices_SubPractices[Org] ="Large"),SUMIFS(Practices_SubPractices[E],Practices_SubPractices[CP],"10",Practices_SubPractices[Org],"Large"),"TBD"))))))))))))))))))))))))))))))</f>
        <v>5</v>
      </c>
      <c r="S40" s="87" t="s">
        <v>409</v>
      </c>
    </row>
    <row r="41" spans="1:19" x14ac:dyDescent="0.35">
      <c r="A41" s="73">
        <v>31</v>
      </c>
      <c r="B41" s="73">
        <v>3</v>
      </c>
      <c r="C41" s="73" t="s">
        <v>12</v>
      </c>
      <c r="D41" s="73" t="str">
        <f>Practices_SubPractices[[#This Row],[CP]]&amp;LEFT(Practices_SubPractices[[#This Row],[Org]],1)</f>
        <v>3L</v>
      </c>
      <c r="E41" s="73" t="s">
        <v>265</v>
      </c>
      <c r="F41" s="74" t="s">
        <v>15</v>
      </c>
      <c r="G41" s="74" t="s">
        <v>83</v>
      </c>
      <c r="H41" s="74" t="s">
        <v>207</v>
      </c>
      <c r="I41" s="75">
        <v>1</v>
      </c>
      <c r="J41" s="75">
        <v>1</v>
      </c>
      <c r="K41" s="75">
        <v>2</v>
      </c>
      <c r="L41" s="75">
        <v>2</v>
      </c>
      <c r="M41" s="75">
        <v>1</v>
      </c>
      <c r="N41" s="76"/>
      <c r="O41" s="77">
        <f>IF(AND(Practices_SubPractices[CP]=1,Practices_SubPractices[Org]="Small"),SUMIFS(Practices_SubPractices[B],Practices_SubPractices[CP],"1",Practices_SubPractices[Org],"Small"),IF(AND(Practices_SubPractices[CP]=2,Practices_SubPractices[Org]="Small"),SUMIFS(Practices_SubPractices[B],Practices_SubPractices[CP],"2",Practices_SubPractices[Org],"Small"),IF(AND(Practices_SubPractices[CP]=3,Practices_SubPractices[Org]="Small"),SUMIFS(Practices_SubPractices[B],Practices_SubPractices[CP],"3",Practices_SubPractices[Org],"Small"),IF(AND(Practices_SubPractices[CP]=4,Practices_SubPractices[Org]="Small"),SUMIFS(Practices_SubPractices[B],Practices_SubPractices[CP],"4",Practices_SubPractices[Org],"Small"),IF(AND(Practices_SubPractices[CP]=5,Practices_SubPractices[Org]="Small"),SUMIFS(Practices_SubPractices[B],Practices_SubPractices[CP],"5",Practices_SubPractices[Org],"Small"),IF(AND(Practices_SubPractices[CP]=6,Practices_SubPractices[Org]="Small"),SUMIFS(Practices_SubPractices[B],Practices_SubPractices[CP],"6",Practices_SubPractices[Org],"Small"),IF(AND(Practices_SubPractices[CP]=7,Practices_SubPractices[Org] ="Small"),SUMIFS(Practices_SubPractices[B],Practices_SubPractices[CP],"7",Practices_SubPractices[Org],"Small"),IF(AND(Practices_SubPractices[CP]=8,Practices_SubPractices[Org] ="Small"),SUMIFS(Practices_SubPractices[B],Practices_SubPractices[CP],"8",Practices_SubPractices[Org],"Small"),IF(AND(Practices_SubPractices[CP]=9,Practices_SubPractices[Org] ="Small"),SUMIFS(Practices_SubPractices[B],Practices_SubPractices[CP],"9",Practices_SubPractices[Org],"Small"),IF(AND(Practices_SubPractices[CP]=10,Practices_SubPractices[Org] ="Small"),SUMIFS(Practices_SubPractices[B],Practices_SubPractices[CP],"10",Practices_SubPractices[Org],"Small"),IF(AND(Practices_SubPractices[CP]=1,Practices_SubPractices[Org]="Medium"),SUMIFS(Practices_SubPractices[B],Practices_SubPractices[CP],"1",Practices_SubPractices[Org],"Medium"),IF(AND(Practices_SubPractices[CP]=2,Practices_SubPractices[Org]="Medium"),SUMIFS(Practices_SubPractices[B],Practices_SubPractices[CP],"2",Practices_SubPractices[Org],"Medium"),IF(AND(Practices_SubPractices[CP]=3,Practices_SubPractices[Org]="Medium"),SUMIFS(Practices_SubPractices[B],Practices_SubPractices[CP],"3",Practices_SubPractices[Org],"Medium"),IF(AND(Practices_SubPractices[CP]=4,Practices_SubPractices[Org]="Medium"),SUMIFS(Practices_SubPractices[B],Practices_SubPractices[CP],"4",Practices_SubPractices[Org],"Medium"),IF(AND(Practices_SubPractices[CP]=5,Practices_SubPractices[Org]="Medium"),SUMIFS(Practices_SubPractices[B],Practices_SubPractices[CP],"5",Practices_SubPractices[Org],"Medium"),IF(AND(Practices_SubPractices[CP]=6,Practices_SubPractices[Org]="Medium"),SUMIFS(Practices_SubPractices[B],Practices_SubPractices[CP],"6",Practices_SubPractices[Org],"Medium"),IF(AND(Practices_SubPractices[CP]=7,Practices_SubPractices[Org] ="Medium"),SUMIFS(Practices_SubPractices[B],Practices_SubPractices[CP],"7",Practices_SubPractices[Org],"Medium"),IF(AND(Practices_SubPractices[CP]=8,Practices_SubPractices[Org] ="Medium"),SUMIFS(Practices_SubPractices[B],Practices_SubPractices[CP],"8",Practices_SubPractices[Org],"Medium"),IF(AND(Practices_SubPractices[CP]=9,Practices_SubPractices[Org] ="Medium"),SUMIFS(Practices_SubPractices[B],Practices_SubPractices[CP],"9",Practices_SubPractices[Org],"Medium"),IF(AND(Practices_SubPractices[CP]=10,Practices_SubPractices[Org] ="Medium"),SUMIFS(Practices_SubPractices[B],Practices_SubPractices[CP],"10",Practices_SubPractices[Org],"Medium"),IF(AND(Practices_SubPractices[CP]=1,Practices_SubPractices[Org]="Large"),SUMIFS(Practices_SubPractices[B],Practices_SubPractices[CP],"1",Practices_SubPractices[Org],"Large"),IF(AND(Practices_SubPractices[CP]=2,Practices_SubPractices[Org]="Large"),SUMIFS(Practices_SubPractices[B],Practices_SubPractices[CP],"2",Practices_SubPractices[Org],"Large"),IF(AND(Practices_SubPractices[CP]=3,Practices_SubPractices[Org]="Large"),SUMIFS(Practices_SubPractices[B],Practices_SubPractices[CP],"3",Practices_SubPractices[Org],"Large"),IF(AND(Practices_SubPractices[CP]=4,Practices_SubPractices[Org]="Large"),SUMIFS(Practices_SubPractices[B],Practices_SubPractices[CP],"4",Practices_SubPractices[Org],"Large"),IF(AND(Practices_SubPractices[CP]=5,Practices_SubPractices[Org]="Large"),SUMIFS(Practices_SubPractices[B],Practices_SubPractices[CP],"5",Practices_SubPractices[Org],"Large"),IF(AND(Practices_SubPractices[CP]=6,Practices_SubPractices[Org]="Large"),SUMIFS(Practices_SubPractices[B],Practices_SubPractices[CP],"6",Practices_SubPractices[Org],"Large"),IF(AND(Practices_SubPractices[CP]=7,Practices_SubPractices[Org] ="Large"),SUMIFS(Practices_SubPractices[B],Practices_SubPractices[CP],"7",Practices_SubPractices[Org],"Large"),IF(AND(Practices_SubPractices[CP]=8,Practices_SubPractices[Org] ="Large"),SUMIFS(Practices_SubPractices[B],Practices_SubPractices[CP],"8",Practices_SubPractices[Org],"Large"),IF(AND(Practices_SubPractices[CP]=9,Practices_SubPractices[Org] ="Large"),SUMIFS(Practices_SubPractices[B],Practices_SubPractices[CP],"9",Practices_SubPractices[Org],"Large"),IF(AND(Practices_SubPractices[CP]=10,Practices_SubPractices[Org] ="Large"),SUMIFS(Practices_SubPractices[B],Practices_SubPractices[CP],"10",Practices_SubPractices[Org],"Large"),"TBD"))))))))))))))))))))))))))))))</f>
        <v>12</v>
      </c>
      <c r="P41" s="77">
        <f>IF(AND(Practices_SubPractices[CP]=1,Practices_SubPractices[Org]="Small"),SUMIFS(Practices_SubPractices[C],Practices_SubPractices[CP],"1",Practices_SubPractices[Org],"Small"),IF(AND(Practices_SubPractices[CP]=2,Practices_SubPractices[Org]="Small"),SUMIFS(Practices_SubPractices[C],Practices_SubPractices[CP],"2",Practices_SubPractices[Org],"Small"),IF(AND(Practices_SubPractices[CP]=3,Practices_SubPractices[Org]="Small"),SUMIFS(Practices_SubPractices[C],Practices_SubPractices[CP],"3",Practices_SubPractices[Org],"Small"),IF(AND(Practices_SubPractices[CP]=4,Practices_SubPractices[Org]="Small"),SUMIFS(Practices_SubPractices[C],Practices_SubPractices[CP],"4",Practices_SubPractices[Org],"Small"),IF(AND(Practices_SubPractices[CP]=5,Practices_SubPractices[Org]="Small"),SUMIFS(Practices_SubPractices[C],Practices_SubPractices[CP],"5",Practices_SubPractices[Org],"Small"),IF(AND(Practices_SubPractices[CP]=6,Practices_SubPractices[Org]="Small"),SUMIFS(Practices_SubPractices[C],Practices_SubPractices[CP],"6",Practices_SubPractices[Org],"Small"),IF(AND(Practices_SubPractices[CP]=7,Practices_SubPractices[Org] ="Small"),SUMIFS(Practices_SubPractices[C],Practices_SubPractices[CP],"7",Practices_SubPractices[Org],"Small"),IF(AND(Practices_SubPractices[CP]=8,Practices_SubPractices[Org] ="Small"),SUMIFS(Practices_SubPractices[C],Practices_SubPractices[CP],"8",Practices_SubPractices[Org],"Small"),IF(AND(Practices_SubPractices[CP]=9,Practices_SubPractices[Org] ="Small"),SUMIFS(Practices_SubPractices[C],Practices_SubPractices[CP],"9",Practices_SubPractices[Org],"Small"),IF(AND(Practices_SubPractices[CP]=10,Practices_SubPractices[Org] ="Small"),SUMIFS(Practices_SubPractices[C],Practices_SubPractices[CP],"10",Practices_SubPractices[Org],"Small"),IF(AND(Practices_SubPractices[CP]=1,Practices_SubPractices[Org]="Medium"),SUMIFS(Practices_SubPractices[C],Practices_SubPractices[CP],"1",Practices_SubPractices[Org],"Medium"),IF(AND(Practices_SubPractices[CP]=2,Practices_SubPractices[Org]="Medium"),SUMIFS(Practices_SubPractices[C],Practices_SubPractices[CP],"2",Practices_SubPractices[Org],"Medium"),IF(AND(Practices_SubPractices[CP]=3,Practices_SubPractices[Org]="Medium"),SUMIFS(Practices_SubPractices[C],Practices_SubPractices[CP],"3",Practices_SubPractices[Org],"Medium"),IF(AND(Practices_SubPractices[CP]=4,Practices_SubPractices[Org]="Medium"),SUMIFS(Practices_SubPractices[C],Practices_SubPractices[CP],"4",Practices_SubPractices[Org],"Medium"),IF(AND(Practices_SubPractices[CP]=5,Practices_SubPractices[Org]="Medium"),SUMIFS(Practices_SubPractices[C],Practices_SubPractices[CP],"5",Practices_SubPractices[Org],"Medium"),IF(AND(Practices_SubPractices[CP]=6,Practices_SubPractices[Org]="Medium"),SUMIFS(Practices_SubPractices[C],Practices_SubPractices[CP],"6",Practices_SubPractices[Org],"Medium"),IF(AND(Practices_SubPractices[CP]=7,Practices_SubPractices[Org] ="Medium"),SUMIFS(Practices_SubPractices[C],Practices_SubPractices[CP],"7",Practices_SubPractices[Org],"Medium"),IF(AND(Practices_SubPractices[CP]=8,Practices_SubPractices[Org] ="Medium"),SUMIFS(Practices_SubPractices[C],Practices_SubPractices[CP],"8",Practices_SubPractices[Org],"Medium"),IF(AND(Practices_SubPractices[CP]=9,Practices_SubPractices[Org] ="Medium"),SUMIFS(Practices_SubPractices[C],Practices_SubPractices[CP],"9",Practices_SubPractices[Org],"Medium"),IF(AND(Practices_SubPractices[CP]=10,Practices_SubPractices[Org] ="Medium"),SUMIFS(Practices_SubPractices[C],Practices_SubPractices[CP],"10",Practices_SubPractices[Org],"Medium"),IF(AND(Practices_SubPractices[CP]=1,Practices_SubPractices[Org]="Large"),SUMIFS(Practices_SubPractices[C],Practices_SubPractices[CP],"1",Practices_SubPractices[Org],"Large"),IF(AND(Practices_SubPractices[CP]=2,Practices_SubPractices[Org]="Large"),SUMIFS(Practices_SubPractices[C],Practices_SubPractices[CP],"2",Practices_SubPractices[Org],"Large"),IF(AND(Practices_SubPractices[CP]=3,Practices_SubPractices[Org]="Large"),SUMIFS(Practices_SubPractices[C],Practices_SubPractices[CP],"3",Practices_SubPractices[Org],"Large"),IF(AND(Practices_SubPractices[CP]=4,Practices_SubPractices[Org]="Large"),SUMIFS(Practices_SubPractices[C],Practices_SubPractices[CP],"4",Practices_SubPractices[Org],"Large"),IF(AND(Practices_SubPractices[CP]=5,Practices_SubPractices[Org]="Large"),SUMIFS(Practices_SubPractices[C],Practices_SubPractices[CP],"5",Practices_SubPractices[Org],"Large"),IF(AND(Practices_SubPractices[CP]=6,Practices_SubPractices[Org]="Large"),SUMIFS(Practices_SubPractices[C],Practices_SubPractices[CP],"6",Practices_SubPractices[Org],"Large"),IF(AND(Practices_SubPractices[CP]=7,Practices_SubPractices[Org] ="Large"),SUMIFS(Practices_SubPractices[C],Practices_SubPractices[CP],"7",Practices_SubPractices[Org],"Large"),IF(AND(Practices_SubPractices[CP]=8,Practices_SubPractices[Org] ="Large"),SUMIFS(Practices_SubPractices[C],Practices_SubPractices[CP],"8",Practices_SubPractices[Org],"Large"),IF(AND(Practices_SubPractices[CP]=9,Practices_SubPractices[Org] ="Large"),SUMIFS(Practices_SubPractices[C],Practices_SubPractices[CP],"9",Practices_SubPractices[Org],"Large"),IF(AND(Practices_SubPractices[CP]=10,Practices_SubPractices[Org] ="Large"),SUMIFS(Practices_SubPractices[C],Practices_SubPractices[CP],"10",Practices_SubPractices[Org],"Large"),"TBD"))))))))))))))))))))))))))))))</f>
        <v>6</v>
      </c>
      <c r="Q41" s="77">
        <f>IF(AND(Practices_SubPractices[CP]=1,Practices_SubPractices[Org]="Small"),SUMIFS(Practices_SubPractices[D],Practices_SubPractices[CP],"1",Practices_SubPractices[Org],"Small"),IF(AND(Practices_SubPractices[CP]=2,Practices_SubPractices[Org]="Small"),SUMIFS(Practices_SubPractices[D],Practices_SubPractices[CP],"2",Practices_SubPractices[Org],"Small"),IF(AND(Practices_SubPractices[CP]=3,Practices_SubPractices[Org]="Small"),SUMIFS(Practices_SubPractices[D],Practices_SubPractices[CP],"3",Practices_SubPractices[Org],"Small"),IF(AND(Practices_SubPractices[CP]=4,Practices_SubPractices[Org]="Small"),SUMIFS(Practices_SubPractices[D],Practices_SubPractices[CP],"4",Practices_SubPractices[Org],"Small"),IF(AND(Practices_SubPractices[CP]=5,Practices_SubPractices[Org]="Small"),SUMIFS(Practices_SubPractices[D],Practices_SubPractices[CP],"5",Practices_SubPractices[Org],"Small"),IF(AND(Practices_SubPractices[CP]=6,Practices_SubPractices[Org]="Small"),SUMIFS(Practices_SubPractices[D],Practices_SubPractices[CP],"6",Practices_SubPractices[Org],"Small"),IF(AND(Practices_SubPractices[CP]=7,Practices_SubPractices[Org] ="Small"),SUMIFS(Practices_SubPractices[D],Practices_SubPractices[CP],"7",Practices_SubPractices[Org],"Small"),IF(AND(Practices_SubPractices[CP]=8,Practices_SubPractices[Org] ="Small"),SUMIFS(Practices_SubPractices[D],Practices_SubPractices[CP],"8",Practices_SubPractices[Org],"Small"),IF(AND(Practices_SubPractices[CP]=9,Practices_SubPractices[Org] ="Small"),SUMIFS(Practices_SubPractices[D],Practices_SubPractices[CP],"9",Practices_SubPractices[Org],"Small"),IF(AND(Practices_SubPractices[CP]=10,Practices_SubPractices[Org] ="Small"),SUMIFS(Practices_SubPractices[D],Practices_SubPractices[CP],"10",Practices_SubPractices[Org],"Small"),IF(AND(Practices_SubPractices[CP]=1,Practices_SubPractices[Org]="Medium"),SUMIFS(Practices_SubPractices[D],Practices_SubPractices[CP],"1",Practices_SubPractices[Org],"Medium"),IF(AND(Practices_SubPractices[CP]=2,Practices_SubPractices[Org]="Medium"),SUMIFS(Practices_SubPractices[D],Practices_SubPractices[CP],"2",Practices_SubPractices[Org],"Medium"),IF(AND(Practices_SubPractices[CP]=3,Practices_SubPractices[Org]="Medium"),SUMIFS(Practices_SubPractices[D],Practices_SubPractices[CP],"3",Practices_SubPractices[Org],"Medium"),IF(AND(Practices_SubPractices[CP]=4,Practices_SubPractices[Org]="Medium"),SUMIFS(Practices_SubPractices[D],Practices_SubPractices[CP],"4",Practices_SubPractices[Org],"Medium"),IF(AND(Practices_SubPractices[CP]=5,Practices_SubPractices[Org]="Medium"),SUMIFS(Practices_SubPractices[D],Practices_SubPractices[CP],"5",Practices_SubPractices[Org],"Medium"),IF(AND(Practices_SubPractices[CP]=6,Practices_SubPractices[Org]="Medium"),SUMIFS(Practices_SubPractices[D],Practices_SubPractices[CP],"6",Practices_SubPractices[Org],"Medium"),IF(AND(Practices_SubPractices[CP]=7,Practices_SubPractices[Org] ="Medium"),SUMIFS(Practices_SubPractices[D],Practices_SubPractices[CP],"7",Practices_SubPractices[Org],"Medium"),IF(AND(Practices_SubPractices[CP]=8,Practices_SubPractices[Org] ="Medium"),SUMIFS(Practices_SubPractices[D],Practices_SubPractices[CP],"8",Practices_SubPractices[Org],"Medium"),IF(AND(Practices_SubPractices[CP]=9,Practices_SubPractices[Org] ="Medium"),SUMIFS(Practices_SubPractices[D],Practices_SubPractices[CP],"9",Practices_SubPractices[Org],"Medium"),IF(AND(Practices_SubPractices[CP]=10,Practices_SubPractices[Org] ="Medium"),SUMIFS(Practices_SubPractices[D],Practices_SubPractices[CP],"10",Practices_SubPractices[Org],"Medium"),IF(AND(Practices_SubPractices[CP]=1,Practices_SubPractices[Org]="Large"),SUMIFS(Practices_SubPractices[D],Practices_SubPractices[CP],"1",Practices_SubPractices[Org],"Large"),IF(AND(Practices_SubPractices[CP]=2,Practices_SubPractices[Org]="Large"),SUMIFS(Practices_SubPractices[D],Practices_SubPractices[CP],"2",Practices_SubPractices[Org],"Large"),IF(AND(Practices_SubPractices[CP]=3,Practices_SubPractices[Org]="Large"),SUMIFS(Practices_SubPractices[D],Practices_SubPractices[CP],"3",Practices_SubPractices[Org],"Large"),IF(AND(Practices_SubPractices[CP]=4,Practices_SubPractices[Org]="Large"),SUMIFS(Practices_SubPractices[D],Practices_SubPractices[CP],"4",Practices_SubPractices[Org],"Large"),IF(AND(Practices_SubPractices[CP]=5,Practices_SubPractices[Org]="Large"),SUMIFS(Practices_SubPractices[D],Practices_SubPractices[CP],"5",Practices_SubPractices[Org],"Large"),IF(AND(Practices_SubPractices[CP]=6,Practices_SubPractices[Org]="Large"),SUMIFS(Practices_SubPractices[D],Practices_SubPractices[CP],"6",Practices_SubPractices[Org],"Large"),IF(AND(Practices_SubPractices[CP]=7,Practices_SubPractices[Org] ="Large"),SUMIFS(Practices_SubPractices[D],Practices_SubPractices[CP],"7",Practices_SubPractices[Org],"Large"),IF(AND(Practices_SubPractices[CP]=8,Practices_SubPractices[Org] ="Large"),SUMIFS(Practices_SubPractices[D],Practices_SubPractices[CP],"8",Practices_SubPractices[Org],"Large"),IF(AND(Practices_SubPractices[CP]=9,Practices_SubPractices[Org] ="Large"),SUMIFS(Practices_SubPractices[D],Practices_SubPractices[CP],"9",Practices_SubPractices[Org],"Large"),IF(AND(Practices_SubPractices[CP]=10,Practices_SubPractices[Org] ="Large"),SUMIFS(Practices_SubPractices[D],Practices_SubPractices[CP],"10",Practices_SubPractices[Org],"Large"),"TBD"))))))))))))))))))))))))))))))</f>
        <v>11</v>
      </c>
      <c r="R41" s="77">
        <f>IF(AND(Practices_SubPractices[CP]=1,Practices_SubPractices[Org]="Small"),SUMIFS(Practices_SubPractices[E],Practices_SubPractices[CP],"1",Practices_SubPractices[Org],"Small"),IF(AND(Practices_SubPractices[CP]=2,Practices_SubPractices[Org]="Small"),SUMIFS(Practices_SubPractices[E],Practices_SubPractices[CP],"2",Practices_SubPractices[Org],"Small"),IF(AND(Practices_SubPractices[CP]=3,Practices_SubPractices[Org]="Small"),SUMIFS(Practices_SubPractices[E],Practices_SubPractices[CP],"3",Practices_SubPractices[Org],"Small"),IF(AND(Practices_SubPractices[CP]=4,Practices_SubPractices[Org]="Small"),SUMIFS(Practices_SubPractices[E],Practices_SubPractices[CP],"4",Practices_SubPractices[Org],"Small"),IF(AND(Practices_SubPractices[CP]=5,Practices_SubPractices[Org]="Small"),SUMIFS(Practices_SubPractices[E],Practices_SubPractices[CP],"5",Practices_SubPractices[Org],"Small"),IF(AND(Practices_SubPractices[CP]=6,Practices_SubPractices[Org]="Small"),SUMIFS(Practices_SubPractices[E],Practices_SubPractices[CP],"6",Practices_SubPractices[Org],"Small"),IF(AND(Practices_SubPractices[CP]=7,Practices_SubPractices[Org] ="Small"),SUMIFS(Practices_SubPractices[E],Practices_SubPractices[CP],"7",Practices_SubPractices[Org],"Small"),IF(AND(Practices_SubPractices[CP]=8,Practices_SubPractices[Org] ="Small"),SUMIFS(Practices_SubPractices[E],Practices_SubPractices[CP],"8",Practices_SubPractices[Org],"Small"),IF(AND(Practices_SubPractices[CP]=9,Practices_SubPractices[Org] ="Small"),SUMIFS(Practices_SubPractices[E],Practices_SubPractices[CP],"9",Practices_SubPractices[Org],"Small"),IF(AND(Practices_SubPractices[CP]=10,Practices_SubPractices[Org] ="Small"),SUMIFS(Practices_SubPractices[E],Practices_SubPractices[CP],"10",Practices_SubPractices[Org],"Small"),IF(AND(Practices_SubPractices[CP]=1,Practices_SubPractices[Org]="Medium"),SUMIFS(Practices_SubPractices[E],Practices_SubPractices[CP],"1",Practices_SubPractices[Org],"Medium"),IF(AND(Practices_SubPractices[CP]=2,Practices_SubPractices[Org]="Medium"),SUMIFS(Practices_SubPractices[E],Practices_SubPractices[CP],"2",Practices_SubPractices[Org],"Medium"),IF(AND(Practices_SubPractices[CP]=3,Practices_SubPractices[Org]="Medium"),SUMIFS(Practices_SubPractices[E],Practices_SubPractices[CP],"3",Practices_SubPractices[Org],"Medium"),IF(AND(Practices_SubPractices[CP]=4,Practices_SubPractices[Org]="Medium"),SUMIFS(Practices_SubPractices[E],Practices_SubPractices[CP],"4",Practices_SubPractices[Org],"Medium"),IF(AND(Practices_SubPractices[CP]=5,Practices_SubPractices[Org]="Medium"),SUMIFS(Practices_SubPractices[E],Practices_SubPractices[CP],"5",Practices_SubPractices[Org],"Medium"),IF(AND(Practices_SubPractices[CP]=6,Practices_SubPractices[Org]="Medium"),SUMIFS(Practices_SubPractices[E],Practices_SubPractices[CP],"6",Practices_SubPractices[Org],"Medium"),IF(AND(Practices_SubPractices[CP]=7,Practices_SubPractices[Org] ="Medium"),SUMIFS(Practices_SubPractices[E],Practices_SubPractices[CP],"7",Practices_SubPractices[Org],"Medium"),IF(AND(Practices_SubPractices[CP]=8,Practices_SubPractices[Org] ="Medium"),SUMIFS(Practices_SubPractices[E],Practices_SubPractices[CP],"8",Practices_SubPractices[Org],"Medium"),IF(AND(Practices_SubPractices[CP]=9,Practices_SubPractices[Org] ="Medium"),SUMIFS(Practices_SubPractices[E],Practices_SubPractices[CP],"9",Practices_SubPractices[Org],"Medium"),IF(AND(Practices_SubPractices[CP]=10,Practices_SubPractices[Org] ="Medium"),SUMIFS(Practices_SubPractices[E],Practices_SubPractices[CP],"10",Practices_SubPractices[Org],"Medium"),IF(AND(Practices_SubPractices[CP]=1,Practices_SubPractices[Org]="Large"),SUMIFS(Practices_SubPractices[E],Practices_SubPractices[CP],"1",Practices_SubPractices[Org],"Large"),IF(AND(Practices_SubPractices[CP]=2,Practices_SubPractices[Org]="Large"),SUMIFS(Practices_SubPractices[E],Practices_SubPractices[CP],"2",Practices_SubPractices[Org],"Large"),IF(AND(Practices_SubPractices[CP]=3,Practices_SubPractices[Org]="Large"),SUMIFS(Practices_SubPractices[E],Practices_SubPractices[CP],"3",Practices_SubPractices[Org],"Large"),IF(AND(Practices_SubPractices[CP]=4,Practices_SubPractices[Org]="Large"),SUMIFS(Practices_SubPractices[E],Practices_SubPractices[CP],"4",Practices_SubPractices[Org],"Large"),IF(AND(Practices_SubPractices[CP]=5,Practices_SubPractices[Org]="Large"),SUMIFS(Practices_SubPractices[E],Practices_SubPractices[CP],"5",Practices_SubPractices[Org],"Large"),IF(AND(Practices_SubPractices[CP]=6,Practices_SubPractices[Org]="Large"),SUMIFS(Practices_SubPractices[E],Practices_SubPractices[CP],"6",Practices_SubPractices[Org],"Large"),IF(AND(Practices_SubPractices[CP]=7,Practices_SubPractices[Org] ="Large"),SUMIFS(Practices_SubPractices[E],Practices_SubPractices[CP],"7",Practices_SubPractices[Org],"Large"),IF(AND(Practices_SubPractices[CP]=8,Practices_SubPractices[Org] ="Large"),SUMIFS(Practices_SubPractices[E],Practices_SubPractices[CP],"8",Practices_SubPractices[Org],"Large"),IF(AND(Practices_SubPractices[CP]=9,Practices_SubPractices[Org] ="Large"),SUMIFS(Practices_SubPractices[E],Practices_SubPractices[CP],"9",Practices_SubPractices[Org],"Large"),IF(AND(Practices_SubPractices[CP]=10,Practices_SubPractices[Org] ="Large"),SUMIFS(Practices_SubPractices[E],Practices_SubPractices[CP],"10",Practices_SubPractices[Org],"Large"),"TBD"))))))))))))))))))))))))))))))</f>
        <v>8</v>
      </c>
      <c r="S41" s="87" t="s">
        <v>409</v>
      </c>
    </row>
    <row r="42" spans="1:19" x14ac:dyDescent="0.35">
      <c r="A42" s="73">
        <v>32</v>
      </c>
      <c r="B42" s="73">
        <v>3</v>
      </c>
      <c r="C42" s="73" t="s">
        <v>11</v>
      </c>
      <c r="D42" s="73" t="str">
        <f>Practices_SubPractices[[#This Row],[CP]]&amp;LEFT(Practices_SubPractices[[#This Row],[Org]],1)</f>
        <v>3M</v>
      </c>
      <c r="E42" s="73" t="s">
        <v>266</v>
      </c>
      <c r="F42" s="74" t="s">
        <v>80</v>
      </c>
      <c r="G42" s="74" t="s">
        <v>84</v>
      </c>
      <c r="H42" s="74" t="s">
        <v>208</v>
      </c>
      <c r="I42" s="75">
        <v>1</v>
      </c>
      <c r="J42" s="75">
        <v>1</v>
      </c>
      <c r="K42" s="75">
        <v>2</v>
      </c>
      <c r="L42" s="75">
        <v>1</v>
      </c>
      <c r="M42" s="75">
        <v>1</v>
      </c>
      <c r="N42" s="76"/>
      <c r="O42" s="77">
        <f>IF(AND(Practices_SubPractices[CP]=1,Practices_SubPractices[Org]="Small"),SUMIFS(Practices_SubPractices[B],Practices_SubPractices[CP],"1",Practices_SubPractices[Org],"Small"),IF(AND(Practices_SubPractices[CP]=2,Practices_SubPractices[Org]="Small"),SUMIFS(Practices_SubPractices[B],Practices_SubPractices[CP],"2",Practices_SubPractices[Org],"Small"),IF(AND(Practices_SubPractices[CP]=3,Practices_SubPractices[Org]="Small"),SUMIFS(Practices_SubPractices[B],Practices_SubPractices[CP],"3",Practices_SubPractices[Org],"Small"),IF(AND(Practices_SubPractices[CP]=4,Practices_SubPractices[Org]="Small"),SUMIFS(Practices_SubPractices[B],Practices_SubPractices[CP],"4",Practices_SubPractices[Org],"Small"),IF(AND(Practices_SubPractices[CP]=5,Practices_SubPractices[Org]="Small"),SUMIFS(Practices_SubPractices[B],Practices_SubPractices[CP],"5",Practices_SubPractices[Org],"Small"),IF(AND(Practices_SubPractices[CP]=6,Practices_SubPractices[Org]="Small"),SUMIFS(Practices_SubPractices[B],Practices_SubPractices[CP],"6",Practices_SubPractices[Org],"Small"),IF(AND(Practices_SubPractices[CP]=7,Practices_SubPractices[Org] ="Small"),SUMIFS(Practices_SubPractices[B],Practices_SubPractices[CP],"7",Practices_SubPractices[Org],"Small"),IF(AND(Practices_SubPractices[CP]=8,Practices_SubPractices[Org] ="Small"),SUMIFS(Practices_SubPractices[B],Practices_SubPractices[CP],"8",Practices_SubPractices[Org],"Small"),IF(AND(Practices_SubPractices[CP]=9,Practices_SubPractices[Org] ="Small"),SUMIFS(Practices_SubPractices[B],Practices_SubPractices[CP],"9",Practices_SubPractices[Org],"Small"),IF(AND(Practices_SubPractices[CP]=10,Practices_SubPractices[Org] ="Small"),SUMIFS(Practices_SubPractices[B],Practices_SubPractices[CP],"10",Practices_SubPractices[Org],"Small"),IF(AND(Practices_SubPractices[CP]=1,Practices_SubPractices[Org]="Medium"),SUMIFS(Practices_SubPractices[B],Practices_SubPractices[CP],"1",Practices_SubPractices[Org],"Medium"),IF(AND(Practices_SubPractices[CP]=2,Practices_SubPractices[Org]="Medium"),SUMIFS(Practices_SubPractices[B],Practices_SubPractices[CP],"2",Practices_SubPractices[Org],"Medium"),IF(AND(Practices_SubPractices[CP]=3,Practices_SubPractices[Org]="Medium"),SUMIFS(Practices_SubPractices[B],Practices_SubPractices[CP],"3",Practices_SubPractices[Org],"Medium"),IF(AND(Practices_SubPractices[CP]=4,Practices_SubPractices[Org]="Medium"),SUMIFS(Practices_SubPractices[B],Practices_SubPractices[CP],"4",Practices_SubPractices[Org],"Medium"),IF(AND(Practices_SubPractices[CP]=5,Practices_SubPractices[Org]="Medium"),SUMIFS(Practices_SubPractices[B],Practices_SubPractices[CP],"5",Practices_SubPractices[Org],"Medium"),IF(AND(Practices_SubPractices[CP]=6,Practices_SubPractices[Org]="Medium"),SUMIFS(Practices_SubPractices[B],Practices_SubPractices[CP],"6",Practices_SubPractices[Org],"Medium"),IF(AND(Practices_SubPractices[CP]=7,Practices_SubPractices[Org] ="Medium"),SUMIFS(Practices_SubPractices[B],Practices_SubPractices[CP],"7",Practices_SubPractices[Org],"Medium"),IF(AND(Practices_SubPractices[CP]=8,Practices_SubPractices[Org] ="Medium"),SUMIFS(Practices_SubPractices[B],Practices_SubPractices[CP],"8",Practices_SubPractices[Org],"Medium"),IF(AND(Practices_SubPractices[CP]=9,Practices_SubPractices[Org] ="Medium"),SUMIFS(Practices_SubPractices[B],Practices_SubPractices[CP],"9",Practices_SubPractices[Org],"Medium"),IF(AND(Practices_SubPractices[CP]=10,Practices_SubPractices[Org] ="Medium"),SUMIFS(Practices_SubPractices[B],Practices_SubPractices[CP],"10",Practices_SubPractices[Org],"Medium"),IF(AND(Practices_SubPractices[CP]=1,Practices_SubPractices[Org]="Large"),SUMIFS(Practices_SubPractices[B],Practices_SubPractices[CP],"1",Practices_SubPractices[Org],"Large"),IF(AND(Practices_SubPractices[CP]=2,Practices_SubPractices[Org]="Large"),SUMIFS(Practices_SubPractices[B],Practices_SubPractices[CP],"2",Practices_SubPractices[Org],"Large"),IF(AND(Practices_SubPractices[CP]=3,Practices_SubPractices[Org]="Large"),SUMIFS(Practices_SubPractices[B],Practices_SubPractices[CP],"3",Practices_SubPractices[Org],"Large"),IF(AND(Practices_SubPractices[CP]=4,Practices_SubPractices[Org]="Large"),SUMIFS(Practices_SubPractices[B],Practices_SubPractices[CP],"4",Practices_SubPractices[Org],"Large"),IF(AND(Practices_SubPractices[CP]=5,Practices_SubPractices[Org]="Large"),SUMIFS(Practices_SubPractices[B],Practices_SubPractices[CP],"5",Practices_SubPractices[Org],"Large"),IF(AND(Practices_SubPractices[CP]=6,Practices_SubPractices[Org]="Large"),SUMIFS(Practices_SubPractices[B],Practices_SubPractices[CP],"6",Practices_SubPractices[Org],"Large"),IF(AND(Practices_SubPractices[CP]=7,Practices_SubPractices[Org] ="Large"),SUMIFS(Practices_SubPractices[B],Practices_SubPractices[CP],"7",Practices_SubPractices[Org],"Large"),IF(AND(Practices_SubPractices[CP]=8,Practices_SubPractices[Org] ="Large"),SUMIFS(Practices_SubPractices[B],Practices_SubPractices[CP],"8",Practices_SubPractices[Org],"Large"),IF(AND(Practices_SubPractices[CP]=9,Practices_SubPractices[Org] ="Large"),SUMIFS(Practices_SubPractices[B],Practices_SubPractices[CP],"9",Practices_SubPractices[Org],"Large"),IF(AND(Practices_SubPractices[CP]=10,Practices_SubPractices[Org] ="Large"),SUMIFS(Practices_SubPractices[B],Practices_SubPractices[CP],"10",Practices_SubPractices[Org],"Large"),"TBD"))))))))))))))))))))))))))))))</f>
        <v>6</v>
      </c>
      <c r="P42" s="77">
        <f>IF(AND(Practices_SubPractices[CP]=1,Practices_SubPractices[Org]="Small"),SUMIFS(Practices_SubPractices[C],Practices_SubPractices[CP],"1",Practices_SubPractices[Org],"Small"),IF(AND(Practices_SubPractices[CP]=2,Practices_SubPractices[Org]="Small"),SUMIFS(Practices_SubPractices[C],Practices_SubPractices[CP],"2",Practices_SubPractices[Org],"Small"),IF(AND(Practices_SubPractices[CP]=3,Practices_SubPractices[Org]="Small"),SUMIFS(Practices_SubPractices[C],Practices_SubPractices[CP],"3",Practices_SubPractices[Org],"Small"),IF(AND(Practices_SubPractices[CP]=4,Practices_SubPractices[Org]="Small"),SUMIFS(Practices_SubPractices[C],Practices_SubPractices[CP],"4",Practices_SubPractices[Org],"Small"),IF(AND(Practices_SubPractices[CP]=5,Practices_SubPractices[Org]="Small"),SUMIFS(Practices_SubPractices[C],Practices_SubPractices[CP],"5",Practices_SubPractices[Org],"Small"),IF(AND(Practices_SubPractices[CP]=6,Practices_SubPractices[Org]="Small"),SUMIFS(Practices_SubPractices[C],Practices_SubPractices[CP],"6",Practices_SubPractices[Org],"Small"),IF(AND(Practices_SubPractices[CP]=7,Practices_SubPractices[Org] ="Small"),SUMIFS(Practices_SubPractices[C],Practices_SubPractices[CP],"7",Practices_SubPractices[Org],"Small"),IF(AND(Practices_SubPractices[CP]=8,Practices_SubPractices[Org] ="Small"),SUMIFS(Practices_SubPractices[C],Practices_SubPractices[CP],"8",Practices_SubPractices[Org],"Small"),IF(AND(Practices_SubPractices[CP]=9,Practices_SubPractices[Org] ="Small"),SUMIFS(Practices_SubPractices[C],Practices_SubPractices[CP],"9",Practices_SubPractices[Org],"Small"),IF(AND(Practices_SubPractices[CP]=10,Practices_SubPractices[Org] ="Small"),SUMIFS(Practices_SubPractices[C],Practices_SubPractices[CP],"10",Practices_SubPractices[Org],"Small"),IF(AND(Practices_SubPractices[CP]=1,Practices_SubPractices[Org]="Medium"),SUMIFS(Practices_SubPractices[C],Practices_SubPractices[CP],"1",Practices_SubPractices[Org],"Medium"),IF(AND(Practices_SubPractices[CP]=2,Practices_SubPractices[Org]="Medium"),SUMIFS(Practices_SubPractices[C],Practices_SubPractices[CP],"2",Practices_SubPractices[Org],"Medium"),IF(AND(Practices_SubPractices[CP]=3,Practices_SubPractices[Org]="Medium"),SUMIFS(Practices_SubPractices[C],Practices_SubPractices[CP],"3",Practices_SubPractices[Org],"Medium"),IF(AND(Practices_SubPractices[CP]=4,Practices_SubPractices[Org]="Medium"),SUMIFS(Practices_SubPractices[C],Practices_SubPractices[CP],"4",Practices_SubPractices[Org],"Medium"),IF(AND(Practices_SubPractices[CP]=5,Practices_SubPractices[Org]="Medium"),SUMIFS(Practices_SubPractices[C],Practices_SubPractices[CP],"5",Practices_SubPractices[Org],"Medium"),IF(AND(Practices_SubPractices[CP]=6,Practices_SubPractices[Org]="Medium"),SUMIFS(Practices_SubPractices[C],Practices_SubPractices[CP],"6",Practices_SubPractices[Org],"Medium"),IF(AND(Practices_SubPractices[CP]=7,Practices_SubPractices[Org] ="Medium"),SUMIFS(Practices_SubPractices[C],Practices_SubPractices[CP],"7",Practices_SubPractices[Org],"Medium"),IF(AND(Practices_SubPractices[CP]=8,Practices_SubPractices[Org] ="Medium"),SUMIFS(Practices_SubPractices[C],Practices_SubPractices[CP],"8",Practices_SubPractices[Org],"Medium"),IF(AND(Practices_SubPractices[CP]=9,Practices_SubPractices[Org] ="Medium"),SUMIFS(Practices_SubPractices[C],Practices_SubPractices[CP],"9",Practices_SubPractices[Org],"Medium"),IF(AND(Practices_SubPractices[CP]=10,Practices_SubPractices[Org] ="Medium"),SUMIFS(Practices_SubPractices[C],Practices_SubPractices[CP],"10",Practices_SubPractices[Org],"Medium"),IF(AND(Practices_SubPractices[CP]=1,Practices_SubPractices[Org]="Large"),SUMIFS(Practices_SubPractices[C],Practices_SubPractices[CP],"1",Practices_SubPractices[Org],"Large"),IF(AND(Practices_SubPractices[CP]=2,Practices_SubPractices[Org]="Large"),SUMIFS(Practices_SubPractices[C],Practices_SubPractices[CP],"2",Practices_SubPractices[Org],"Large"),IF(AND(Practices_SubPractices[CP]=3,Practices_SubPractices[Org]="Large"),SUMIFS(Practices_SubPractices[C],Practices_SubPractices[CP],"3",Practices_SubPractices[Org],"Large"),IF(AND(Practices_SubPractices[CP]=4,Practices_SubPractices[Org]="Large"),SUMIFS(Practices_SubPractices[C],Practices_SubPractices[CP],"4",Practices_SubPractices[Org],"Large"),IF(AND(Practices_SubPractices[CP]=5,Practices_SubPractices[Org]="Large"),SUMIFS(Practices_SubPractices[C],Practices_SubPractices[CP],"5",Practices_SubPractices[Org],"Large"),IF(AND(Practices_SubPractices[CP]=6,Practices_SubPractices[Org]="Large"),SUMIFS(Practices_SubPractices[C],Practices_SubPractices[CP],"6",Practices_SubPractices[Org],"Large"),IF(AND(Practices_SubPractices[CP]=7,Practices_SubPractices[Org] ="Large"),SUMIFS(Practices_SubPractices[C],Practices_SubPractices[CP],"7",Practices_SubPractices[Org],"Large"),IF(AND(Practices_SubPractices[CP]=8,Practices_SubPractices[Org] ="Large"),SUMIFS(Practices_SubPractices[C],Practices_SubPractices[CP],"8",Practices_SubPractices[Org],"Large"),IF(AND(Practices_SubPractices[CP]=9,Practices_SubPractices[Org] ="Large"),SUMIFS(Practices_SubPractices[C],Practices_SubPractices[CP],"9",Practices_SubPractices[Org],"Large"),IF(AND(Practices_SubPractices[CP]=10,Practices_SubPractices[Org] ="Large"),SUMIFS(Practices_SubPractices[C],Practices_SubPractices[CP],"10",Practices_SubPractices[Org],"Large"),"TBD"))))))))))))))))))))))))))))))</f>
        <v>6</v>
      </c>
      <c r="Q42" s="77">
        <f>IF(AND(Practices_SubPractices[CP]=1,Practices_SubPractices[Org]="Small"),SUMIFS(Practices_SubPractices[D],Practices_SubPractices[CP],"1",Practices_SubPractices[Org],"Small"),IF(AND(Practices_SubPractices[CP]=2,Practices_SubPractices[Org]="Small"),SUMIFS(Practices_SubPractices[D],Practices_SubPractices[CP],"2",Practices_SubPractices[Org],"Small"),IF(AND(Practices_SubPractices[CP]=3,Practices_SubPractices[Org]="Small"),SUMIFS(Practices_SubPractices[D],Practices_SubPractices[CP],"3",Practices_SubPractices[Org],"Small"),IF(AND(Practices_SubPractices[CP]=4,Practices_SubPractices[Org]="Small"),SUMIFS(Practices_SubPractices[D],Practices_SubPractices[CP],"4",Practices_SubPractices[Org],"Small"),IF(AND(Practices_SubPractices[CP]=5,Practices_SubPractices[Org]="Small"),SUMIFS(Practices_SubPractices[D],Practices_SubPractices[CP],"5",Practices_SubPractices[Org],"Small"),IF(AND(Practices_SubPractices[CP]=6,Practices_SubPractices[Org]="Small"),SUMIFS(Practices_SubPractices[D],Practices_SubPractices[CP],"6",Practices_SubPractices[Org],"Small"),IF(AND(Practices_SubPractices[CP]=7,Practices_SubPractices[Org] ="Small"),SUMIFS(Practices_SubPractices[D],Practices_SubPractices[CP],"7",Practices_SubPractices[Org],"Small"),IF(AND(Practices_SubPractices[CP]=8,Practices_SubPractices[Org] ="Small"),SUMIFS(Practices_SubPractices[D],Practices_SubPractices[CP],"8",Practices_SubPractices[Org],"Small"),IF(AND(Practices_SubPractices[CP]=9,Practices_SubPractices[Org] ="Small"),SUMIFS(Practices_SubPractices[D],Practices_SubPractices[CP],"9",Practices_SubPractices[Org],"Small"),IF(AND(Practices_SubPractices[CP]=10,Practices_SubPractices[Org] ="Small"),SUMIFS(Practices_SubPractices[D],Practices_SubPractices[CP],"10",Practices_SubPractices[Org],"Small"),IF(AND(Practices_SubPractices[CP]=1,Practices_SubPractices[Org]="Medium"),SUMIFS(Practices_SubPractices[D],Practices_SubPractices[CP],"1",Practices_SubPractices[Org],"Medium"),IF(AND(Practices_SubPractices[CP]=2,Practices_SubPractices[Org]="Medium"),SUMIFS(Practices_SubPractices[D],Practices_SubPractices[CP],"2",Practices_SubPractices[Org],"Medium"),IF(AND(Practices_SubPractices[CP]=3,Practices_SubPractices[Org]="Medium"),SUMIFS(Practices_SubPractices[D],Practices_SubPractices[CP],"3",Practices_SubPractices[Org],"Medium"),IF(AND(Practices_SubPractices[CP]=4,Practices_SubPractices[Org]="Medium"),SUMIFS(Practices_SubPractices[D],Practices_SubPractices[CP],"4",Practices_SubPractices[Org],"Medium"),IF(AND(Practices_SubPractices[CP]=5,Practices_SubPractices[Org]="Medium"),SUMIFS(Practices_SubPractices[D],Practices_SubPractices[CP],"5",Practices_SubPractices[Org],"Medium"),IF(AND(Practices_SubPractices[CP]=6,Practices_SubPractices[Org]="Medium"),SUMIFS(Practices_SubPractices[D],Practices_SubPractices[CP],"6",Practices_SubPractices[Org],"Medium"),IF(AND(Practices_SubPractices[CP]=7,Practices_SubPractices[Org] ="Medium"),SUMIFS(Practices_SubPractices[D],Practices_SubPractices[CP],"7",Practices_SubPractices[Org],"Medium"),IF(AND(Practices_SubPractices[CP]=8,Practices_SubPractices[Org] ="Medium"),SUMIFS(Practices_SubPractices[D],Practices_SubPractices[CP],"8",Practices_SubPractices[Org],"Medium"),IF(AND(Practices_SubPractices[CP]=9,Practices_SubPractices[Org] ="Medium"),SUMIFS(Practices_SubPractices[D],Practices_SubPractices[CP],"9",Practices_SubPractices[Org],"Medium"),IF(AND(Practices_SubPractices[CP]=10,Practices_SubPractices[Org] ="Medium"),SUMIFS(Practices_SubPractices[D],Practices_SubPractices[CP],"10",Practices_SubPractices[Org],"Medium"),IF(AND(Practices_SubPractices[CP]=1,Practices_SubPractices[Org]="Large"),SUMIFS(Practices_SubPractices[D],Practices_SubPractices[CP],"1",Practices_SubPractices[Org],"Large"),IF(AND(Practices_SubPractices[CP]=2,Practices_SubPractices[Org]="Large"),SUMIFS(Practices_SubPractices[D],Practices_SubPractices[CP],"2",Practices_SubPractices[Org],"Large"),IF(AND(Practices_SubPractices[CP]=3,Practices_SubPractices[Org]="Large"),SUMIFS(Practices_SubPractices[D],Practices_SubPractices[CP],"3",Practices_SubPractices[Org],"Large"),IF(AND(Practices_SubPractices[CP]=4,Practices_SubPractices[Org]="Large"),SUMIFS(Practices_SubPractices[D],Practices_SubPractices[CP],"4",Practices_SubPractices[Org],"Large"),IF(AND(Practices_SubPractices[CP]=5,Practices_SubPractices[Org]="Large"),SUMIFS(Practices_SubPractices[D],Practices_SubPractices[CP],"5",Practices_SubPractices[Org],"Large"),IF(AND(Practices_SubPractices[CP]=6,Practices_SubPractices[Org]="Large"),SUMIFS(Practices_SubPractices[D],Practices_SubPractices[CP],"6",Practices_SubPractices[Org],"Large"),IF(AND(Practices_SubPractices[CP]=7,Practices_SubPractices[Org] ="Large"),SUMIFS(Practices_SubPractices[D],Practices_SubPractices[CP],"7",Practices_SubPractices[Org],"Large"),IF(AND(Practices_SubPractices[CP]=8,Practices_SubPractices[Org] ="Large"),SUMIFS(Practices_SubPractices[D],Practices_SubPractices[CP],"8",Practices_SubPractices[Org],"Large"),IF(AND(Practices_SubPractices[CP]=9,Practices_SubPractices[Org] ="Large"),SUMIFS(Practices_SubPractices[D],Practices_SubPractices[CP],"9",Practices_SubPractices[Org],"Large"),IF(AND(Practices_SubPractices[CP]=10,Practices_SubPractices[Org] ="Large"),SUMIFS(Practices_SubPractices[D],Practices_SubPractices[CP],"10",Practices_SubPractices[Org],"Large"),"TBD"))))))))))))))))))))))))))))))</f>
        <v>7</v>
      </c>
      <c r="R42" s="77">
        <f>IF(AND(Practices_SubPractices[CP]=1,Practices_SubPractices[Org]="Small"),SUMIFS(Practices_SubPractices[E],Practices_SubPractices[CP],"1",Practices_SubPractices[Org],"Small"),IF(AND(Practices_SubPractices[CP]=2,Practices_SubPractices[Org]="Small"),SUMIFS(Practices_SubPractices[E],Practices_SubPractices[CP],"2",Practices_SubPractices[Org],"Small"),IF(AND(Practices_SubPractices[CP]=3,Practices_SubPractices[Org]="Small"),SUMIFS(Practices_SubPractices[E],Practices_SubPractices[CP],"3",Practices_SubPractices[Org],"Small"),IF(AND(Practices_SubPractices[CP]=4,Practices_SubPractices[Org]="Small"),SUMIFS(Practices_SubPractices[E],Practices_SubPractices[CP],"4",Practices_SubPractices[Org],"Small"),IF(AND(Practices_SubPractices[CP]=5,Practices_SubPractices[Org]="Small"),SUMIFS(Practices_SubPractices[E],Practices_SubPractices[CP],"5",Practices_SubPractices[Org],"Small"),IF(AND(Practices_SubPractices[CP]=6,Practices_SubPractices[Org]="Small"),SUMIFS(Practices_SubPractices[E],Practices_SubPractices[CP],"6",Practices_SubPractices[Org],"Small"),IF(AND(Practices_SubPractices[CP]=7,Practices_SubPractices[Org] ="Small"),SUMIFS(Practices_SubPractices[E],Practices_SubPractices[CP],"7",Practices_SubPractices[Org],"Small"),IF(AND(Practices_SubPractices[CP]=8,Practices_SubPractices[Org] ="Small"),SUMIFS(Practices_SubPractices[E],Practices_SubPractices[CP],"8",Practices_SubPractices[Org],"Small"),IF(AND(Practices_SubPractices[CP]=9,Practices_SubPractices[Org] ="Small"),SUMIFS(Practices_SubPractices[E],Practices_SubPractices[CP],"9",Practices_SubPractices[Org],"Small"),IF(AND(Practices_SubPractices[CP]=10,Practices_SubPractices[Org] ="Small"),SUMIFS(Practices_SubPractices[E],Practices_SubPractices[CP],"10",Practices_SubPractices[Org],"Small"),IF(AND(Practices_SubPractices[CP]=1,Practices_SubPractices[Org]="Medium"),SUMIFS(Practices_SubPractices[E],Practices_SubPractices[CP],"1",Practices_SubPractices[Org],"Medium"),IF(AND(Practices_SubPractices[CP]=2,Practices_SubPractices[Org]="Medium"),SUMIFS(Practices_SubPractices[E],Practices_SubPractices[CP],"2",Practices_SubPractices[Org],"Medium"),IF(AND(Practices_SubPractices[CP]=3,Practices_SubPractices[Org]="Medium"),SUMIFS(Practices_SubPractices[E],Practices_SubPractices[CP],"3",Practices_SubPractices[Org],"Medium"),IF(AND(Practices_SubPractices[CP]=4,Practices_SubPractices[Org]="Medium"),SUMIFS(Practices_SubPractices[E],Practices_SubPractices[CP],"4",Practices_SubPractices[Org],"Medium"),IF(AND(Practices_SubPractices[CP]=5,Practices_SubPractices[Org]="Medium"),SUMIFS(Practices_SubPractices[E],Practices_SubPractices[CP],"5",Practices_SubPractices[Org],"Medium"),IF(AND(Practices_SubPractices[CP]=6,Practices_SubPractices[Org]="Medium"),SUMIFS(Practices_SubPractices[E],Practices_SubPractices[CP],"6",Practices_SubPractices[Org],"Medium"),IF(AND(Practices_SubPractices[CP]=7,Practices_SubPractices[Org] ="Medium"),SUMIFS(Practices_SubPractices[E],Practices_SubPractices[CP],"7",Practices_SubPractices[Org],"Medium"),IF(AND(Practices_SubPractices[CP]=8,Practices_SubPractices[Org] ="Medium"),SUMIFS(Practices_SubPractices[E],Practices_SubPractices[CP],"8",Practices_SubPractices[Org],"Medium"),IF(AND(Practices_SubPractices[CP]=9,Practices_SubPractices[Org] ="Medium"),SUMIFS(Practices_SubPractices[E],Practices_SubPractices[CP],"9",Practices_SubPractices[Org],"Medium"),IF(AND(Practices_SubPractices[CP]=10,Practices_SubPractices[Org] ="Medium"),SUMIFS(Practices_SubPractices[E],Practices_SubPractices[CP],"10",Practices_SubPractices[Org],"Medium"),IF(AND(Practices_SubPractices[CP]=1,Practices_SubPractices[Org]="Large"),SUMIFS(Practices_SubPractices[E],Practices_SubPractices[CP],"1",Practices_SubPractices[Org],"Large"),IF(AND(Practices_SubPractices[CP]=2,Practices_SubPractices[Org]="Large"),SUMIFS(Practices_SubPractices[E],Practices_SubPractices[CP],"2",Practices_SubPractices[Org],"Large"),IF(AND(Practices_SubPractices[CP]=3,Practices_SubPractices[Org]="Large"),SUMIFS(Practices_SubPractices[E],Practices_SubPractices[CP],"3",Practices_SubPractices[Org],"Large"),IF(AND(Practices_SubPractices[CP]=4,Practices_SubPractices[Org]="Large"),SUMIFS(Practices_SubPractices[E],Practices_SubPractices[CP],"4",Practices_SubPractices[Org],"Large"),IF(AND(Practices_SubPractices[CP]=5,Practices_SubPractices[Org]="Large"),SUMIFS(Practices_SubPractices[E],Practices_SubPractices[CP],"5",Practices_SubPractices[Org],"Large"),IF(AND(Practices_SubPractices[CP]=6,Practices_SubPractices[Org]="Large"),SUMIFS(Practices_SubPractices[E],Practices_SubPractices[CP],"6",Practices_SubPractices[Org],"Large"),IF(AND(Practices_SubPractices[CP]=7,Practices_SubPractices[Org] ="Large"),SUMIFS(Practices_SubPractices[E],Practices_SubPractices[CP],"7",Practices_SubPractices[Org],"Large"),IF(AND(Practices_SubPractices[CP]=8,Practices_SubPractices[Org] ="Large"),SUMIFS(Practices_SubPractices[E],Practices_SubPractices[CP],"8",Practices_SubPractices[Org],"Large"),IF(AND(Practices_SubPractices[CP]=9,Practices_SubPractices[Org] ="Large"),SUMIFS(Practices_SubPractices[E],Practices_SubPractices[CP],"9",Practices_SubPractices[Org],"Large"),IF(AND(Practices_SubPractices[CP]=10,Practices_SubPractices[Org] ="Large"),SUMIFS(Practices_SubPractices[E],Practices_SubPractices[CP],"10",Practices_SubPractices[Org],"Large"),"TBD"))))))))))))))))))))))))))))))</f>
        <v>5</v>
      </c>
      <c r="S42" s="87" t="s">
        <v>410</v>
      </c>
    </row>
    <row r="43" spans="1:19" x14ac:dyDescent="0.35">
      <c r="A43" s="73">
        <v>33</v>
      </c>
      <c r="B43" s="73">
        <v>3</v>
      </c>
      <c r="C43" s="73" t="s">
        <v>12</v>
      </c>
      <c r="D43" s="73" t="str">
        <f>Practices_SubPractices[[#This Row],[CP]]&amp;LEFT(Practices_SubPractices[[#This Row],[Org]],1)</f>
        <v>3L</v>
      </c>
      <c r="E43" s="73" t="s">
        <v>266</v>
      </c>
      <c r="F43" s="74" t="s">
        <v>80</v>
      </c>
      <c r="G43" s="74" t="s">
        <v>84</v>
      </c>
      <c r="H43" s="74" t="s">
        <v>208</v>
      </c>
      <c r="I43" s="75">
        <v>1</v>
      </c>
      <c r="J43" s="75">
        <v>1</v>
      </c>
      <c r="K43" s="75">
        <v>2</v>
      </c>
      <c r="L43" s="75">
        <v>1</v>
      </c>
      <c r="M43" s="75">
        <v>1</v>
      </c>
      <c r="N43" s="76"/>
      <c r="O43" s="77">
        <f>IF(AND(Practices_SubPractices[CP]=1,Practices_SubPractices[Org]="Small"),SUMIFS(Practices_SubPractices[B],Practices_SubPractices[CP],"1",Practices_SubPractices[Org],"Small"),IF(AND(Practices_SubPractices[CP]=2,Practices_SubPractices[Org]="Small"),SUMIFS(Practices_SubPractices[B],Practices_SubPractices[CP],"2",Practices_SubPractices[Org],"Small"),IF(AND(Practices_SubPractices[CP]=3,Practices_SubPractices[Org]="Small"),SUMIFS(Practices_SubPractices[B],Practices_SubPractices[CP],"3",Practices_SubPractices[Org],"Small"),IF(AND(Practices_SubPractices[CP]=4,Practices_SubPractices[Org]="Small"),SUMIFS(Practices_SubPractices[B],Practices_SubPractices[CP],"4",Practices_SubPractices[Org],"Small"),IF(AND(Practices_SubPractices[CP]=5,Practices_SubPractices[Org]="Small"),SUMIFS(Practices_SubPractices[B],Practices_SubPractices[CP],"5",Practices_SubPractices[Org],"Small"),IF(AND(Practices_SubPractices[CP]=6,Practices_SubPractices[Org]="Small"),SUMIFS(Practices_SubPractices[B],Practices_SubPractices[CP],"6",Practices_SubPractices[Org],"Small"),IF(AND(Practices_SubPractices[CP]=7,Practices_SubPractices[Org] ="Small"),SUMIFS(Practices_SubPractices[B],Practices_SubPractices[CP],"7",Practices_SubPractices[Org],"Small"),IF(AND(Practices_SubPractices[CP]=8,Practices_SubPractices[Org] ="Small"),SUMIFS(Practices_SubPractices[B],Practices_SubPractices[CP],"8",Practices_SubPractices[Org],"Small"),IF(AND(Practices_SubPractices[CP]=9,Practices_SubPractices[Org] ="Small"),SUMIFS(Practices_SubPractices[B],Practices_SubPractices[CP],"9",Practices_SubPractices[Org],"Small"),IF(AND(Practices_SubPractices[CP]=10,Practices_SubPractices[Org] ="Small"),SUMIFS(Practices_SubPractices[B],Practices_SubPractices[CP],"10",Practices_SubPractices[Org],"Small"),IF(AND(Practices_SubPractices[CP]=1,Practices_SubPractices[Org]="Medium"),SUMIFS(Practices_SubPractices[B],Practices_SubPractices[CP],"1",Practices_SubPractices[Org],"Medium"),IF(AND(Practices_SubPractices[CP]=2,Practices_SubPractices[Org]="Medium"),SUMIFS(Practices_SubPractices[B],Practices_SubPractices[CP],"2",Practices_SubPractices[Org],"Medium"),IF(AND(Practices_SubPractices[CP]=3,Practices_SubPractices[Org]="Medium"),SUMIFS(Practices_SubPractices[B],Practices_SubPractices[CP],"3",Practices_SubPractices[Org],"Medium"),IF(AND(Practices_SubPractices[CP]=4,Practices_SubPractices[Org]="Medium"),SUMIFS(Practices_SubPractices[B],Practices_SubPractices[CP],"4",Practices_SubPractices[Org],"Medium"),IF(AND(Practices_SubPractices[CP]=5,Practices_SubPractices[Org]="Medium"),SUMIFS(Practices_SubPractices[B],Practices_SubPractices[CP],"5",Practices_SubPractices[Org],"Medium"),IF(AND(Practices_SubPractices[CP]=6,Practices_SubPractices[Org]="Medium"),SUMIFS(Practices_SubPractices[B],Practices_SubPractices[CP],"6",Practices_SubPractices[Org],"Medium"),IF(AND(Practices_SubPractices[CP]=7,Practices_SubPractices[Org] ="Medium"),SUMIFS(Practices_SubPractices[B],Practices_SubPractices[CP],"7",Practices_SubPractices[Org],"Medium"),IF(AND(Practices_SubPractices[CP]=8,Practices_SubPractices[Org] ="Medium"),SUMIFS(Practices_SubPractices[B],Practices_SubPractices[CP],"8",Practices_SubPractices[Org],"Medium"),IF(AND(Practices_SubPractices[CP]=9,Practices_SubPractices[Org] ="Medium"),SUMIFS(Practices_SubPractices[B],Practices_SubPractices[CP],"9",Practices_SubPractices[Org],"Medium"),IF(AND(Practices_SubPractices[CP]=10,Practices_SubPractices[Org] ="Medium"),SUMIFS(Practices_SubPractices[B],Practices_SubPractices[CP],"10",Practices_SubPractices[Org],"Medium"),IF(AND(Practices_SubPractices[CP]=1,Practices_SubPractices[Org]="Large"),SUMIFS(Practices_SubPractices[B],Practices_SubPractices[CP],"1",Practices_SubPractices[Org],"Large"),IF(AND(Practices_SubPractices[CP]=2,Practices_SubPractices[Org]="Large"),SUMIFS(Practices_SubPractices[B],Practices_SubPractices[CP],"2",Practices_SubPractices[Org],"Large"),IF(AND(Practices_SubPractices[CP]=3,Practices_SubPractices[Org]="Large"),SUMIFS(Practices_SubPractices[B],Practices_SubPractices[CP],"3",Practices_SubPractices[Org],"Large"),IF(AND(Practices_SubPractices[CP]=4,Practices_SubPractices[Org]="Large"),SUMIFS(Practices_SubPractices[B],Practices_SubPractices[CP],"4",Practices_SubPractices[Org],"Large"),IF(AND(Practices_SubPractices[CP]=5,Practices_SubPractices[Org]="Large"),SUMIFS(Practices_SubPractices[B],Practices_SubPractices[CP],"5",Practices_SubPractices[Org],"Large"),IF(AND(Practices_SubPractices[CP]=6,Practices_SubPractices[Org]="Large"),SUMIFS(Practices_SubPractices[B],Practices_SubPractices[CP],"6",Practices_SubPractices[Org],"Large"),IF(AND(Practices_SubPractices[CP]=7,Practices_SubPractices[Org] ="Large"),SUMIFS(Practices_SubPractices[B],Practices_SubPractices[CP],"7",Practices_SubPractices[Org],"Large"),IF(AND(Practices_SubPractices[CP]=8,Practices_SubPractices[Org] ="Large"),SUMIFS(Practices_SubPractices[B],Practices_SubPractices[CP],"8",Practices_SubPractices[Org],"Large"),IF(AND(Practices_SubPractices[CP]=9,Practices_SubPractices[Org] ="Large"),SUMIFS(Practices_SubPractices[B],Practices_SubPractices[CP],"9",Practices_SubPractices[Org],"Large"),IF(AND(Practices_SubPractices[CP]=10,Practices_SubPractices[Org] ="Large"),SUMIFS(Practices_SubPractices[B],Practices_SubPractices[CP],"10",Practices_SubPractices[Org],"Large"),"TBD"))))))))))))))))))))))))))))))</f>
        <v>12</v>
      </c>
      <c r="P43" s="77">
        <f>IF(AND(Practices_SubPractices[CP]=1,Practices_SubPractices[Org]="Small"),SUMIFS(Practices_SubPractices[C],Practices_SubPractices[CP],"1",Practices_SubPractices[Org],"Small"),IF(AND(Practices_SubPractices[CP]=2,Practices_SubPractices[Org]="Small"),SUMIFS(Practices_SubPractices[C],Practices_SubPractices[CP],"2",Practices_SubPractices[Org],"Small"),IF(AND(Practices_SubPractices[CP]=3,Practices_SubPractices[Org]="Small"),SUMIFS(Practices_SubPractices[C],Practices_SubPractices[CP],"3",Practices_SubPractices[Org],"Small"),IF(AND(Practices_SubPractices[CP]=4,Practices_SubPractices[Org]="Small"),SUMIFS(Practices_SubPractices[C],Practices_SubPractices[CP],"4",Practices_SubPractices[Org],"Small"),IF(AND(Practices_SubPractices[CP]=5,Practices_SubPractices[Org]="Small"),SUMIFS(Practices_SubPractices[C],Practices_SubPractices[CP],"5",Practices_SubPractices[Org],"Small"),IF(AND(Practices_SubPractices[CP]=6,Practices_SubPractices[Org]="Small"),SUMIFS(Practices_SubPractices[C],Practices_SubPractices[CP],"6",Practices_SubPractices[Org],"Small"),IF(AND(Practices_SubPractices[CP]=7,Practices_SubPractices[Org] ="Small"),SUMIFS(Practices_SubPractices[C],Practices_SubPractices[CP],"7",Practices_SubPractices[Org],"Small"),IF(AND(Practices_SubPractices[CP]=8,Practices_SubPractices[Org] ="Small"),SUMIFS(Practices_SubPractices[C],Practices_SubPractices[CP],"8",Practices_SubPractices[Org],"Small"),IF(AND(Practices_SubPractices[CP]=9,Practices_SubPractices[Org] ="Small"),SUMIFS(Practices_SubPractices[C],Practices_SubPractices[CP],"9",Practices_SubPractices[Org],"Small"),IF(AND(Practices_SubPractices[CP]=10,Practices_SubPractices[Org] ="Small"),SUMIFS(Practices_SubPractices[C],Practices_SubPractices[CP],"10",Practices_SubPractices[Org],"Small"),IF(AND(Practices_SubPractices[CP]=1,Practices_SubPractices[Org]="Medium"),SUMIFS(Practices_SubPractices[C],Practices_SubPractices[CP],"1",Practices_SubPractices[Org],"Medium"),IF(AND(Practices_SubPractices[CP]=2,Practices_SubPractices[Org]="Medium"),SUMIFS(Practices_SubPractices[C],Practices_SubPractices[CP],"2",Practices_SubPractices[Org],"Medium"),IF(AND(Practices_SubPractices[CP]=3,Practices_SubPractices[Org]="Medium"),SUMIFS(Practices_SubPractices[C],Practices_SubPractices[CP],"3",Practices_SubPractices[Org],"Medium"),IF(AND(Practices_SubPractices[CP]=4,Practices_SubPractices[Org]="Medium"),SUMIFS(Practices_SubPractices[C],Practices_SubPractices[CP],"4",Practices_SubPractices[Org],"Medium"),IF(AND(Practices_SubPractices[CP]=5,Practices_SubPractices[Org]="Medium"),SUMIFS(Practices_SubPractices[C],Practices_SubPractices[CP],"5",Practices_SubPractices[Org],"Medium"),IF(AND(Practices_SubPractices[CP]=6,Practices_SubPractices[Org]="Medium"),SUMIFS(Practices_SubPractices[C],Practices_SubPractices[CP],"6",Practices_SubPractices[Org],"Medium"),IF(AND(Practices_SubPractices[CP]=7,Practices_SubPractices[Org] ="Medium"),SUMIFS(Practices_SubPractices[C],Practices_SubPractices[CP],"7",Practices_SubPractices[Org],"Medium"),IF(AND(Practices_SubPractices[CP]=8,Practices_SubPractices[Org] ="Medium"),SUMIFS(Practices_SubPractices[C],Practices_SubPractices[CP],"8",Practices_SubPractices[Org],"Medium"),IF(AND(Practices_SubPractices[CP]=9,Practices_SubPractices[Org] ="Medium"),SUMIFS(Practices_SubPractices[C],Practices_SubPractices[CP],"9",Practices_SubPractices[Org],"Medium"),IF(AND(Practices_SubPractices[CP]=10,Practices_SubPractices[Org] ="Medium"),SUMIFS(Practices_SubPractices[C],Practices_SubPractices[CP],"10",Practices_SubPractices[Org],"Medium"),IF(AND(Practices_SubPractices[CP]=1,Practices_SubPractices[Org]="Large"),SUMIFS(Practices_SubPractices[C],Practices_SubPractices[CP],"1",Practices_SubPractices[Org],"Large"),IF(AND(Practices_SubPractices[CP]=2,Practices_SubPractices[Org]="Large"),SUMIFS(Practices_SubPractices[C],Practices_SubPractices[CP],"2",Practices_SubPractices[Org],"Large"),IF(AND(Practices_SubPractices[CP]=3,Practices_SubPractices[Org]="Large"),SUMIFS(Practices_SubPractices[C],Practices_SubPractices[CP],"3",Practices_SubPractices[Org],"Large"),IF(AND(Practices_SubPractices[CP]=4,Practices_SubPractices[Org]="Large"),SUMIFS(Practices_SubPractices[C],Practices_SubPractices[CP],"4",Practices_SubPractices[Org],"Large"),IF(AND(Practices_SubPractices[CP]=5,Practices_SubPractices[Org]="Large"),SUMIFS(Practices_SubPractices[C],Practices_SubPractices[CP],"5",Practices_SubPractices[Org],"Large"),IF(AND(Practices_SubPractices[CP]=6,Practices_SubPractices[Org]="Large"),SUMIFS(Practices_SubPractices[C],Practices_SubPractices[CP],"6",Practices_SubPractices[Org],"Large"),IF(AND(Practices_SubPractices[CP]=7,Practices_SubPractices[Org] ="Large"),SUMIFS(Practices_SubPractices[C],Practices_SubPractices[CP],"7",Practices_SubPractices[Org],"Large"),IF(AND(Practices_SubPractices[CP]=8,Practices_SubPractices[Org] ="Large"),SUMIFS(Practices_SubPractices[C],Practices_SubPractices[CP],"8",Practices_SubPractices[Org],"Large"),IF(AND(Practices_SubPractices[CP]=9,Practices_SubPractices[Org] ="Large"),SUMIFS(Practices_SubPractices[C],Practices_SubPractices[CP],"9",Practices_SubPractices[Org],"Large"),IF(AND(Practices_SubPractices[CP]=10,Practices_SubPractices[Org] ="Large"),SUMIFS(Practices_SubPractices[C],Practices_SubPractices[CP],"10",Practices_SubPractices[Org],"Large"),"TBD"))))))))))))))))))))))))))))))</f>
        <v>6</v>
      </c>
      <c r="Q43" s="77">
        <f>IF(AND(Practices_SubPractices[CP]=1,Practices_SubPractices[Org]="Small"),SUMIFS(Practices_SubPractices[D],Practices_SubPractices[CP],"1",Practices_SubPractices[Org],"Small"),IF(AND(Practices_SubPractices[CP]=2,Practices_SubPractices[Org]="Small"),SUMIFS(Practices_SubPractices[D],Practices_SubPractices[CP],"2",Practices_SubPractices[Org],"Small"),IF(AND(Practices_SubPractices[CP]=3,Practices_SubPractices[Org]="Small"),SUMIFS(Practices_SubPractices[D],Practices_SubPractices[CP],"3",Practices_SubPractices[Org],"Small"),IF(AND(Practices_SubPractices[CP]=4,Practices_SubPractices[Org]="Small"),SUMIFS(Practices_SubPractices[D],Practices_SubPractices[CP],"4",Practices_SubPractices[Org],"Small"),IF(AND(Practices_SubPractices[CP]=5,Practices_SubPractices[Org]="Small"),SUMIFS(Practices_SubPractices[D],Practices_SubPractices[CP],"5",Practices_SubPractices[Org],"Small"),IF(AND(Practices_SubPractices[CP]=6,Practices_SubPractices[Org]="Small"),SUMIFS(Practices_SubPractices[D],Practices_SubPractices[CP],"6",Practices_SubPractices[Org],"Small"),IF(AND(Practices_SubPractices[CP]=7,Practices_SubPractices[Org] ="Small"),SUMIFS(Practices_SubPractices[D],Practices_SubPractices[CP],"7",Practices_SubPractices[Org],"Small"),IF(AND(Practices_SubPractices[CP]=8,Practices_SubPractices[Org] ="Small"),SUMIFS(Practices_SubPractices[D],Practices_SubPractices[CP],"8",Practices_SubPractices[Org],"Small"),IF(AND(Practices_SubPractices[CP]=9,Practices_SubPractices[Org] ="Small"),SUMIFS(Practices_SubPractices[D],Practices_SubPractices[CP],"9",Practices_SubPractices[Org],"Small"),IF(AND(Practices_SubPractices[CP]=10,Practices_SubPractices[Org] ="Small"),SUMIFS(Practices_SubPractices[D],Practices_SubPractices[CP],"10",Practices_SubPractices[Org],"Small"),IF(AND(Practices_SubPractices[CP]=1,Practices_SubPractices[Org]="Medium"),SUMIFS(Practices_SubPractices[D],Practices_SubPractices[CP],"1",Practices_SubPractices[Org],"Medium"),IF(AND(Practices_SubPractices[CP]=2,Practices_SubPractices[Org]="Medium"),SUMIFS(Practices_SubPractices[D],Practices_SubPractices[CP],"2",Practices_SubPractices[Org],"Medium"),IF(AND(Practices_SubPractices[CP]=3,Practices_SubPractices[Org]="Medium"),SUMIFS(Practices_SubPractices[D],Practices_SubPractices[CP],"3",Practices_SubPractices[Org],"Medium"),IF(AND(Practices_SubPractices[CP]=4,Practices_SubPractices[Org]="Medium"),SUMIFS(Practices_SubPractices[D],Practices_SubPractices[CP],"4",Practices_SubPractices[Org],"Medium"),IF(AND(Practices_SubPractices[CP]=5,Practices_SubPractices[Org]="Medium"),SUMIFS(Practices_SubPractices[D],Practices_SubPractices[CP],"5",Practices_SubPractices[Org],"Medium"),IF(AND(Practices_SubPractices[CP]=6,Practices_SubPractices[Org]="Medium"),SUMIFS(Practices_SubPractices[D],Practices_SubPractices[CP],"6",Practices_SubPractices[Org],"Medium"),IF(AND(Practices_SubPractices[CP]=7,Practices_SubPractices[Org] ="Medium"),SUMIFS(Practices_SubPractices[D],Practices_SubPractices[CP],"7",Practices_SubPractices[Org],"Medium"),IF(AND(Practices_SubPractices[CP]=8,Practices_SubPractices[Org] ="Medium"),SUMIFS(Practices_SubPractices[D],Practices_SubPractices[CP],"8",Practices_SubPractices[Org],"Medium"),IF(AND(Practices_SubPractices[CP]=9,Practices_SubPractices[Org] ="Medium"),SUMIFS(Practices_SubPractices[D],Practices_SubPractices[CP],"9",Practices_SubPractices[Org],"Medium"),IF(AND(Practices_SubPractices[CP]=10,Practices_SubPractices[Org] ="Medium"),SUMIFS(Practices_SubPractices[D],Practices_SubPractices[CP],"10",Practices_SubPractices[Org],"Medium"),IF(AND(Practices_SubPractices[CP]=1,Practices_SubPractices[Org]="Large"),SUMIFS(Practices_SubPractices[D],Practices_SubPractices[CP],"1",Practices_SubPractices[Org],"Large"),IF(AND(Practices_SubPractices[CP]=2,Practices_SubPractices[Org]="Large"),SUMIFS(Practices_SubPractices[D],Practices_SubPractices[CP],"2",Practices_SubPractices[Org],"Large"),IF(AND(Practices_SubPractices[CP]=3,Practices_SubPractices[Org]="Large"),SUMIFS(Practices_SubPractices[D],Practices_SubPractices[CP],"3",Practices_SubPractices[Org],"Large"),IF(AND(Practices_SubPractices[CP]=4,Practices_SubPractices[Org]="Large"),SUMIFS(Practices_SubPractices[D],Practices_SubPractices[CP],"4",Practices_SubPractices[Org],"Large"),IF(AND(Practices_SubPractices[CP]=5,Practices_SubPractices[Org]="Large"),SUMIFS(Practices_SubPractices[D],Practices_SubPractices[CP],"5",Practices_SubPractices[Org],"Large"),IF(AND(Practices_SubPractices[CP]=6,Practices_SubPractices[Org]="Large"),SUMIFS(Practices_SubPractices[D],Practices_SubPractices[CP],"6",Practices_SubPractices[Org],"Large"),IF(AND(Practices_SubPractices[CP]=7,Practices_SubPractices[Org] ="Large"),SUMIFS(Practices_SubPractices[D],Practices_SubPractices[CP],"7",Practices_SubPractices[Org],"Large"),IF(AND(Practices_SubPractices[CP]=8,Practices_SubPractices[Org] ="Large"),SUMIFS(Practices_SubPractices[D],Practices_SubPractices[CP],"8",Practices_SubPractices[Org],"Large"),IF(AND(Practices_SubPractices[CP]=9,Practices_SubPractices[Org] ="Large"),SUMIFS(Practices_SubPractices[D],Practices_SubPractices[CP],"9",Practices_SubPractices[Org],"Large"),IF(AND(Practices_SubPractices[CP]=10,Practices_SubPractices[Org] ="Large"),SUMIFS(Practices_SubPractices[D],Practices_SubPractices[CP],"10",Practices_SubPractices[Org],"Large"),"TBD"))))))))))))))))))))))))))))))</f>
        <v>11</v>
      </c>
      <c r="R43" s="77">
        <f>IF(AND(Practices_SubPractices[CP]=1,Practices_SubPractices[Org]="Small"),SUMIFS(Practices_SubPractices[E],Practices_SubPractices[CP],"1",Practices_SubPractices[Org],"Small"),IF(AND(Practices_SubPractices[CP]=2,Practices_SubPractices[Org]="Small"),SUMIFS(Practices_SubPractices[E],Practices_SubPractices[CP],"2",Practices_SubPractices[Org],"Small"),IF(AND(Practices_SubPractices[CP]=3,Practices_SubPractices[Org]="Small"),SUMIFS(Practices_SubPractices[E],Practices_SubPractices[CP],"3",Practices_SubPractices[Org],"Small"),IF(AND(Practices_SubPractices[CP]=4,Practices_SubPractices[Org]="Small"),SUMIFS(Practices_SubPractices[E],Practices_SubPractices[CP],"4",Practices_SubPractices[Org],"Small"),IF(AND(Practices_SubPractices[CP]=5,Practices_SubPractices[Org]="Small"),SUMIFS(Practices_SubPractices[E],Practices_SubPractices[CP],"5",Practices_SubPractices[Org],"Small"),IF(AND(Practices_SubPractices[CP]=6,Practices_SubPractices[Org]="Small"),SUMIFS(Practices_SubPractices[E],Practices_SubPractices[CP],"6",Practices_SubPractices[Org],"Small"),IF(AND(Practices_SubPractices[CP]=7,Practices_SubPractices[Org] ="Small"),SUMIFS(Practices_SubPractices[E],Practices_SubPractices[CP],"7",Practices_SubPractices[Org],"Small"),IF(AND(Practices_SubPractices[CP]=8,Practices_SubPractices[Org] ="Small"),SUMIFS(Practices_SubPractices[E],Practices_SubPractices[CP],"8",Practices_SubPractices[Org],"Small"),IF(AND(Practices_SubPractices[CP]=9,Practices_SubPractices[Org] ="Small"),SUMIFS(Practices_SubPractices[E],Practices_SubPractices[CP],"9",Practices_SubPractices[Org],"Small"),IF(AND(Practices_SubPractices[CP]=10,Practices_SubPractices[Org] ="Small"),SUMIFS(Practices_SubPractices[E],Practices_SubPractices[CP],"10",Practices_SubPractices[Org],"Small"),IF(AND(Practices_SubPractices[CP]=1,Practices_SubPractices[Org]="Medium"),SUMIFS(Practices_SubPractices[E],Practices_SubPractices[CP],"1",Practices_SubPractices[Org],"Medium"),IF(AND(Practices_SubPractices[CP]=2,Practices_SubPractices[Org]="Medium"),SUMIFS(Practices_SubPractices[E],Practices_SubPractices[CP],"2",Practices_SubPractices[Org],"Medium"),IF(AND(Practices_SubPractices[CP]=3,Practices_SubPractices[Org]="Medium"),SUMIFS(Practices_SubPractices[E],Practices_SubPractices[CP],"3",Practices_SubPractices[Org],"Medium"),IF(AND(Practices_SubPractices[CP]=4,Practices_SubPractices[Org]="Medium"),SUMIFS(Practices_SubPractices[E],Practices_SubPractices[CP],"4",Practices_SubPractices[Org],"Medium"),IF(AND(Practices_SubPractices[CP]=5,Practices_SubPractices[Org]="Medium"),SUMIFS(Practices_SubPractices[E],Practices_SubPractices[CP],"5",Practices_SubPractices[Org],"Medium"),IF(AND(Practices_SubPractices[CP]=6,Practices_SubPractices[Org]="Medium"),SUMIFS(Practices_SubPractices[E],Practices_SubPractices[CP],"6",Practices_SubPractices[Org],"Medium"),IF(AND(Practices_SubPractices[CP]=7,Practices_SubPractices[Org] ="Medium"),SUMIFS(Practices_SubPractices[E],Practices_SubPractices[CP],"7",Practices_SubPractices[Org],"Medium"),IF(AND(Practices_SubPractices[CP]=8,Practices_SubPractices[Org] ="Medium"),SUMIFS(Practices_SubPractices[E],Practices_SubPractices[CP],"8",Practices_SubPractices[Org],"Medium"),IF(AND(Practices_SubPractices[CP]=9,Practices_SubPractices[Org] ="Medium"),SUMIFS(Practices_SubPractices[E],Practices_SubPractices[CP],"9",Practices_SubPractices[Org],"Medium"),IF(AND(Practices_SubPractices[CP]=10,Practices_SubPractices[Org] ="Medium"),SUMIFS(Practices_SubPractices[E],Practices_SubPractices[CP],"10",Practices_SubPractices[Org],"Medium"),IF(AND(Practices_SubPractices[CP]=1,Practices_SubPractices[Org]="Large"),SUMIFS(Practices_SubPractices[E],Practices_SubPractices[CP],"1",Practices_SubPractices[Org],"Large"),IF(AND(Practices_SubPractices[CP]=2,Practices_SubPractices[Org]="Large"),SUMIFS(Practices_SubPractices[E],Practices_SubPractices[CP],"2",Practices_SubPractices[Org],"Large"),IF(AND(Practices_SubPractices[CP]=3,Practices_SubPractices[Org]="Large"),SUMIFS(Practices_SubPractices[E],Practices_SubPractices[CP],"3",Practices_SubPractices[Org],"Large"),IF(AND(Practices_SubPractices[CP]=4,Practices_SubPractices[Org]="Large"),SUMIFS(Practices_SubPractices[E],Practices_SubPractices[CP],"4",Practices_SubPractices[Org],"Large"),IF(AND(Practices_SubPractices[CP]=5,Practices_SubPractices[Org]="Large"),SUMIFS(Practices_SubPractices[E],Practices_SubPractices[CP],"5",Practices_SubPractices[Org],"Large"),IF(AND(Practices_SubPractices[CP]=6,Practices_SubPractices[Org]="Large"),SUMIFS(Practices_SubPractices[E],Practices_SubPractices[CP],"6",Practices_SubPractices[Org],"Large"),IF(AND(Practices_SubPractices[CP]=7,Practices_SubPractices[Org] ="Large"),SUMIFS(Practices_SubPractices[E],Practices_SubPractices[CP],"7",Practices_SubPractices[Org],"Large"),IF(AND(Practices_SubPractices[CP]=8,Practices_SubPractices[Org] ="Large"),SUMIFS(Practices_SubPractices[E],Practices_SubPractices[CP],"8",Practices_SubPractices[Org],"Large"),IF(AND(Practices_SubPractices[CP]=9,Practices_SubPractices[Org] ="Large"),SUMIFS(Practices_SubPractices[E],Practices_SubPractices[CP],"9",Practices_SubPractices[Org],"Large"),IF(AND(Practices_SubPractices[CP]=10,Practices_SubPractices[Org] ="Large"),SUMIFS(Practices_SubPractices[E],Practices_SubPractices[CP],"10",Practices_SubPractices[Org],"Large"),"TBD"))))))))))))))))))))))))))))))</f>
        <v>8</v>
      </c>
      <c r="S43" s="87" t="s">
        <v>410</v>
      </c>
    </row>
    <row r="44" spans="1:19" x14ac:dyDescent="0.35">
      <c r="A44" s="73">
        <v>34</v>
      </c>
      <c r="B44" s="73">
        <v>3</v>
      </c>
      <c r="C44" s="73" t="s">
        <v>11</v>
      </c>
      <c r="D44" s="73" t="str">
        <f>Practices_SubPractices[[#This Row],[CP]]&amp;LEFT(Practices_SubPractices[[#This Row],[Org]],1)</f>
        <v>3M</v>
      </c>
      <c r="E44" s="73" t="s">
        <v>267</v>
      </c>
      <c r="F44" s="74" t="s">
        <v>81</v>
      </c>
      <c r="G44" s="74" t="s">
        <v>85</v>
      </c>
      <c r="H44" s="74" t="s">
        <v>209</v>
      </c>
      <c r="I44" s="75">
        <v>0</v>
      </c>
      <c r="J44" s="75">
        <v>2</v>
      </c>
      <c r="K44" s="75">
        <v>2</v>
      </c>
      <c r="L44" s="75">
        <v>2</v>
      </c>
      <c r="M44" s="75">
        <v>1</v>
      </c>
      <c r="N44" s="76"/>
      <c r="O44" s="77">
        <f>IF(AND(Practices_SubPractices[CP]=1,Practices_SubPractices[Org]="Small"),SUMIFS(Practices_SubPractices[B],Practices_SubPractices[CP],"1",Practices_SubPractices[Org],"Small"),IF(AND(Practices_SubPractices[CP]=2,Practices_SubPractices[Org]="Small"),SUMIFS(Practices_SubPractices[B],Practices_SubPractices[CP],"2",Practices_SubPractices[Org],"Small"),IF(AND(Practices_SubPractices[CP]=3,Practices_SubPractices[Org]="Small"),SUMIFS(Practices_SubPractices[B],Practices_SubPractices[CP],"3",Practices_SubPractices[Org],"Small"),IF(AND(Practices_SubPractices[CP]=4,Practices_SubPractices[Org]="Small"),SUMIFS(Practices_SubPractices[B],Practices_SubPractices[CP],"4",Practices_SubPractices[Org],"Small"),IF(AND(Practices_SubPractices[CP]=5,Practices_SubPractices[Org]="Small"),SUMIFS(Practices_SubPractices[B],Practices_SubPractices[CP],"5",Practices_SubPractices[Org],"Small"),IF(AND(Practices_SubPractices[CP]=6,Practices_SubPractices[Org]="Small"),SUMIFS(Practices_SubPractices[B],Practices_SubPractices[CP],"6",Practices_SubPractices[Org],"Small"),IF(AND(Practices_SubPractices[CP]=7,Practices_SubPractices[Org] ="Small"),SUMIFS(Practices_SubPractices[B],Practices_SubPractices[CP],"7",Practices_SubPractices[Org],"Small"),IF(AND(Practices_SubPractices[CP]=8,Practices_SubPractices[Org] ="Small"),SUMIFS(Practices_SubPractices[B],Practices_SubPractices[CP],"8",Practices_SubPractices[Org],"Small"),IF(AND(Practices_SubPractices[CP]=9,Practices_SubPractices[Org] ="Small"),SUMIFS(Practices_SubPractices[B],Practices_SubPractices[CP],"9",Practices_SubPractices[Org],"Small"),IF(AND(Practices_SubPractices[CP]=10,Practices_SubPractices[Org] ="Small"),SUMIFS(Practices_SubPractices[B],Practices_SubPractices[CP],"10",Practices_SubPractices[Org],"Small"),IF(AND(Practices_SubPractices[CP]=1,Practices_SubPractices[Org]="Medium"),SUMIFS(Practices_SubPractices[B],Practices_SubPractices[CP],"1",Practices_SubPractices[Org],"Medium"),IF(AND(Practices_SubPractices[CP]=2,Practices_SubPractices[Org]="Medium"),SUMIFS(Practices_SubPractices[B],Practices_SubPractices[CP],"2",Practices_SubPractices[Org],"Medium"),IF(AND(Practices_SubPractices[CP]=3,Practices_SubPractices[Org]="Medium"),SUMIFS(Practices_SubPractices[B],Practices_SubPractices[CP],"3",Practices_SubPractices[Org],"Medium"),IF(AND(Practices_SubPractices[CP]=4,Practices_SubPractices[Org]="Medium"),SUMIFS(Practices_SubPractices[B],Practices_SubPractices[CP],"4",Practices_SubPractices[Org],"Medium"),IF(AND(Practices_SubPractices[CP]=5,Practices_SubPractices[Org]="Medium"),SUMIFS(Practices_SubPractices[B],Practices_SubPractices[CP],"5",Practices_SubPractices[Org],"Medium"),IF(AND(Practices_SubPractices[CP]=6,Practices_SubPractices[Org]="Medium"),SUMIFS(Practices_SubPractices[B],Practices_SubPractices[CP],"6",Practices_SubPractices[Org],"Medium"),IF(AND(Practices_SubPractices[CP]=7,Practices_SubPractices[Org] ="Medium"),SUMIFS(Practices_SubPractices[B],Practices_SubPractices[CP],"7",Practices_SubPractices[Org],"Medium"),IF(AND(Practices_SubPractices[CP]=8,Practices_SubPractices[Org] ="Medium"),SUMIFS(Practices_SubPractices[B],Practices_SubPractices[CP],"8",Practices_SubPractices[Org],"Medium"),IF(AND(Practices_SubPractices[CP]=9,Practices_SubPractices[Org] ="Medium"),SUMIFS(Practices_SubPractices[B],Practices_SubPractices[CP],"9",Practices_SubPractices[Org],"Medium"),IF(AND(Practices_SubPractices[CP]=10,Practices_SubPractices[Org] ="Medium"),SUMIFS(Practices_SubPractices[B],Practices_SubPractices[CP],"10",Practices_SubPractices[Org],"Medium"),IF(AND(Practices_SubPractices[CP]=1,Practices_SubPractices[Org]="Large"),SUMIFS(Practices_SubPractices[B],Practices_SubPractices[CP],"1",Practices_SubPractices[Org],"Large"),IF(AND(Practices_SubPractices[CP]=2,Practices_SubPractices[Org]="Large"),SUMIFS(Practices_SubPractices[B],Practices_SubPractices[CP],"2",Practices_SubPractices[Org],"Large"),IF(AND(Practices_SubPractices[CP]=3,Practices_SubPractices[Org]="Large"),SUMIFS(Practices_SubPractices[B],Practices_SubPractices[CP],"3",Practices_SubPractices[Org],"Large"),IF(AND(Practices_SubPractices[CP]=4,Practices_SubPractices[Org]="Large"),SUMIFS(Practices_SubPractices[B],Practices_SubPractices[CP],"4",Practices_SubPractices[Org],"Large"),IF(AND(Practices_SubPractices[CP]=5,Practices_SubPractices[Org]="Large"),SUMIFS(Practices_SubPractices[B],Practices_SubPractices[CP],"5",Practices_SubPractices[Org],"Large"),IF(AND(Practices_SubPractices[CP]=6,Practices_SubPractices[Org]="Large"),SUMIFS(Practices_SubPractices[B],Practices_SubPractices[CP],"6",Practices_SubPractices[Org],"Large"),IF(AND(Practices_SubPractices[CP]=7,Practices_SubPractices[Org] ="Large"),SUMIFS(Practices_SubPractices[B],Practices_SubPractices[CP],"7",Practices_SubPractices[Org],"Large"),IF(AND(Practices_SubPractices[CP]=8,Practices_SubPractices[Org] ="Large"),SUMIFS(Practices_SubPractices[B],Practices_SubPractices[CP],"8",Practices_SubPractices[Org],"Large"),IF(AND(Practices_SubPractices[CP]=9,Practices_SubPractices[Org] ="Large"),SUMIFS(Practices_SubPractices[B],Practices_SubPractices[CP],"9",Practices_SubPractices[Org],"Large"),IF(AND(Practices_SubPractices[CP]=10,Practices_SubPractices[Org] ="Large"),SUMIFS(Practices_SubPractices[B],Practices_SubPractices[CP],"10",Practices_SubPractices[Org],"Large"),"TBD"))))))))))))))))))))))))))))))</f>
        <v>6</v>
      </c>
      <c r="P44" s="77">
        <f>IF(AND(Practices_SubPractices[CP]=1,Practices_SubPractices[Org]="Small"),SUMIFS(Practices_SubPractices[C],Practices_SubPractices[CP],"1",Practices_SubPractices[Org],"Small"),IF(AND(Practices_SubPractices[CP]=2,Practices_SubPractices[Org]="Small"),SUMIFS(Practices_SubPractices[C],Practices_SubPractices[CP],"2",Practices_SubPractices[Org],"Small"),IF(AND(Practices_SubPractices[CP]=3,Practices_SubPractices[Org]="Small"),SUMIFS(Practices_SubPractices[C],Practices_SubPractices[CP],"3",Practices_SubPractices[Org],"Small"),IF(AND(Practices_SubPractices[CP]=4,Practices_SubPractices[Org]="Small"),SUMIFS(Practices_SubPractices[C],Practices_SubPractices[CP],"4",Practices_SubPractices[Org],"Small"),IF(AND(Practices_SubPractices[CP]=5,Practices_SubPractices[Org]="Small"),SUMIFS(Practices_SubPractices[C],Practices_SubPractices[CP],"5",Practices_SubPractices[Org],"Small"),IF(AND(Practices_SubPractices[CP]=6,Practices_SubPractices[Org]="Small"),SUMIFS(Practices_SubPractices[C],Practices_SubPractices[CP],"6",Practices_SubPractices[Org],"Small"),IF(AND(Practices_SubPractices[CP]=7,Practices_SubPractices[Org] ="Small"),SUMIFS(Practices_SubPractices[C],Practices_SubPractices[CP],"7",Practices_SubPractices[Org],"Small"),IF(AND(Practices_SubPractices[CP]=8,Practices_SubPractices[Org] ="Small"),SUMIFS(Practices_SubPractices[C],Practices_SubPractices[CP],"8",Practices_SubPractices[Org],"Small"),IF(AND(Practices_SubPractices[CP]=9,Practices_SubPractices[Org] ="Small"),SUMIFS(Practices_SubPractices[C],Practices_SubPractices[CP],"9",Practices_SubPractices[Org],"Small"),IF(AND(Practices_SubPractices[CP]=10,Practices_SubPractices[Org] ="Small"),SUMIFS(Practices_SubPractices[C],Practices_SubPractices[CP],"10",Practices_SubPractices[Org],"Small"),IF(AND(Practices_SubPractices[CP]=1,Practices_SubPractices[Org]="Medium"),SUMIFS(Practices_SubPractices[C],Practices_SubPractices[CP],"1",Practices_SubPractices[Org],"Medium"),IF(AND(Practices_SubPractices[CP]=2,Practices_SubPractices[Org]="Medium"),SUMIFS(Practices_SubPractices[C],Practices_SubPractices[CP],"2",Practices_SubPractices[Org],"Medium"),IF(AND(Practices_SubPractices[CP]=3,Practices_SubPractices[Org]="Medium"),SUMIFS(Practices_SubPractices[C],Practices_SubPractices[CP],"3",Practices_SubPractices[Org],"Medium"),IF(AND(Practices_SubPractices[CP]=4,Practices_SubPractices[Org]="Medium"),SUMIFS(Practices_SubPractices[C],Practices_SubPractices[CP],"4",Practices_SubPractices[Org],"Medium"),IF(AND(Practices_SubPractices[CP]=5,Practices_SubPractices[Org]="Medium"),SUMIFS(Practices_SubPractices[C],Practices_SubPractices[CP],"5",Practices_SubPractices[Org],"Medium"),IF(AND(Practices_SubPractices[CP]=6,Practices_SubPractices[Org]="Medium"),SUMIFS(Practices_SubPractices[C],Practices_SubPractices[CP],"6",Practices_SubPractices[Org],"Medium"),IF(AND(Practices_SubPractices[CP]=7,Practices_SubPractices[Org] ="Medium"),SUMIFS(Practices_SubPractices[C],Practices_SubPractices[CP],"7",Practices_SubPractices[Org],"Medium"),IF(AND(Practices_SubPractices[CP]=8,Practices_SubPractices[Org] ="Medium"),SUMIFS(Practices_SubPractices[C],Practices_SubPractices[CP],"8",Practices_SubPractices[Org],"Medium"),IF(AND(Practices_SubPractices[CP]=9,Practices_SubPractices[Org] ="Medium"),SUMIFS(Practices_SubPractices[C],Practices_SubPractices[CP],"9",Practices_SubPractices[Org],"Medium"),IF(AND(Practices_SubPractices[CP]=10,Practices_SubPractices[Org] ="Medium"),SUMIFS(Practices_SubPractices[C],Practices_SubPractices[CP],"10",Practices_SubPractices[Org],"Medium"),IF(AND(Practices_SubPractices[CP]=1,Practices_SubPractices[Org]="Large"),SUMIFS(Practices_SubPractices[C],Practices_SubPractices[CP],"1",Practices_SubPractices[Org],"Large"),IF(AND(Practices_SubPractices[CP]=2,Practices_SubPractices[Org]="Large"),SUMIFS(Practices_SubPractices[C],Practices_SubPractices[CP],"2",Practices_SubPractices[Org],"Large"),IF(AND(Practices_SubPractices[CP]=3,Practices_SubPractices[Org]="Large"),SUMIFS(Practices_SubPractices[C],Practices_SubPractices[CP],"3",Practices_SubPractices[Org],"Large"),IF(AND(Practices_SubPractices[CP]=4,Practices_SubPractices[Org]="Large"),SUMIFS(Practices_SubPractices[C],Practices_SubPractices[CP],"4",Practices_SubPractices[Org],"Large"),IF(AND(Practices_SubPractices[CP]=5,Practices_SubPractices[Org]="Large"),SUMIFS(Practices_SubPractices[C],Practices_SubPractices[CP],"5",Practices_SubPractices[Org],"Large"),IF(AND(Practices_SubPractices[CP]=6,Practices_SubPractices[Org]="Large"),SUMIFS(Practices_SubPractices[C],Practices_SubPractices[CP],"6",Practices_SubPractices[Org],"Large"),IF(AND(Practices_SubPractices[CP]=7,Practices_SubPractices[Org] ="Large"),SUMIFS(Practices_SubPractices[C],Practices_SubPractices[CP],"7",Practices_SubPractices[Org],"Large"),IF(AND(Practices_SubPractices[CP]=8,Practices_SubPractices[Org] ="Large"),SUMIFS(Practices_SubPractices[C],Practices_SubPractices[CP],"8",Practices_SubPractices[Org],"Large"),IF(AND(Practices_SubPractices[CP]=9,Practices_SubPractices[Org] ="Large"),SUMIFS(Practices_SubPractices[C],Practices_SubPractices[CP],"9",Practices_SubPractices[Org],"Large"),IF(AND(Practices_SubPractices[CP]=10,Practices_SubPractices[Org] ="Large"),SUMIFS(Practices_SubPractices[C],Practices_SubPractices[CP],"10",Practices_SubPractices[Org],"Large"),"TBD"))))))))))))))))))))))))))))))</f>
        <v>6</v>
      </c>
      <c r="Q44" s="77">
        <f>IF(AND(Practices_SubPractices[CP]=1,Practices_SubPractices[Org]="Small"),SUMIFS(Practices_SubPractices[D],Practices_SubPractices[CP],"1",Practices_SubPractices[Org],"Small"),IF(AND(Practices_SubPractices[CP]=2,Practices_SubPractices[Org]="Small"),SUMIFS(Practices_SubPractices[D],Practices_SubPractices[CP],"2",Practices_SubPractices[Org],"Small"),IF(AND(Practices_SubPractices[CP]=3,Practices_SubPractices[Org]="Small"),SUMIFS(Practices_SubPractices[D],Practices_SubPractices[CP],"3",Practices_SubPractices[Org],"Small"),IF(AND(Practices_SubPractices[CP]=4,Practices_SubPractices[Org]="Small"),SUMIFS(Practices_SubPractices[D],Practices_SubPractices[CP],"4",Practices_SubPractices[Org],"Small"),IF(AND(Practices_SubPractices[CP]=5,Practices_SubPractices[Org]="Small"),SUMIFS(Practices_SubPractices[D],Practices_SubPractices[CP],"5",Practices_SubPractices[Org],"Small"),IF(AND(Practices_SubPractices[CP]=6,Practices_SubPractices[Org]="Small"),SUMIFS(Practices_SubPractices[D],Practices_SubPractices[CP],"6",Practices_SubPractices[Org],"Small"),IF(AND(Practices_SubPractices[CP]=7,Practices_SubPractices[Org] ="Small"),SUMIFS(Practices_SubPractices[D],Practices_SubPractices[CP],"7",Practices_SubPractices[Org],"Small"),IF(AND(Practices_SubPractices[CP]=8,Practices_SubPractices[Org] ="Small"),SUMIFS(Practices_SubPractices[D],Practices_SubPractices[CP],"8",Practices_SubPractices[Org],"Small"),IF(AND(Practices_SubPractices[CP]=9,Practices_SubPractices[Org] ="Small"),SUMIFS(Practices_SubPractices[D],Practices_SubPractices[CP],"9",Practices_SubPractices[Org],"Small"),IF(AND(Practices_SubPractices[CP]=10,Practices_SubPractices[Org] ="Small"),SUMIFS(Practices_SubPractices[D],Practices_SubPractices[CP],"10",Practices_SubPractices[Org],"Small"),IF(AND(Practices_SubPractices[CP]=1,Practices_SubPractices[Org]="Medium"),SUMIFS(Practices_SubPractices[D],Practices_SubPractices[CP],"1",Practices_SubPractices[Org],"Medium"),IF(AND(Practices_SubPractices[CP]=2,Practices_SubPractices[Org]="Medium"),SUMIFS(Practices_SubPractices[D],Practices_SubPractices[CP],"2",Practices_SubPractices[Org],"Medium"),IF(AND(Practices_SubPractices[CP]=3,Practices_SubPractices[Org]="Medium"),SUMIFS(Practices_SubPractices[D],Practices_SubPractices[CP],"3",Practices_SubPractices[Org],"Medium"),IF(AND(Practices_SubPractices[CP]=4,Practices_SubPractices[Org]="Medium"),SUMIFS(Practices_SubPractices[D],Practices_SubPractices[CP],"4",Practices_SubPractices[Org],"Medium"),IF(AND(Practices_SubPractices[CP]=5,Practices_SubPractices[Org]="Medium"),SUMIFS(Practices_SubPractices[D],Practices_SubPractices[CP],"5",Practices_SubPractices[Org],"Medium"),IF(AND(Practices_SubPractices[CP]=6,Practices_SubPractices[Org]="Medium"),SUMIFS(Practices_SubPractices[D],Practices_SubPractices[CP],"6",Practices_SubPractices[Org],"Medium"),IF(AND(Practices_SubPractices[CP]=7,Practices_SubPractices[Org] ="Medium"),SUMIFS(Practices_SubPractices[D],Practices_SubPractices[CP],"7",Practices_SubPractices[Org],"Medium"),IF(AND(Practices_SubPractices[CP]=8,Practices_SubPractices[Org] ="Medium"),SUMIFS(Practices_SubPractices[D],Practices_SubPractices[CP],"8",Practices_SubPractices[Org],"Medium"),IF(AND(Practices_SubPractices[CP]=9,Practices_SubPractices[Org] ="Medium"),SUMIFS(Practices_SubPractices[D],Practices_SubPractices[CP],"9",Practices_SubPractices[Org],"Medium"),IF(AND(Practices_SubPractices[CP]=10,Practices_SubPractices[Org] ="Medium"),SUMIFS(Practices_SubPractices[D],Practices_SubPractices[CP],"10",Practices_SubPractices[Org],"Medium"),IF(AND(Practices_SubPractices[CP]=1,Practices_SubPractices[Org]="Large"),SUMIFS(Practices_SubPractices[D],Practices_SubPractices[CP],"1",Practices_SubPractices[Org],"Large"),IF(AND(Practices_SubPractices[CP]=2,Practices_SubPractices[Org]="Large"),SUMIFS(Practices_SubPractices[D],Practices_SubPractices[CP],"2",Practices_SubPractices[Org],"Large"),IF(AND(Practices_SubPractices[CP]=3,Practices_SubPractices[Org]="Large"),SUMIFS(Practices_SubPractices[D],Practices_SubPractices[CP],"3",Practices_SubPractices[Org],"Large"),IF(AND(Practices_SubPractices[CP]=4,Practices_SubPractices[Org]="Large"),SUMIFS(Practices_SubPractices[D],Practices_SubPractices[CP],"4",Practices_SubPractices[Org],"Large"),IF(AND(Practices_SubPractices[CP]=5,Practices_SubPractices[Org]="Large"),SUMIFS(Practices_SubPractices[D],Practices_SubPractices[CP],"5",Practices_SubPractices[Org],"Large"),IF(AND(Practices_SubPractices[CP]=6,Practices_SubPractices[Org]="Large"),SUMIFS(Practices_SubPractices[D],Practices_SubPractices[CP],"6",Practices_SubPractices[Org],"Large"),IF(AND(Practices_SubPractices[CP]=7,Practices_SubPractices[Org] ="Large"),SUMIFS(Practices_SubPractices[D],Practices_SubPractices[CP],"7",Practices_SubPractices[Org],"Large"),IF(AND(Practices_SubPractices[CP]=8,Practices_SubPractices[Org] ="Large"),SUMIFS(Practices_SubPractices[D],Practices_SubPractices[CP],"8",Practices_SubPractices[Org],"Large"),IF(AND(Practices_SubPractices[CP]=9,Practices_SubPractices[Org] ="Large"),SUMIFS(Practices_SubPractices[D],Practices_SubPractices[CP],"9",Practices_SubPractices[Org],"Large"),IF(AND(Practices_SubPractices[CP]=10,Practices_SubPractices[Org] ="Large"),SUMIFS(Practices_SubPractices[D],Practices_SubPractices[CP],"10",Practices_SubPractices[Org],"Large"),"TBD"))))))))))))))))))))))))))))))</f>
        <v>7</v>
      </c>
      <c r="R44" s="77">
        <f>IF(AND(Practices_SubPractices[CP]=1,Practices_SubPractices[Org]="Small"),SUMIFS(Practices_SubPractices[E],Practices_SubPractices[CP],"1",Practices_SubPractices[Org],"Small"),IF(AND(Practices_SubPractices[CP]=2,Practices_SubPractices[Org]="Small"),SUMIFS(Practices_SubPractices[E],Practices_SubPractices[CP],"2",Practices_SubPractices[Org],"Small"),IF(AND(Practices_SubPractices[CP]=3,Practices_SubPractices[Org]="Small"),SUMIFS(Practices_SubPractices[E],Practices_SubPractices[CP],"3",Practices_SubPractices[Org],"Small"),IF(AND(Practices_SubPractices[CP]=4,Practices_SubPractices[Org]="Small"),SUMIFS(Practices_SubPractices[E],Practices_SubPractices[CP],"4",Practices_SubPractices[Org],"Small"),IF(AND(Practices_SubPractices[CP]=5,Practices_SubPractices[Org]="Small"),SUMIFS(Practices_SubPractices[E],Practices_SubPractices[CP],"5",Practices_SubPractices[Org],"Small"),IF(AND(Practices_SubPractices[CP]=6,Practices_SubPractices[Org]="Small"),SUMIFS(Practices_SubPractices[E],Practices_SubPractices[CP],"6",Practices_SubPractices[Org],"Small"),IF(AND(Practices_SubPractices[CP]=7,Practices_SubPractices[Org] ="Small"),SUMIFS(Practices_SubPractices[E],Practices_SubPractices[CP],"7",Practices_SubPractices[Org],"Small"),IF(AND(Practices_SubPractices[CP]=8,Practices_SubPractices[Org] ="Small"),SUMIFS(Practices_SubPractices[E],Practices_SubPractices[CP],"8",Practices_SubPractices[Org],"Small"),IF(AND(Practices_SubPractices[CP]=9,Practices_SubPractices[Org] ="Small"),SUMIFS(Practices_SubPractices[E],Practices_SubPractices[CP],"9",Practices_SubPractices[Org],"Small"),IF(AND(Practices_SubPractices[CP]=10,Practices_SubPractices[Org] ="Small"),SUMIFS(Practices_SubPractices[E],Practices_SubPractices[CP],"10",Practices_SubPractices[Org],"Small"),IF(AND(Practices_SubPractices[CP]=1,Practices_SubPractices[Org]="Medium"),SUMIFS(Practices_SubPractices[E],Practices_SubPractices[CP],"1",Practices_SubPractices[Org],"Medium"),IF(AND(Practices_SubPractices[CP]=2,Practices_SubPractices[Org]="Medium"),SUMIFS(Practices_SubPractices[E],Practices_SubPractices[CP],"2",Practices_SubPractices[Org],"Medium"),IF(AND(Practices_SubPractices[CP]=3,Practices_SubPractices[Org]="Medium"),SUMIFS(Practices_SubPractices[E],Practices_SubPractices[CP],"3",Practices_SubPractices[Org],"Medium"),IF(AND(Practices_SubPractices[CP]=4,Practices_SubPractices[Org]="Medium"),SUMIFS(Practices_SubPractices[E],Practices_SubPractices[CP],"4",Practices_SubPractices[Org],"Medium"),IF(AND(Practices_SubPractices[CP]=5,Practices_SubPractices[Org]="Medium"),SUMIFS(Practices_SubPractices[E],Practices_SubPractices[CP],"5",Practices_SubPractices[Org],"Medium"),IF(AND(Practices_SubPractices[CP]=6,Practices_SubPractices[Org]="Medium"),SUMIFS(Practices_SubPractices[E],Practices_SubPractices[CP],"6",Practices_SubPractices[Org],"Medium"),IF(AND(Practices_SubPractices[CP]=7,Practices_SubPractices[Org] ="Medium"),SUMIFS(Practices_SubPractices[E],Practices_SubPractices[CP],"7",Practices_SubPractices[Org],"Medium"),IF(AND(Practices_SubPractices[CP]=8,Practices_SubPractices[Org] ="Medium"),SUMIFS(Practices_SubPractices[E],Practices_SubPractices[CP],"8",Practices_SubPractices[Org],"Medium"),IF(AND(Practices_SubPractices[CP]=9,Practices_SubPractices[Org] ="Medium"),SUMIFS(Practices_SubPractices[E],Practices_SubPractices[CP],"9",Practices_SubPractices[Org],"Medium"),IF(AND(Practices_SubPractices[CP]=10,Practices_SubPractices[Org] ="Medium"),SUMIFS(Practices_SubPractices[E],Practices_SubPractices[CP],"10",Practices_SubPractices[Org],"Medium"),IF(AND(Practices_SubPractices[CP]=1,Practices_SubPractices[Org]="Large"),SUMIFS(Practices_SubPractices[E],Practices_SubPractices[CP],"1",Practices_SubPractices[Org],"Large"),IF(AND(Practices_SubPractices[CP]=2,Practices_SubPractices[Org]="Large"),SUMIFS(Practices_SubPractices[E],Practices_SubPractices[CP],"2",Practices_SubPractices[Org],"Large"),IF(AND(Practices_SubPractices[CP]=3,Practices_SubPractices[Org]="Large"),SUMIFS(Practices_SubPractices[E],Practices_SubPractices[CP],"3",Practices_SubPractices[Org],"Large"),IF(AND(Practices_SubPractices[CP]=4,Practices_SubPractices[Org]="Large"),SUMIFS(Practices_SubPractices[E],Practices_SubPractices[CP],"4",Practices_SubPractices[Org],"Large"),IF(AND(Practices_SubPractices[CP]=5,Practices_SubPractices[Org]="Large"),SUMIFS(Practices_SubPractices[E],Practices_SubPractices[CP],"5",Practices_SubPractices[Org],"Large"),IF(AND(Practices_SubPractices[CP]=6,Practices_SubPractices[Org]="Large"),SUMIFS(Practices_SubPractices[E],Practices_SubPractices[CP],"6",Practices_SubPractices[Org],"Large"),IF(AND(Practices_SubPractices[CP]=7,Practices_SubPractices[Org] ="Large"),SUMIFS(Practices_SubPractices[E],Practices_SubPractices[CP],"7",Practices_SubPractices[Org],"Large"),IF(AND(Practices_SubPractices[CP]=8,Practices_SubPractices[Org] ="Large"),SUMIFS(Practices_SubPractices[E],Practices_SubPractices[CP],"8",Practices_SubPractices[Org],"Large"),IF(AND(Practices_SubPractices[CP]=9,Practices_SubPractices[Org] ="Large"),SUMIFS(Practices_SubPractices[E],Practices_SubPractices[CP],"9",Practices_SubPractices[Org],"Large"),IF(AND(Practices_SubPractices[CP]=10,Practices_SubPractices[Org] ="Large"),SUMIFS(Practices_SubPractices[E],Practices_SubPractices[CP],"10",Practices_SubPractices[Org],"Large"),"TBD"))))))))))))))))))))))))))))))</f>
        <v>5</v>
      </c>
      <c r="S44" s="87" t="s">
        <v>406</v>
      </c>
    </row>
    <row r="45" spans="1:19" x14ac:dyDescent="0.35">
      <c r="A45" s="73">
        <v>35</v>
      </c>
      <c r="B45" s="73">
        <v>3</v>
      </c>
      <c r="C45" s="73" t="s">
        <v>12</v>
      </c>
      <c r="D45" s="73" t="str">
        <f>Practices_SubPractices[[#This Row],[CP]]&amp;LEFT(Practices_SubPractices[[#This Row],[Org]],1)</f>
        <v>3L</v>
      </c>
      <c r="E45" s="73" t="s">
        <v>267</v>
      </c>
      <c r="F45" s="74" t="s">
        <v>81</v>
      </c>
      <c r="G45" s="74" t="s">
        <v>85</v>
      </c>
      <c r="H45" s="74" t="s">
        <v>209</v>
      </c>
      <c r="I45" s="75">
        <v>0</v>
      </c>
      <c r="J45" s="75">
        <v>2</v>
      </c>
      <c r="K45" s="75">
        <v>2</v>
      </c>
      <c r="L45" s="75">
        <v>2</v>
      </c>
      <c r="M45" s="75">
        <v>1</v>
      </c>
      <c r="N45" s="76"/>
      <c r="O45" s="77">
        <f>IF(AND(Practices_SubPractices[CP]=1,Practices_SubPractices[Org]="Small"),SUMIFS(Practices_SubPractices[B],Practices_SubPractices[CP],"1",Practices_SubPractices[Org],"Small"),IF(AND(Practices_SubPractices[CP]=2,Practices_SubPractices[Org]="Small"),SUMIFS(Practices_SubPractices[B],Practices_SubPractices[CP],"2",Practices_SubPractices[Org],"Small"),IF(AND(Practices_SubPractices[CP]=3,Practices_SubPractices[Org]="Small"),SUMIFS(Practices_SubPractices[B],Practices_SubPractices[CP],"3",Practices_SubPractices[Org],"Small"),IF(AND(Practices_SubPractices[CP]=4,Practices_SubPractices[Org]="Small"),SUMIFS(Practices_SubPractices[B],Practices_SubPractices[CP],"4",Practices_SubPractices[Org],"Small"),IF(AND(Practices_SubPractices[CP]=5,Practices_SubPractices[Org]="Small"),SUMIFS(Practices_SubPractices[B],Practices_SubPractices[CP],"5",Practices_SubPractices[Org],"Small"),IF(AND(Practices_SubPractices[CP]=6,Practices_SubPractices[Org]="Small"),SUMIFS(Practices_SubPractices[B],Practices_SubPractices[CP],"6",Practices_SubPractices[Org],"Small"),IF(AND(Practices_SubPractices[CP]=7,Practices_SubPractices[Org] ="Small"),SUMIFS(Practices_SubPractices[B],Practices_SubPractices[CP],"7",Practices_SubPractices[Org],"Small"),IF(AND(Practices_SubPractices[CP]=8,Practices_SubPractices[Org] ="Small"),SUMIFS(Practices_SubPractices[B],Practices_SubPractices[CP],"8",Practices_SubPractices[Org],"Small"),IF(AND(Practices_SubPractices[CP]=9,Practices_SubPractices[Org] ="Small"),SUMIFS(Practices_SubPractices[B],Practices_SubPractices[CP],"9",Practices_SubPractices[Org],"Small"),IF(AND(Practices_SubPractices[CP]=10,Practices_SubPractices[Org] ="Small"),SUMIFS(Practices_SubPractices[B],Practices_SubPractices[CP],"10",Practices_SubPractices[Org],"Small"),IF(AND(Practices_SubPractices[CP]=1,Practices_SubPractices[Org]="Medium"),SUMIFS(Practices_SubPractices[B],Practices_SubPractices[CP],"1",Practices_SubPractices[Org],"Medium"),IF(AND(Practices_SubPractices[CP]=2,Practices_SubPractices[Org]="Medium"),SUMIFS(Practices_SubPractices[B],Practices_SubPractices[CP],"2",Practices_SubPractices[Org],"Medium"),IF(AND(Practices_SubPractices[CP]=3,Practices_SubPractices[Org]="Medium"),SUMIFS(Practices_SubPractices[B],Practices_SubPractices[CP],"3",Practices_SubPractices[Org],"Medium"),IF(AND(Practices_SubPractices[CP]=4,Practices_SubPractices[Org]="Medium"),SUMIFS(Practices_SubPractices[B],Practices_SubPractices[CP],"4",Practices_SubPractices[Org],"Medium"),IF(AND(Practices_SubPractices[CP]=5,Practices_SubPractices[Org]="Medium"),SUMIFS(Practices_SubPractices[B],Practices_SubPractices[CP],"5",Practices_SubPractices[Org],"Medium"),IF(AND(Practices_SubPractices[CP]=6,Practices_SubPractices[Org]="Medium"),SUMIFS(Practices_SubPractices[B],Practices_SubPractices[CP],"6",Practices_SubPractices[Org],"Medium"),IF(AND(Practices_SubPractices[CP]=7,Practices_SubPractices[Org] ="Medium"),SUMIFS(Practices_SubPractices[B],Practices_SubPractices[CP],"7",Practices_SubPractices[Org],"Medium"),IF(AND(Practices_SubPractices[CP]=8,Practices_SubPractices[Org] ="Medium"),SUMIFS(Practices_SubPractices[B],Practices_SubPractices[CP],"8",Practices_SubPractices[Org],"Medium"),IF(AND(Practices_SubPractices[CP]=9,Practices_SubPractices[Org] ="Medium"),SUMIFS(Practices_SubPractices[B],Practices_SubPractices[CP],"9",Practices_SubPractices[Org],"Medium"),IF(AND(Practices_SubPractices[CP]=10,Practices_SubPractices[Org] ="Medium"),SUMIFS(Practices_SubPractices[B],Practices_SubPractices[CP],"10",Practices_SubPractices[Org],"Medium"),IF(AND(Practices_SubPractices[CP]=1,Practices_SubPractices[Org]="Large"),SUMIFS(Practices_SubPractices[B],Practices_SubPractices[CP],"1",Practices_SubPractices[Org],"Large"),IF(AND(Practices_SubPractices[CP]=2,Practices_SubPractices[Org]="Large"),SUMIFS(Practices_SubPractices[B],Practices_SubPractices[CP],"2",Practices_SubPractices[Org],"Large"),IF(AND(Practices_SubPractices[CP]=3,Practices_SubPractices[Org]="Large"),SUMIFS(Practices_SubPractices[B],Practices_SubPractices[CP],"3",Practices_SubPractices[Org],"Large"),IF(AND(Practices_SubPractices[CP]=4,Practices_SubPractices[Org]="Large"),SUMIFS(Practices_SubPractices[B],Practices_SubPractices[CP],"4",Practices_SubPractices[Org],"Large"),IF(AND(Practices_SubPractices[CP]=5,Practices_SubPractices[Org]="Large"),SUMIFS(Practices_SubPractices[B],Practices_SubPractices[CP],"5",Practices_SubPractices[Org],"Large"),IF(AND(Practices_SubPractices[CP]=6,Practices_SubPractices[Org]="Large"),SUMIFS(Practices_SubPractices[B],Practices_SubPractices[CP],"6",Practices_SubPractices[Org],"Large"),IF(AND(Practices_SubPractices[CP]=7,Practices_SubPractices[Org] ="Large"),SUMIFS(Practices_SubPractices[B],Practices_SubPractices[CP],"7",Practices_SubPractices[Org],"Large"),IF(AND(Practices_SubPractices[CP]=8,Practices_SubPractices[Org] ="Large"),SUMIFS(Practices_SubPractices[B],Practices_SubPractices[CP],"8",Practices_SubPractices[Org],"Large"),IF(AND(Practices_SubPractices[CP]=9,Practices_SubPractices[Org] ="Large"),SUMIFS(Practices_SubPractices[B],Practices_SubPractices[CP],"9",Practices_SubPractices[Org],"Large"),IF(AND(Practices_SubPractices[CP]=10,Practices_SubPractices[Org] ="Large"),SUMIFS(Practices_SubPractices[B],Practices_SubPractices[CP],"10",Practices_SubPractices[Org],"Large"),"TBD"))))))))))))))))))))))))))))))</f>
        <v>12</v>
      </c>
      <c r="P45" s="77">
        <f>IF(AND(Practices_SubPractices[CP]=1,Practices_SubPractices[Org]="Small"),SUMIFS(Practices_SubPractices[C],Practices_SubPractices[CP],"1",Practices_SubPractices[Org],"Small"),IF(AND(Practices_SubPractices[CP]=2,Practices_SubPractices[Org]="Small"),SUMIFS(Practices_SubPractices[C],Practices_SubPractices[CP],"2",Practices_SubPractices[Org],"Small"),IF(AND(Practices_SubPractices[CP]=3,Practices_SubPractices[Org]="Small"),SUMIFS(Practices_SubPractices[C],Practices_SubPractices[CP],"3",Practices_SubPractices[Org],"Small"),IF(AND(Practices_SubPractices[CP]=4,Practices_SubPractices[Org]="Small"),SUMIFS(Practices_SubPractices[C],Practices_SubPractices[CP],"4",Practices_SubPractices[Org],"Small"),IF(AND(Practices_SubPractices[CP]=5,Practices_SubPractices[Org]="Small"),SUMIFS(Practices_SubPractices[C],Practices_SubPractices[CP],"5",Practices_SubPractices[Org],"Small"),IF(AND(Practices_SubPractices[CP]=6,Practices_SubPractices[Org]="Small"),SUMIFS(Practices_SubPractices[C],Practices_SubPractices[CP],"6",Practices_SubPractices[Org],"Small"),IF(AND(Practices_SubPractices[CP]=7,Practices_SubPractices[Org] ="Small"),SUMIFS(Practices_SubPractices[C],Practices_SubPractices[CP],"7",Practices_SubPractices[Org],"Small"),IF(AND(Practices_SubPractices[CP]=8,Practices_SubPractices[Org] ="Small"),SUMIFS(Practices_SubPractices[C],Practices_SubPractices[CP],"8",Practices_SubPractices[Org],"Small"),IF(AND(Practices_SubPractices[CP]=9,Practices_SubPractices[Org] ="Small"),SUMIFS(Practices_SubPractices[C],Practices_SubPractices[CP],"9",Practices_SubPractices[Org],"Small"),IF(AND(Practices_SubPractices[CP]=10,Practices_SubPractices[Org] ="Small"),SUMIFS(Practices_SubPractices[C],Practices_SubPractices[CP],"10",Practices_SubPractices[Org],"Small"),IF(AND(Practices_SubPractices[CP]=1,Practices_SubPractices[Org]="Medium"),SUMIFS(Practices_SubPractices[C],Practices_SubPractices[CP],"1",Practices_SubPractices[Org],"Medium"),IF(AND(Practices_SubPractices[CP]=2,Practices_SubPractices[Org]="Medium"),SUMIFS(Practices_SubPractices[C],Practices_SubPractices[CP],"2",Practices_SubPractices[Org],"Medium"),IF(AND(Practices_SubPractices[CP]=3,Practices_SubPractices[Org]="Medium"),SUMIFS(Practices_SubPractices[C],Practices_SubPractices[CP],"3",Practices_SubPractices[Org],"Medium"),IF(AND(Practices_SubPractices[CP]=4,Practices_SubPractices[Org]="Medium"),SUMIFS(Practices_SubPractices[C],Practices_SubPractices[CP],"4",Practices_SubPractices[Org],"Medium"),IF(AND(Practices_SubPractices[CP]=5,Practices_SubPractices[Org]="Medium"),SUMIFS(Practices_SubPractices[C],Practices_SubPractices[CP],"5",Practices_SubPractices[Org],"Medium"),IF(AND(Practices_SubPractices[CP]=6,Practices_SubPractices[Org]="Medium"),SUMIFS(Practices_SubPractices[C],Practices_SubPractices[CP],"6",Practices_SubPractices[Org],"Medium"),IF(AND(Practices_SubPractices[CP]=7,Practices_SubPractices[Org] ="Medium"),SUMIFS(Practices_SubPractices[C],Practices_SubPractices[CP],"7",Practices_SubPractices[Org],"Medium"),IF(AND(Practices_SubPractices[CP]=8,Practices_SubPractices[Org] ="Medium"),SUMIFS(Practices_SubPractices[C],Practices_SubPractices[CP],"8",Practices_SubPractices[Org],"Medium"),IF(AND(Practices_SubPractices[CP]=9,Practices_SubPractices[Org] ="Medium"),SUMIFS(Practices_SubPractices[C],Practices_SubPractices[CP],"9",Practices_SubPractices[Org],"Medium"),IF(AND(Practices_SubPractices[CP]=10,Practices_SubPractices[Org] ="Medium"),SUMIFS(Practices_SubPractices[C],Practices_SubPractices[CP],"10",Practices_SubPractices[Org],"Medium"),IF(AND(Practices_SubPractices[CP]=1,Practices_SubPractices[Org]="Large"),SUMIFS(Practices_SubPractices[C],Practices_SubPractices[CP],"1",Practices_SubPractices[Org],"Large"),IF(AND(Practices_SubPractices[CP]=2,Practices_SubPractices[Org]="Large"),SUMIFS(Practices_SubPractices[C],Practices_SubPractices[CP],"2",Practices_SubPractices[Org],"Large"),IF(AND(Practices_SubPractices[CP]=3,Practices_SubPractices[Org]="Large"),SUMIFS(Practices_SubPractices[C],Practices_SubPractices[CP],"3",Practices_SubPractices[Org],"Large"),IF(AND(Practices_SubPractices[CP]=4,Practices_SubPractices[Org]="Large"),SUMIFS(Practices_SubPractices[C],Practices_SubPractices[CP],"4",Practices_SubPractices[Org],"Large"),IF(AND(Practices_SubPractices[CP]=5,Practices_SubPractices[Org]="Large"),SUMIFS(Practices_SubPractices[C],Practices_SubPractices[CP],"5",Practices_SubPractices[Org],"Large"),IF(AND(Practices_SubPractices[CP]=6,Practices_SubPractices[Org]="Large"),SUMIFS(Practices_SubPractices[C],Practices_SubPractices[CP],"6",Practices_SubPractices[Org],"Large"),IF(AND(Practices_SubPractices[CP]=7,Practices_SubPractices[Org] ="Large"),SUMIFS(Practices_SubPractices[C],Practices_SubPractices[CP],"7",Practices_SubPractices[Org],"Large"),IF(AND(Practices_SubPractices[CP]=8,Practices_SubPractices[Org] ="Large"),SUMIFS(Practices_SubPractices[C],Practices_SubPractices[CP],"8",Practices_SubPractices[Org],"Large"),IF(AND(Practices_SubPractices[CP]=9,Practices_SubPractices[Org] ="Large"),SUMIFS(Practices_SubPractices[C],Practices_SubPractices[CP],"9",Practices_SubPractices[Org],"Large"),IF(AND(Practices_SubPractices[CP]=10,Practices_SubPractices[Org] ="Large"),SUMIFS(Practices_SubPractices[C],Practices_SubPractices[CP],"10",Practices_SubPractices[Org],"Large"),"TBD"))))))))))))))))))))))))))))))</f>
        <v>6</v>
      </c>
      <c r="Q45" s="77">
        <f>IF(AND(Practices_SubPractices[CP]=1,Practices_SubPractices[Org]="Small"),SUMIFS(Practices_SubPractices[D],Practices_SubPractices[CP],"1",Practices_SubPractices[Org],"Small"),IF(AND(Practices_SubPractices[CP]=2,Practices_SubPractices[Org]="Small"),SUMIFS(Practices_SubPractices[D],Practices_SubPractices[CP],"2",Practices_SubPractices[Org],"Small"),IF(AND(Practices_SubPractices[CP]=3,Practices_SubPractices[Org]="Small"),SUMIFS(Practices_SubPractices[D],Practices_SubPractices[CP],"3",Practices_SubPractices[Org],"Small"),IF(AND(Practices_SubPractices[CP]=4,Practices_SubPractices[Org]="Small"),SUMIFS(Practices_SubPractices[D],Practices_SubPractices[CP],"4",Practices_SubPractices[Org],"Small"),IF(AND(Practices_SubPractices[CP]=5,Practices_SubPractices[Org]="Small"),SUMIFS(Practices_SubPractices[D],Practices_SubPractices[CP],"5",Practices_SubPractices[Org],"Small"),IF(AND(Practices_SubPractices[CP]=6,Practices_SubPractices[Org]="Small"),SUMIFS(Practices_SubPractices[D],Practices_SubPractices[CP],"6",Practices_SubPractices[Org],"Small"),IF(AND(Practices_SubPractices[CP]=7,Practices_SubPractices[Org] ="Small"),SUMIFS(Practices_SubPractices[D],Practices_SubPractices[CP],"7",Practices_SubPractices[Org],"Small"),IF(AND(Practices_SubPractices[CP]=8,Practices_SubPractices[Org] ="Small"),SUMIFS(Practices_SubPractices[D],Practices_SubPractices[CP],"8",Practices_SubPractices[Org],"Small"),IF(AND(Practices_SubPractices[CP]=9,Practices_SubPractices[Org] ="Small"),SUMIFS(Practices_SubPractices[D],Practices_SubPractices[CP],"9",Practices_SubPractices[Org],"Small"),IF(AND(Practices_SubPractices[CP]=10,Practices_SubPractices[Org] ="Small"),SUMIFS(Practices_SubPractices[D],Practices_SubPractices[CP],"10",Practices_SubPractices[Org],"Small"),IF(AND(Practices_SubPractices[CP]=1,Practices_SubPractices[Org]="Medium"),SUMIFS(Practices_SubPractices[D],Practices_SubPractices[CP],"1",Practices_SubPractices[Org],"Medium"),IF(AND(Practices_SubPractices[CP]=2,Practices_SubPractices[Org]="Medium"),SUMIFS(Practices_SubPractices[D],Practices_SubPractices[CP],"2",Practices_SubPractices[Org],"Medium"),IF(AND(Practices_SubPractices[CP]=3,Practices_SubPractices[Org]="Medium"),SUMIFS(Practices_SubPractices[D],Practices_SubPractices[CP],"3",Practices_SubPractices[Org],"Medium"),IF(AND(Practices_SubPractices[CP]=4,Practices_SubPractices[Org]="Medium"),SUMIFS(Practices_SubPractices[D],Practices_SubPractices[CP],"4",Practices_SubPractices[Org],"Medium"),IF(AND(Practices_SubPractices[CP]=5,Practices_SubPractices[Org]="Medium"),SUMIFS(Practices_SubPractices[D],Practices_SubPractices[CP],"5",Practices_SubPractices[Org],"Medium"),IF(AND(Practices_SubPractices[CP]=6,Practices_SubPractices[Org]="Medium"),SUMIFS(Practices_SubPractices[D],Practices_SubPractices[CP],"6",Practices_SubPractices[Org],"Medium"),IF(AND(Practices_SubPractices[CP]=7,Practices_SubPractices[Org] ="Medium"),SUMIFS(Practices_SubPractices[D],Practices_SubPractices[CP],"7",Practices_SubPractices[Org],"Medium"),IF(AND(Practices_SubPractices[CP]=8,Practices_SubPractices[Org] ="Medium"),SUMIFS(Practices_SubPractices[D],Practices_SubPractices[CP],"8",Practices_SubPractices[Org],"Medium"),IF(AND(Practices_SubPractices[CP]=9,Practices_SubPractices[Org] ="Medium"),SUMIFS(Practices_SubPractices[D],Practices_SubPractices[CP],"9",Practices_SubPractices[Org],"Medium"),IF(AND(Practices_SubPractices[CP]=10,Practices_SubPractices[Org] ="Medium"),SUMIFS(Practices_SubPractices[D],Practices_SubPractices[CP],"10",Practices_SubPractices[Org],"Medium"),IF(AND(Practices_SubPractices[CP]=1,Practices_SubPractices[Org]="Large"),SUMIFS(Practices_SubPractices[D],Practices_SubPractices[CP],"1",Practices_SubPractices[Org],"Large"),IF(AND(Practices_SubPractices[CP]=2,Practices_SubPractices[Org]="Large"),SUMIFS(Practices_SubPractices[D],Practices_SubPractices[CP],"2",Practices_SubPractices[Org],"Large"),IF(AND(Practices_SubPractices[CP]=3,Practices_SubPractices[Org]="Large"),SUMIFS(Practices_SubPractices[D],Practices_SubPractices[CP],"3",Practices_SubPractices[Org],"Large"),IF(AND(Practices_SubPractices[CP]=4,Practices_SubPractices[Org]="Large"),SUMIFS(Practices_SubPractices[D],Practices_SubPractices[CP],"4",Practices_SubPractices[Org],"Large"),IF(AND(Practices_SubPractices[CP]=5,Practices_SubPractices[Org]="Large"),SUMIFS(Practices_SubPractices[D],Practices_SubPractices[CP],"5",Practices_SubPractices[Org],"Large"),IF(AND(Practices_SubPractices[CP]=6,Practices_SubPractices[Org]="Large"),SUMIFS(Practices_SubPractices[D],Practices_SubPractices[CP],"6",Practices_SubPractices[Org],"Large"),IF(AND(Practices_SubPractices[CP]=7,Practices_SubPractices[Org] ="Large"),SUMIFS(Practices_SubPractices[D],Practices_SubPractices[CP],"7",Practices_SubPractices[Org],"Large"),IF(AND(Practices_SubPractices[CP]=8,Practices_SubPractices[Org] ="Large"),SUMIFS(Practices_SubPractices[D],Practices_SubPractices[CP],"8",Practices_SubPractices[Org],"Large"),IF(AND(Practices_SubPractices[CP]=9,Practices_SubPractices[Org] ="Large"),SUMIFS(Practices_SubPractices[D],Practices_SubPractices[CP],"9",Practices_SubPractices[Org],"Large"),IF(AND(Practices_SubPractices[CP]=10,Practices_SubPractices[Org] ="Large"),SUMIFS(Practices_SubPractices[D],Practices_SubPractices[CP],"10",Practices_SubPractices[Org],"Large"),"TBD"))))))))))))))))))))))))))))))</f>
        <v>11</v>
      </c>
      <c r="R45" s="77">
        <f>IF(AND(Practices_SubPractices[CP]=1,Practices_SubPractices[Org]="Small"),SUMIFS(Practices_SubPractices[E],Practices_SubPractices[CP],"1",Practices_SubPractices[Org],"Small"),IF(AND(Practices_SubPractices[CP]=2,Practices_SubPractices[Org]="Small"),SUMIFS(Practices_SubPractices[E],Practices_SubPractices[CP],"2",Practices_SubPractices[Org],"Small"),IF(AND(Practices_SubPractices[CP]=3,Practices_SubPractices[Org]="Small"),SUMIFS(Practices_SubPractices[E],Practices_SubPractices[CP],"3",Practices_SubPractices[Org],"Small"),IF(AND(Practices_SubPractices[CP]=4,Practices_SubPractices[Org]="Small"),SUMIFS(Practices_SubPractices[E],Practices_SubPractices[CP],"4",Practices_SubPractices[Org],"Small"),IF(AND(Practices_SubPractices[CP]=5,Practices_SubPractices[Org]="Small"),SUMIFS(Practices_SubPractices[E],Practices_SubPractices[CP],"5",Practices_SubPractices[Org],"Small"),IF(AND(Practices_SubPractices[CP]=6,Practices_SubPractices[Org]="Small"),SUMIFS(Practices_SubPractices[E],Practices_SubPractices[CP],"6",Practices_SubPractices[Org],"Small"),IF(AND(Practices_SubPractices[CP]=7,Practices_SubPractices[Org] ="Small"),SUMIFS(Practices_SubPractices[E],Practices_SubPractices[CP],"7",Practices_SubPractices[Org],"Small"),IF(AND(Practices_SubPractices[CP]=8,Practices_SubPractices[Org] ="Small"),SUMIFS(Practices_SubPractices[E],Practices_SubPractices[CP],"8",Practices_SubPractices[Org],"Small"),IF(AND(Practices_SubPractices[CP]=9,Practices_SubPractices[Org] ="Small"),SUMIFS(Practices_SubPractices[E],Practices_SubPractices[CP],"9",Practices_SubPractices[Org],"Small"),IF(AND(Practices_SubPractices[CP]=10,Practices_SubPractices[Org] ="Small"),SUMIFS(Practices_SubPractices[E],Practices_SubPractices[CP],"10",Practices_SubPractices[Org],"Small"),IF(AND(Practices_SubPractices[CP]=1,Practices_SubPractices[Org]="Medium"),SUMIFS(Practices_SubPractices[E],Practices_SubPractices[CP],"1",Practices_SubPractices[Org],"Medium"),IF(AND(Practices_SubPractices[CP]=2,Practices_SubPractices[Org]="Medium"),SUMIFS(Practices_SubPractices[E],Practices_SubPractices[CP],"2",Practices_SubPractices[Org],"Medium"),IF(AND(Practices_SubPractices[CP]=3,Practices_SubPractices[Org]="Medium"),SUMIFS(Practices_SubPractices[E],Practices_SubPractices[CP],"3",Practices_SubPractices[Org],"Medium"),IF(AND(Practices_SubPractices[CP]=4,Practices_SubPractices[Org]="Medium"),SUMIFS(Practices_SubPractices[E],Practices_SubPractices[CP],"4",Practices_SubPractices[Org],"Medium"),IF(AND(Practices_SubPractices[CP]=5,Practices_SubPractices[Org]="Medium"),SUMIFS(Practices_SubPractices[E],Practices_SubPractices[CP],"5",Practices_SubPractices[Org],"Medium"),IF(AND(Practices_SubPractices[CP]=6,Practices_SubPractices[Org]="Medium"),SUMIFS(Practices_SubPractices[E],Practices_SubPractices[CP],"6",Practices_SubPractices[Org],"Medium"),IF(AND(Practices_SubPractices[CP]=7,Practices_SubPractices[Org] ="Medium"),SUMIFS(Practices_SubPractices[E],Practices_SubPractices[CP],"7",Practices_SubPractices[Org],"Medium"),IF(AND(Practices_SubPractices[CP]=8,Practices_SubPractices[Org] ="Medium"),SUMIFS(Practices_SubPractices[E],Practices_SubPractices[CP],"8",Practices_SubPractices[Org],"Medium"),IF(AND(Practices_SubPractices[CP]=9,Practices_SubPractices[Org] ="Medium"),SUMIFS(Practices_SubPractices[E],Practices_SubPractices[CP],"9",Practices_SubPractices[Org],"Medium"),IF(AND(Practices_SubPractices[CP]=10,Practices_SubPractices[Org] ="Medium"),SUMIFS(Practices_SubPractices[E],Practices_SubPractices[CP],"10",Practices_SubPractices[Org],"Medium"),IF(AND(Practices_SubPractices[CP]=1,Practices_SubPractices[Org]="Large"),SUMIFS(Practices_SubPractices[E],Practices_SubPractices[CP],"1",Practices_SubPractices[Org],"Large"),IF(AND(Practices_SubPractices[CP]=2,Practices_SubPractices[Org]="Large"),SUMIFS(Practices_SubPractices[E],Practices_SubPractices[CP],"2",Practices_SubPractices[Org],"Large"),IF(AND(Practices_SubPractices[CP]=3,Practices_SubPractices[Org]="Large"),SUMIFS(Practices_SubPractices[E],Practices_SubPractices[CP],"3",Practices_SubPractices[Org],"Large"),IF(AND(Practices_SubPractices[CP]=4,Practices_SubPractices[Org]="Large"),SUMIFS(Practices_SubPractices[E],Practices_SubPractices[CP],"4",Practices_SubPractices[Org],"Large"),IF(AND(Practices_SubPractices[CP]=5,Practices_SubPractices[Org]="Large"),SUMIFS(Practices_SubPractices[E],Practices_SubPractices[CP],"5",Practices_SubPractices[Org],"Large"),IF(AND(Practices_SubPractices[CP]=6,Practices_SubPractices[Org]="Large"),SUMIFS(Practices_SubPractices[E],Practices_SubPractices[CP],"6",Practices_SubPractices[Org],"Large"),IF(AND(Practices_SubPractices[CP]=7,Practices_SubPractices[Org] ="Large"),SUMIFS(Practices_SubPractices[E],Practices_SubPractices[CP],"7",Practices_SubPractices[Org],"Large"),IF(AND(Practices_SubPractices[CP]=8,Practices_SubPractices[Org] ="Large"),SUMIFS(Practices_SubPractices[E],Practices_SubPractices[CP],"8",Practices_SubPractices[Org],"Large"),IF(AND(Practices_SubPractices[CP]=9,Practices_SubPractices[Org] ="Large"),SUMIFS(Practices_SubPractices[E],Practices_SubPractices[CP],"9",Practices_SubPractices[Org],"Large"),IF(AND(Practices_SubPractices[CP]=10,Practices_SubPractices[Org] ="Large"),SUMIFS(Practices_SubPractices[E],Practices_SubPractices[CP],"10",Practices_SubPractices[Org],"Large"),"TBD"))))))))))))))))))))))))))))))</f>
        <v>8</v>
      </c>
      <c r="S45" s="87" t="s">
        <v>406</v>
      </c>
    </row>
    <row r="46" spans="1:19" x14ac:dyDescent="0.35">
      <c r="A46" s="73">
        <v>36</v>
      </c>
      <c r="B46" s="73">
        <v>3</v>
      </c>
      <c r="C46" s="73" t="s">
        <v>11</v>
      </c>
      <c r="D46" s="73" t="str">
        <f>Practices_SubPractices[[#This Row],[CP]]&amp;LEFT(Practices_SubPractices[[#This Row],[Org]],1)</f>
        <v>3M</v>
      </c>
      <c r="E46" s="73" t="s">
        <v>268</v>
      </c>
      <c r="F46" s="74" t="s">
        <v>82</v>
      </c>
      <c r="G46" s="74" t="s">
        <v>86</v>
      </c>
      <c r="H46" s="74" t="s">
        <v>210</v>
      </c>
      <c r="I46" s="75">
        <v>2</v>
      </c>
      <c r="J46" s="75">
        <v>2</v>
      </c>
      <c r="K46" s="75">
        <v>0</v>
      </c>
      <c r="L46" s="75">
        <v>2</v>
      </c>
      <c r="M46" s="75">
        <v>2</v>
      </c>
      <c r="N46" s="76"/>
      <c r="O46" s="77">
        <f>IF(AND(Practices_SubPractices[CP]=1,Practices_SubPractices[Org]="Small"),SUMIFS(Practices_SubPractices[B],Practices_SubPractices[CP],"1",Practices_SubPractices[Org],"Small"),IF(AND(Practices_SubPractices[CP]=2,Practices_SubPractices[Org]="Small"),SUMIFS(Practices_SubPractices[B],Practices_SubPractices[CP],"2",Practices_SubPractices[Org],"Small"),IF(AND(Practices_SubPractices[CP]=3,Practices_SubPractices[Org]="Small"),SUMIFS(Practices_SubPractices[B],Practices_SubPractices[CP],"3",Practices_SubPractices[Org],"Small"),IF(AND(Practices_SubPractices[CP]=4,Practices_SubPractices[Org]="Small"),SUMIFS(Practices_SubPractices[B],Practices_SubPractices[CP],"4",Practices_SubPractices[Org],"Small"),IF(AND(Practices_SubPractices[CP]=5,Practices_SubPractices[Org]="Small"),SUMIFS(Practices_SubPractices[B],Practices_SubPractices[CP],"5",Practices_SubPractices[Org],"Small"),IF(AND(Practices_SubPractices[CP]=6,Practices_SubPractices[Org]="Small"),SUMIFS(Practices_SubPractices[B],Practices_SubPractices[CP],"6",Practices_SubPractices[Org],"Small"),IF(AND(Practices_SubPractices[CP]=7,Practices_SubPractices[Org] ="Small"),SUMIFS(Practices_SubPractices[B],Practices_SubPractices[CP],"7",Practices_SubPractices[Org],"Small"),IF(AND(Practices_SubPractices[CP]=8,Practices_SubPractices[Org] ="Small"),SUMIFS(Practices_SubPractices[B],Practices_SubPractices[CP],"8",Practices_SubPractices[Org],"Small"),IF(AND(Practices_SubPractices[CP]=9,Practices_SubPractices[Org] ="Small"),SUMIFS(Practices_SubPractices[B],Practices_SubPractices[CP],"9",Practices_SubPractices[Org],"Small"),IF(AND(Practices_SubPractices[CP]=10,Practices_SubPractices[Org] ="Small"),SUMIFS(Practices_SubPractices[B],Practices_SubPractices[CP],"10",Practices_SubPractices[Org],"Small"),IF(AND(Practices_SubPractices[CP]=1,Practices_SubPractices[Org]="Medium"),SUMIFS(Practices_SubPractices[B],Practices_SubPractices[CP],"1",Practices_SubPractices[Org],"Medium"),IF(AND(Practices_SubPractices[CP]=2,Practices_SubPractices[Org]="Medium"),SUMIFS(Practices_SubPractices[B],Practices_SubPractices[CP],"2",Practices_SubPractices[Org],"Medium"),IF(AND(Practices_SubPractices[CP]=3,Practices_SubPractices[Org]="Medium"),SUMIFS(Practices_SubPractices[B],Practices_SubPractices[CP],"3",Practices_SubPractices[Org],"Medium"),IF(AND(Practices_SubPractices[CP]=4,Practices_SubPractices[Org]="Medium"),SUMIFS(Practices_SubPractices[B],Practices_SubPractices[CP],"4",Practices_SubPractices[Org],"Medium"),IF(AND(Practices_SubPractices[CP]=5,Practices_SubPractices[Org]="Medium"),SUMIFS(Practices_SubPractices[B],Practices_SubPractices[CP],"5",Practices_SubPractices[Org],"Medium"),IF(AND(Practices_SubPractices[CP]=6,Practices_SubPractices[Org]="Medium"),SUMIFS(Practices_SubPractices[B],Practices_SubPractices[CP],"6",Practices_SubPractices[Org],"Medium"),IF(AND(Practices_SubPractices[CP]=7,Practices_SubPractices[Org] ="Medium"),SUMIFS(Practices_SubPractices[B],Practices_SubPractices[CP],"7",Practices_SubPractices[Org],"Medium"),IF(AND(Practices_SubPractices[CP]=8,Practices_SubPractices[Org] ="Medium"),SUMIFS(Practices_SubPractices[B],Practices_SubPractices[CP],"8",Practices_SubPractices[Org],"Medium"),IF(AND(Practices_SubPractices[CP]=9,Practices_SubPractices[Org] ="Medium"),SUMIFS(Practices_SubPractices[B],Practices_SubPractices[CP],"9",Practices_SubPractices[Org],"Medium"),IF(AND(Practices_SubPractices[CP]=10,Practices_SubPractices[Org] ="Medium"),SUMIFS(Practices_SubPractices[B],Practices_SubPractices[CP],"10",Practices_SubPractices[Org],"Medium"),IF(AND(Practices_SubPractices[CP]=1,Practices_SubPractices[Org]="Large"),SUMIFS(Practices_SubPractices[B],Practices_SubPractices[CP],"1",Practices_SubPractices[Org],"Large"),IF(AND(Practices_SubPractices[CP]=2,Practices_SubPractices[Org]="Large"),SUMIFS(Practices_SubPractices[B],Practices_SubPractices[CP],"2",Practices_SubPractices[Org],"Large"),IF(AND(Practices_SubPractices[CP]=3,Practices_SubPractices[Org]="Large"),SUMIFS(Practices_SubPractices[B],Practices_SubPractices[CP],"3",Practices_SubPractices[Org],"Large"),IF(AND(Practices_SubPractices[CP]=4,Practices_SubPractices[Org]="Large"),SUMIFS(Practices_SubPractices[B],Practices_SubPractices[CP],"4",Practices_SubPractices[Org],"Large"),IF(AND(Practices_SubPractices[CP]=5,Practices_SubPractices[Org]="Large"),SUMIFS(Practices_SubPractices[B],Practices_SubPractices[CP],"5",Practices_SubPractices[Org],"Large"),IF(AND(Practices_SubPractices[CP]=6,Practices_SubPractices[Org]="Large"),SUMIFS(Practices_SubPractices[B],Practices_SubPractices[CP],"6",Practices_SubPractices[Org],"Large"),IF(AND(Practices_SubPractices[CP]=7,Practices_SubPractices[Org] ="Large"),SUMIFS(Practices_SubPractices[B],Practices_SubPractices[CP],"7",Practices_SubPractices[Org],"Large"),IF(AND(Practices_SubPractices[CP]=8,Practices_SubPractices[Org] ="Large"),SUMIFS(Practices_SubPractices[B],Practices_SubPractices[CP],"8",Practices_SubPractices[Org],"Large"),IF(AND(Practices_SubPractices[CP]=9,Practices_SubPractices[Org] ="Large"),SUMIFS(Practices_SubPractices[B],Practices_SubPractices[CP],"9",Practices_SubPractices[Org],"Large"),IF(AND(Practices_SubPractices[CP]=10,Practices_SubPractices[Org] ="Large"),SUMIFS(Practices_SubPractices[B],Practices_SubPractices[CP],"10",Practices_SubPractices[Org],"Large"),"TBD"))))))))))))))))))))))))))))))</f>
        <v>6</v>
      </c>
      <c r="P46" s="77">
        <f>IF(AND(Practices_SubPractices[CP]=1,Practices_SubPractices[Org]="Small"),SUMIFS(Practices_SubPractices[C],Practices_SubPractices[CP],"1",Practices_SubPractices[Org],"Small"),IF(AND(Practices_SubPractices[CP]=2,Practices_SubPractices[Org]="Small"),SUMIFS(Practices_SubPractices[C],Practices_SubPractices[CP],"2",Practices_SubPractices[Org],"Small"),IF(AND(Practices_SubPractices[CP]=3,Practices_SubPractices[Org]="Small"),SUMIFS(Practices_SubPractices[C],Practices_SubPractices[CP],"3",Practices_SubPractices[Org],"Small"),IF(AND(Practices_SubPractices[CP]=4,Practices_SubPractices[Org]="Small"),SUMIFS(Practices_SubPractices[C],Practices_SubPractices[CP],"4",Practices_SubPractices[Org],"Small"),IF(AND(Practices_SubPractices[CP]=5,Practices_SubPractices[Org]="Small"),SUMIFS(Practices_SubPractices[C],Practices_SubPractices[CP],"5",Practices_SubPractices[Org],"Small"),IF(AND(Practices_SubPractices[CP]=6,Practices_SubPractices[Org]="Small"),SUMIFS(Practices_SubPractices[C],Practices_SubPractices[CP],"6",Practices_SubPractices[Org],"Small"),IF(AND(Practices_SubPractices[CP]=7,Practices_SubPractices[Org] ="Small"),SUMIFS(Practices_SubPractices[C],Practices_SubPractices[CP],"7",Practices_SubPractices[Org],"Small"),IF(AND(Practices_SubPractices[CP]=8,Practices_SubPractices[Org] ="Small"),SUMIFS(Practices_SubPractices[C],Practices_SubPractices[CP],"8",Practices_SubPractices[Org],"Small"),IF(AND(Practices_SubPractices[CP]=9,Practices_SubPractices[Org] ="Small"),SUMIFS(Practices_SubPractices[C],Practices_SubPractices[CP],"9",Practices_SubPractices[Org],"Small"),IF(AND(Practices_SubPractices[CP]=10,Practices_SubPractices[Org] ="Small"),SUMIFS(Practices_SubPractices[C],Practices_SubPractices[CP],"10",Practices_SubPractices[Org],"Small"),IF(AND(Practices_SubPractices[CP]=1,Practices_SubPractices[Org]="Medium"),SUMIFS(Practices_SubPractices[C],Practices_SubPractices[CP],"1",Practices_SubPractices[Org],"Medium"),IF(AND(Practices_SubPractices[CP]=2,Practices_SubPractices[Org]="Medium"),SUMIFS(Practices_SubPractices[C],Practices_SubPractices[CP],"2",Practices_SubPractices[Org],"Medium"),IF(AND(Practices_SubPractices[CP]=3,Practices_SubPractices[Org]="Medium"),SUMIFS(Practices_SubPractices[C],Practices_SubPractices[CP],"3",Practices_SubPractices[Org],"Medium"),IF(AND(Practices_SubPractices[CP]=4,Practices_SubPractices[Org]="Medium"),SUMIFS(Practices_SubPractices[C],Practices_SubPractices[CP],"4",Practices_SubPractices[Org],"Medium"),IF(AND(Practices_SubPractices[CP]=5,Practices_SubPractices[Org]="Medium"),SUMIFS(Practices_SubPractices[C],Practices_SubPractices[CP],"5",Practices_SubPractices[Org],"Medium"),IF(AND(Practices_SubPractices[CP]=6,Practices_SubPractices[Org]="Medium"),SUMIFS(Practices_SubPractices[C],Practices_SubPractices[CP],"6",Practices_SubPractices[Org],"Medium"),IF(AND(Practices_SubPractices[CP]=7,Practices_SubPractices[Org] ="Medium"),SUMIFS(Practices_SubPractices[C],Practices_SubPractices[CP],"7",Practices_SubPractices[Org],"Medium"),IF(AND(Practices_SubPractices[CP]=8,Practices_SubPractices[Org] ="Medium"),SUMIFS(Practices_SubPractices[C],Practices_SubPractices[CP],"8",Practices_SubPractices[Org],"Medium"),IF(AND(Practices_SubPractices[CP]=9,Practices_SubPractices[Org] ="Medium"),SUMIFS(Practices_SubPractices[C],Practices_SubPractices[CP],"9",Practices_SubPractices[Org],"Medium"),IF(AND(Practices_SubPractices[CP]=10,Practices_SubPractices[Org] ="Medium"),SUMIFS(Practices_SubPractices[C],Practices_SubPractices[CP],"10",Practices_SubPractices[Org],"Medium"),IF(AND(Practices_SubPractices[CP]=1,Practices_SubPractices[Org]="Large"),SUMIFS(Practices_SubPractices[C],Practices_SubPractices[CP],"1",Practices_SubPractices[Org],"Large"),IF(AND(Practices_SubPractices[CP]=2,Practices_SubPractices[Org]="Large"),SUMIFS(Practices_SubPractices[C],Practices_SubPractices[CP],"2",Practices_SubPractices[Org],"Large"),IF(AND(Practices_SubPractices[CP]=3,Practices_SubPractices[Org]="Large"),SUMIFS(Practices_SubPractices[C],Practices_SubPractices[CP],"3",Practices_SubPractices[Org],"Large"),IF(AND(Practices_SubPractices[CP]=4,Practices_SubPractices[Org]="Large"),SUMIFS(Practices_SubPractices[C],Practices_SubPractices[CP],"4",Practices_SubPractices[Org],"Large"),IF(AND(Practices_SubPractices[CP]=5,Practices_SubPractices[Org]="Large"),SUMIFS(Practices_SubPractices[C],Practices_SubPractices[CP],"5",Practices_SubPractices[Org],"Large"),IF(AND(Practices_SubPractices[CP]=6,Practices_SubPractices[Org]="Large"),SUMIFS(Practices_SubPractices[C],Practices_SubPractices[CP],"6",Practices_SubPractices[Org],"Large"),IF(AND(Practices_SubPractices[CP]=7,Practices_SubPractices[Org] ="Large"),SUMIFS(Practices_SubPractices[C],Practices_SubPractices[CP],"7",Practices_SubPractices[Org],"Large"),IF(AND(Practices_SubPractices[CP]=8,Practices_SubPractices[Org] ="Large"),SUMIFS(Practices_SubPractices[C],Practices_SubPractices[CP],"8",Practices_SubPractices[Org],"Large"),IF(AND(Practices_SubPractices[CP]=9,Practices_SubPractices[Org] ="Large"),SUMIFS(Practices_SubPractices[C],Practices_SubPractices[CP],"9",Practices_SubPractices[Org],"Large"),IF(AND(Practices_SubPractices[CP]=10,Practices_SubPractices[Org] ="Large"),SUMIFS(Practices_SubPractices[C],Practices_SubPractices[CP],"10",Practices_SubPractices[Org],"Large"),"TBD"))))))))))))))))))))))))))))))</f>
        <v>6</v>
      </c>
      <c r="Q46" s="77">
        <f>IF(AND(Practices_SubPractices[CP]=1,Practices_SubPractices[Org]="Small"),SUMIFS(Practices_SubPractices[D],Practices_SubPractices[CP],"1",Practices_SubPractices[Org],"Small"),IF(AND(Practices_SubPractices[CP]=2,Practices_SubPractices[Org]="Small"),SUMIFS(Practices_SubPractices[D],Practices_SubPractices[CP],"2",Practices_SubPractices[Org],"Small"),IF(AND(Practices_SubPractices[CP]=3,Practices_SubPractices[Org]="Small"),SUMIFS(Practices_SubPractices[D],Practices_SubPractices[CP],"3",Practices_SubPractices[Org],"Small"),IF(AND(Practices_SubPractices[CP]=4,Practices_SubPractices[Org]="Small"),SUMIFS(Practices_SubPractices[D],Practices_SubPractices[CP],"4",Practices_SubPractices[Org],"Small"),IF(AND(Practices_SubPractices[CP]=5,Practices_SubPractices[Org]="Small"),SUMIFS(Practices_SubPractices[D],Practices_SubPractices[CP],"5",Practices_SubPractices[Org],"Small"),IF(AND(Practices_SubPractices[CP]=6,Practices_SubPractices[Org]="Small"),SUMIFS(Practices_SubPractices[D],Practices_SubPractices[CP],"6",Practices_SubPractices[Org],"Small"),IF(AND(Practices_SubPractices[CP]=7,Practices_SubPractices[Org] ="Small"),SUMIFS(Practices_SubPractices[D],Practices_SubPractices[CP],"7",Practices_SubPractices[Org],"Small"),IF(AND(Practices_SubPractices[CP]=8,Practices_SubPractices[Org] ="Small"),SUMIFS(Practices_SubPractices[D],Practices_SubPractices[CP],"8",Practices_SubPractices[Org],"Small"),IF(AND(Practices_SubPractices[CP]=9,Practices_SubPractices[Org] ="Small"),SUMIFS(Practices_SubPractices[D],Practices_SubPractices[CP],"9",Practices_SubPractices[Org],"Small"),IF(AND(Practices_SubPractices[CP]=10,Practices_SubPractices[Org] ="Small"),SUMIFS(Practices_SubPractices[D],Practices_SubPractices[CP],"10",Practices_SubPractices[Org],"Small"),IF(AND(Practices_SubPractices[CP]=1,Practices_SubPractices[Org]="Medium"),SUMIFS(Practices_SubPractices[D],Practices_SubPractices[CP],"1",Practices_SubPractices[Org],"Medium"),IF(AND(Practices_SubPractices[CP]=2,Practices_SubPractices[Org]="Medium"),SUMIFS(Practices_SubPractices[D],Practices_SubPractices[CP],"2",Practices_SubPractices[Org],"Medium"),IF(AND(Practices_SubPractices[CP]=3,Practices_SubPractices[Org]="Medium"),SUMIFS(Practices_SubPractices[D],Practices_SubPractices[CP],"3",Practices_SubPractices[Org],"Medium"),IF(AND(Practices_SubPractices[CP]=4,Practices_SubPractices[Org]="Medium"),SUMIFS(Practices_SubPractices[D],Practices_SubPractices[CP],"4",Practices_SubPractices[Org],"Medium"),IF(AND(Practices_SubPractices[CP]=5,Practices_SubPractices[Org]="Medium"),SUMIFS(Practices_SubPractices[D],Practices_SubPractices[CP],"5",Practices_SubPractices[Org],"Medium"),IF(AND(Practices_SubPractices[CP]=6,Practices_SubPractices[Org]="Medium"),SUMIFS(Practices_SubPractices[D],Practices_SubPractices[CP],"6",Practices_SubPractices[Org],"Medium"),IF(AND(Practices_SubPractices[CP]=7,Practices_SubPractices[Org] ="Medium"),SUMIFS(Practices_SubPractices[D],Practices_SubPractices[CP],"7",Practices_SubPractices[Org],"Medium"),IF(AND(Practices_SubPractices[CP]=8,Practices_SubPractices[Org] ="Medium"),SUMIFS(Practices_SubPractices[D],Practices_SubPractices[CP],"8",Practices_SubPractices[Org],"Medium"),IF(AND(Practices_SubPractices[CP]=9,Practices_SubPractices[Org] ="Medium"),SUMIFS(Practices_SubPractices[D],Practices_SubPractices[CP],"9",Practices_SubPractices[Org],"Medium"),IF(AND(Practices_SubPractices[CP]=10,Practices_SubPractices[Org] ="Medium"),SUMIFS(Practices_SubPractices[D],Practices_SubPractices[CP],"10",Practices_SubPractices[Org],"Medium"),IF(AND(Practices_SubPractices[CP]=1,Practices_SubPractices[Org]="Large"),SUMIFS(Practices_SubPractices[D],Practices_SubPractices[CP],"1",Practices_SubPractices[Org],"Large"),IF(AND(Practices_SubPractices[CP]=2,Practices_SubPractices[Org]="Large"),SUMIFS(Practices_SubPractices[D],Practices_SubPractices[CP],"2",Practices_SubPractices[Org],"Large"),IF(AND(Practices_SubPractices[CP]=3,Practices_SubPractices[Org]="Large"),SUMIFS(Practices_SubPractices[D],Practices_SubPractices[CP],"3",Practices_SubPractices[Org],"Large"),IF(AND(Practices_SubPractices[CP]=4,Practices_SubPractices[Org]="Large"),SUMIFS(Practices_SubPractices[D],Practices_SubPractices[CP],"4",Practices_SubPractices[Org],"Large"),IF(AND(Practices_SubPractices[CP]=5,Practices_SubPractices[Org]="Large"),SUMIFS(Practices_SubPractices[D],Practices_SubPractices[CP],"5",Practices_SubPractices[Org],"Large"),IF(AND(Practices_SubPractices[CP]=6,Practices_SubPractices[Org]="Large"),SUMIFS(Practices_SubPractices[D],Practices_SubPractices[CP],"6",Practices_SubPractices[Org],"Large"),IF(AND(Practices_SubPractices[CP]=7,Practices_SubPractices[Org] ="Large"),SUMIFS(Practices_SubPractices[D],Practices_SubPractices[CP],"7",Practices_SubPractices[Org],"Large"),IF(AND(Practices_SubPractices[CP]=8,Practices_SubPractices[Org] ="Large"),SUMIFS(Practices_SubPractices[D],Practices_SubPractices[CP],"8",Practices_SubPractices[Org],"Large"),IF(AND(Practices_SubPractices[CP]=9,Practices_SubPractices[Org] ="Large"),SUMIFS(Practices_SubPractices[D],Practices_SubPractices[CP],"9",Practices_SubPractices[Org],"Large"),IF(AND(Practices_SubPractices[CP]=10,Practices_SubPractices[Org] ="Large"),SUMIFS(Practices_SubPractices[D],Practices_SubPractices[CP],"10",Practices_SubPractices[Org],"Large"),"TBD"))))))))))))))))))))))))))))))</f>
        <v>7</v>
      </c>
      <c r="R46" s="77">
        <f>IF(AND(Practices_SubPractices[CP]=1,Practices_SubPractices[Org]="Small"),SUMIFS(Practices_SubPractices[E],Practices_SubPractices[CP],"1",Practices_SubPractices[Org],"Small"),IF(AND(Practices_SubPractices[CP]=2,Practices_SubPractices[Org]="Small"),SUMIFS(Practices_SubPractices[E],Practices_SubPractices[CP],"2",Practices_SubPractices[Org],"Small"),IF(AND(Practices_SubPractices[CP]=3,Practices_SubPractices[Org]="Small"),SUMIFS(Practices_SubPractices[E],Practices_SubPractices[CP],"3",Practices_SubPractices[Org],"Small"),IF(AND(Practices_SubPractices[CP]=4,Practices_SubPractices[Org]="Small"),SUMIFS(Practices_SubPractices[E],Practices_SubPractices[CP],"4",Practices_SubPractices[Org],"Small"),IF(AND(Practices_SubPractices[CP]=5,Practices_SubPractices[Org]="Small"),SUMIFS(Practices_SubPractices[E],Practices_SubPractices[CP],"5",Practices_SubPractices[Org],"Small"),IF(AND(Practices_SubPractices[CP]=6,Practices_SubPractices[Org]="Small"),SUMIFS(Practices_SubPractices[E],Practices_SubPractices[CP],"6",Practices_SubPractices[Org],"Small"),IF(AND(Practices_SubPractices[CP]=7,Practices_SubPractices[Org] ="Small"),SUMIFS(Practices_SubPractices[E],Practices_SubPractices[CP],"7",Practices_SubPractices[Org],"Small"),IF(AND(Practices_SubPractices[CP]=8,Practices_SubPractices[Org] ="Small"),SUMIFS(Practices_SubPractices[E],Practices_SubPractices[CP],"8",Practices_SubPractices[Org],"Small"),IF(AND(Practices_SubPractices[CP]=9,Practices_SubPractices[Org] ="Small"),SUMIFS(Practices_SubPractices[E],Practices_SubPractices[CP],"9",Practices_SubPractices[Org],"Small"),IF(AND(Practices_SubPractices[CP]=10,Practices_SubPractices[Org] ="Small"),SUMIFS(Practices_SubPractices[E],Practices_SubPractices[CP],"10",Practices_SubPractices[Org],"Small"),IF(AND(Practices_SubPractices[CP]=1,Practices_SubPractices[Org]="Medium"),SUMIFS(Practices_SubPractices[E],Practices_SubPractices[CP],"1",Practices_SubPractices[Org],"Medium"),IF(AND(Practices_SubPractices[CP]=2,Practices_SubPractices[Org]="Medium"),SUMIFS(Practices_SubPractices[E],Practices_SubPractices[CP],"2",Practices_SubPractices[Org],"Medium"),IF(AND(Practices_SubPractices[CP]=3,Practices_SubPractices[Org]="Medium"),SUMIFS(Practices_SubPractices[E],Practices_SubPractices[CP],"3",Practices_SubPractices[Org],"Medium"),IF(AND(Practices_SubPractices[CP]=4,Practices_SubPractices[Org]="Medium"),SUMIFS(Practices_SubPractices[E],Practices_SubPractices[CP],"4",Practices_SubPractices[Org],"Medium"),IF(AND(Practices_SubPractices[CP]=5,Practices_SubPractices[Org]="Medium"),SUMIFS(Practices_SubPractices[E],Practices_SubPractices[CP],"5",Practices_SubPractices[Org],"Medium"),IF(AND(Practices_SubPractices[CP]=6,Practices_SubPractices[Org]="Medium"),SUMIFS(Practices_SubPractices[E],Practices_SubPractices[CP],"6",Practices_SubPractices[Org],"Medium"),IF(AND(Practices_SubPractices[CP]=7,Practices_SubPractices[Org] ="Medium"),SUMIFS(Practices_SubPractices[E],Practices_SubPractices[CP],"7",Practices_SubPractices[Org],"Medium"),IF(AND(Practices_SubPractices[CP]=8,Practices_SubPractices[Org] ="Medium"),SUMIFS(Practices_SubPractices[E],Practices_SubPractices[CP],"8",Practices_SubPractices[Org],"Medium"),IF(AND(Practices_SubPractices[CP]=9,Practices_SubPractices[Org] ="Medium"),SUMIFS(Practices_SubPractices[E],Practices_SubPractices[CP],"9",Practices_SubPractices[Org],"Medium"),IF(AND(Practices_SubPractices[CP]=10,Practices_SubPractices[Org] ="Medium"),SUMIFS(Practices_SubPractices[E],Practices_SubPractices[CP],"10",Practices_SubPractices[Org],"Medium"),IF(AND(Practices_SubPractices[CP]=1,Practices_SubPractices[Org]="Large"),SUMIFS(Practices_SubPractices[E],Practices_SubPractices[CP],"1",Practices_SubPractices[Org],"Large"),IF(AND(Practices_SubPractices[CP]=2,Practices_SubPractices[Org]="Large"),SUMIFS(Practices_SubPractices[E],Practices_SubPractices[CP],"2",Practices_SubPractices[Org],"Large"),IF(AND(Practices_SubPractices[CP]=3,Practices_SubPractices[Org]="Large"),SUMIFS(Practices_SubPractices[E],Practices_SubPractices[CP],"3",Practices_SubPractices[Org],"Large"),IF(AND(Practices_SubPractices[CP]=4,Practices_SubPractices[Org]="Large"),SUMIFS(Practices_SubPractices[E],Practices_SubPractices[CP],"4",Practices_SubPractices[Org],"Large"),IF(AND(Practices_SubPractices[CP]=5,Practices_SubPractices[Org]="Large"),SUMIFS(Practices_SubPractices[E],Practices_SubPractices[CP],"5",Practices_SubPractices[Org],"Large"),IF(AND(Practices_SubPractices[CP]=6,Practices_SubPractices[Org]="Large"),SUMIFS(Practices_SubPractices[E],Practices_SubPractices[CP],"6",Practices_SubPractices[Org],"Large"),IF(AND(Practices_SubPractices[CP]=7,Practices_SubPractices[Org] ="Large"),SUMIFS(Practices_SubPractices[E],Practices_SubPractices[CP],"7",Practices_SubPractices[Org],"Large"),IF(AND(Practices_SubPractices[CP]=8,Practices_SubPractices[Org] ="Large"),SUMIFS(Practices_SubPractices[E],Practices_SubPractices[CP],"8",Practices_SubPractices[Org],"Large"),IF(AND(Practices_SubPractices[CP]=9,Practices_SubPractices[Org] ="Large"),SUMIFS(Practices_SubPractices[E],Practices_SubPractices[CP],"9",Practices_SubPractices[Org],"Large"),IF(AND(Practices_SubPractices[CP]=10,Practices_SubPractices[Org] ="Large"),SUMIFS(Practices_SubPractices[E],Practices_SubPractices[CP],"10",Practices_SubPractices[Org],"Large"),"TBD"))))))))))))))))))))))))))))))</f>
        <v>5</v>
      </c>
      <c r="S46" s="87" t="s">
        <v>411</v>
      </c>
    </row>
    <row r="47" spans="1:19" x14ac:dyDescent="0.35">
      <c r="A47" s="73">
        <v>37</v>
      </c>
      <c r="B47" s="73">
        <v>3</v>
      </c>
      <c r="C47" s="73" t="s">
        <v>12</v>
      </c>
      <c r="D47" s="73" t="str">
        <f>Practices_SubPractices[[#This Row],[CP]]&amp;LEFT(Practices_SubPractices[[#This Row],[Org]],1)</f>
        <v>3L</v>
      </c>
      <c r="E47" s="73" t="s">
        <v>268</v>
      </c>
      <c r="F47" s="74" t="s">
        <v>82</v>
      </c>
      <c r="G47" s="74" t="s">
        <v>86</v>
      </c>
      <c r="H47" s="74" t="s">
        <v>210</v>
      </c>
      <c r="I47" s="75">
        <v>2</v>
      </c>
      <c r="J47" s="75">
        <v>2</v>
      </c>
      <c r="K47" s="75">
        <v>0</v>
      </c>
      <c r="L47" s="75">
        <v>2</v>
      </c>
      <c r="M47" s="75">
        <v>2</v>
      </c>
      <c r="N47" s="76"/>
      <c r="O47" s="77">
        <f>IF(AND(Practices_SubPractices[CP]=1,Practices_SubPractices[Org]="Small"),SUMIFS(Practices_SubPractices[B],Practices_SubPractices[CP],"1",Practices_SubPractices[Org],"Small"),IF(AND(Practices_SubPractices[CP]=2,Practices_SubPractices[Org]="Small"),SUMIFS(Practices_SubPractices[B],Practices_SubPractices[CP],"2",Practices_SubPractices[Org],"Small"),IF(AND(Practices_SubPractices[CP]=3,Practices_SubPractices[Org]="Small"),SUMIFS(Practices_SubPractices[B],Practices_SubPractices[CP],"3",Practices_SubPractices[Org],"Small"),IF(AND(Practices_SubPractices[CP]=4,Practices_SubPractices[Org]="Small"),SUMIFS(Practices_SubPractices[B],Practices_SubPractices[CP],"4",Practices_SubPractices[Org],"Small"),IF(AND(Practices_SubPractices[CP]=5,Practices_SubPractices[Org]="Small"),SUMIFS(Practices_SubPractices[B],Practices_SubPractices[CP],"5",Practices_SubPractices[Org],"Small"),IF(AND(Practices_SubPractices[CP]=6,Practices_SubPractices[Org]="Small"),SUMIFS(Practices_SubPractices[B],Practices_SubPractices[CP],"6",Practices_SubPractices[Org],"Small"),IF(AND(Practices_SubPractices[CP]=7,Practices_SubPractices[Org] ="Small"),SUMIFS(Practices_SubPractices[B],Practices_SubPractices[CP],"7",Practices_SubPractices[Org],"Small"),IF(AND(Practices_SubPractices[CP]=8,Practices_SubPractices[Org] ="Small"),SUMIFS(Practices_SubPractices[B],Practices_SubPractices[CP],"8",Practices_SubPractices[Org],"Small"),IF(AND(Practices_SubPractices[CP]=9,Practices_SubPractices[Org] ="Small"),SUMIFS(Practices_SubPractices[B],Practices_SubPractices[CP],"9",Practices_SubPractices[Org],"Small"),IF(AND(Practices_SubPractices[CP]=10,Practices_SubPractices[Org] ="Small"),SUMIFS(Practices_SubPractices[B],Practices_SubPractices[CP],"10",Practices_SubPractices[Org],"Small"),IF(AND(Practices_SubPractices[CP]=1,Practices_SubPractices[Org]="Medium"),SUMIFS(Practices_SubPractices[B],Practices_SubPractices[CP],"1",Practices_SubPractices[Org],"Medium"),IF(AND(Practices_SubPractices[CP]=2,Practices_SubPractices[Org]="Medium"),SUMIFS(Practices_SubPractices[B],Practices_SubPractices[CP],"2",Practices_SubPractices[Org],"Medium"),IF(AND(Practices_SubPractices[CP]=3,Practices_SubPractices[Org]="Medium"),SUMIFS(Practices_SubPractices[B],Practices_SubPractices[CP],"3",Practices_SubPractices[Org],"Medium"),IF(AND(Practices_SubPractices[CP]=4,Practices_SubPractices[Org]="Medium"),SUMIFS(Practices_SubPractices[B],Practices_SubPractices[CP],"4",Practices_SubPractices[Org],"Medium"),IF(AND(Practices_SubPractices[CP]=5,Practices_SubPractices[Org]="Medium"),SUMIFS(Practices_SubPractices[B],Practices_SubPractices[CP],"5",Practices_SubPractices[Org],"Medium"),IF(AND(Practices_SubPractices[CP]=6,Practices_SubPractices[Org]="Medium"),SUMIFS(Practices_SubPractices[B],Practices_SubPractices[CP],"6",Practices_SubPractices[Org],"Medium"),IF(AND(Practices_SubPractices[CP]=7,Practices_SubPractices[Org] ="Medium"),SUMIFS(Practices_SubPractices[B],Practices_SubPractices[CP],"7",Practices_SubPractices[Org],"Medium"),IF(AND(Practices_SubPractices[CP]=8,Practices_SubPractices[Org] ="Medium"),SUMIFS(Practices_SubPractices[B],Practices_SubPractices[CP],"8",Practices_SubPractices[Org],"Medium"),IF(AND(Practices_SubPractices[CP]=9,Practices_SubPractices[Org] ="Medium"),SUMIFS(Practices_SubPractices[B],Practices_SubPractices[CP],"9",Practices_SubPractices[Org],"Medium"),IF(AND(Practices_SubPractices[CP]=10,Practices_SubPractices[Org] ="Medium"),SUMIFS(Practices_SubPractices[B],Practices_SubPractices[CP],"10",Practices_SubPractices[Org],"Medium"),IF(AND(Practices_SubPractices[CP]=1,Practices_SubPractices[Org]="Large"),SUMIFS(Practices_SubPractices[B],Practices_SubPractices[CP],"1",Practices_SubPractices[Org],"Large"),IF(AND(Practices_SubPractices[CP]=2,Practices_SubPractices[Org]="Large"),SUMIFS(Practices_SubPractices[B],Practices_SubPractices[CP],"2",Practices_SubPractices[Org],"Large"),IF(AND(Practices_SubPractices[CP]=3,Practices_SubPractices[Org]="Large"),SUMIFS(Practices_SubPractices[B],Practices_SubPractices[CP],"3",Practices_SubPractices[Org],"Large"),IF(AND(Practices_SubPractices[CP]=4,Practices_SubPractices[Org]="Large"),SUMIFS(Practices_SubPractices[B],Practices_SubPractices[CP],"4",Practices_SubPractices[Org],"Large"),IF(AND(Practices_SubPractices[CP]=5,Practices_SubPractices[Org]="Large"),SUMIFS(Practices_SubPractices[B],Practices_SubPractices[CP],"5",Practices_SubPractices[Org],"Large"),IF(AND(Practices_SubPractices[CP]=6,Practices_SubPractices[Org]="Large"),SUMIFS(Practices_SubPractices[B],Practices_SubPractices[CP],"6",Practices_SubPractices[Org],"Large"),IF(AND(Practices_SubPractices[CP]=7,Practices_SubPractices[Org] ="Large"),SUMIFS(Practices_SubPractices[B],Practices_SubPractices[CP],"7",Practices_SubPractices[Org],"Large"),IF(AND(Practices_SubPractices[CP]=8,Practices_SubPractices[Org] ="Large"),SUMIFS(Practices_SubPractices[B],Practices_SubPractices[CP],"8",Practices_SubPractices[Org],"Large"),IF(AND(Practices_SubPractices[CP]=9,Practices_SubPractices[Org] ="Large"),SUMIFS(Practices_SubPractices[B],Practices_SubPractices[CP],"9",Practices_SubPractices[Org],"Large"),IF(AND(Practices_SubPractices[CP]=10,Practices_SubPractices[Org] ="Large"),SUMIFS(Practices_SubPractices[B],Practices_SubPractices[CP],"10",Practices_SubPractices[Org],"Large"),"TBD"))))))))))))))))))))))))))))))</f>
        <v>12</v>
      </c>
      <c r="P47" s="77">
        <f>IF(AND(Practices_SubPractices[CP]=1,Practices_SubPractices[Org]="Small"),SUMIFS(Practices_SubPractices[C],Practices_SubPractices[CP],"1",Practices_SubPractices[Org],"Small"),IF(AND(Practices_SubPractices[CP]=2,Practices_SubPractices[Org]="Small"),SUMIFS(Practices_SubPractices[C],Practices_SubPractices[CP],"2",Practices_SubPractices[Org],"Small"),IF(AND(Practices_SubPractices[CP]=3,Practices_SubPractices[Org]="Small"),SUMIFS(Practices_SubPractices[C],Practices_SubPractices[CP],"3",Practices_SubPractices[Org],"Small"),IF(AND(Practices_SubPractices[CP]=4,Practices_SubPractices[Org]="Small"),SUMIFS(Practices_SubPractices[C],Practices_SubPractices[CP],"4",Practices_SubPractices[Org],"Small"),IF(AND(Practices_SubPractices[CP]=5,Practices_SubPractices[Org]="Small"),SUMIFS(Practices_SubPractices[C],Practices_SubPractices[CP],"5",Practices_SubPractices[Org],"Small"),IF(AND(Practices_SubPractices[CP]=6,Practices_SubPractices[Org]="Small"),SUMIFS(Practices_SubPractices[C],Practices_SubPractices[CP],"6",Practices_SubPractices[Org],"Small"),IF(AND(Practices_SubPractices[CP]=7,Practices_SubPractices[Org] ="Small"),SUMIFS(Practices_SubPractices[C],Practices_SubPractices[CP],"7",Practices_SubPractices[Org],"Small"),IF(AND(Practices_SubPractices[CP]=8,Practices_SubPractices[Org] ="Small"),SUMIFS(Practices_SubPractices[C],Practices_SubPractices[CP],"8",Practices_SubPractices[Org],"Small"),IF(AND(Practices_SubPractices[CP]=9,Practices_SubPractices[Org] ="Small"),SUMIFS(Practices_SubPractices[C],Practices_SubPractices[CP],"9",Practices_SubPractices[Org],"Small"),IF(AND(Practices_SubPractices[CP]=10,Practices_SubPractices[Org] ="Small"),SUMIFS(Practices_SubPractices[C],Practices_SubPractices[CP],"10",Practices_SubPractices[Org],"Small"),IF(AND(Practices_SubPractices[CP]=1,Practices_SubPractices[Org]="Medium"),SUMIFS(Practices_SubPractices[C],Practices_SubPractices[CP],"1",Practices_SubPractices[Org],"Medium"),IF(AND(Practices_SubPractices[CP]=2,Practices_SubPractices[Org]="Medium"),SUMIFS(Practices_SubPractices[C],Practices_SubPractices[CP],"2",Practices_SubPractices[Org],"Medium"),IF(AND(Practices_SubPractices[CP]=3,Practices_SubPractices[Org]="Medium"),SUMIFS(Practices_SubPractices[C],Practices_SubPractices[CP],"3",Practices_SubPractices[Org],"Medium"),IF(AND(Practices_SubPractices[CP]=4,Practices_SubPractices[Org]="Medium"),SUMIFS(Practices_SubPractices[C],Practices_SubPractices[CP],"4",Practices_SubPractices[Org],"Medium"),IF(AND(Practices_SubPractices[CP]=5,Practices_SubPractices[Org]="Medium"),SUMIFS(Practices_SubPractices[C],Practices_SubPractices[CP],"5",Practices_SubPractices[Org],"Medium"),IF(AND(Practices_SubPractices[CP]=6,Practices_SubPractices[Org]="Medium"),SUMIFS(Practices_SubPractices[C],Practices_SubPractices[CP],"6",Practices_SubPractices[Org],"Medium"),IF(AND(Practices_SubPractices[CP]=7,Practices_SubPractices[Org] ="Medium"),SUMIFS(Practices_SubPractices[C],Practices_SubPractices[CP],"7",Practices_SubPractices[Org],"Medium"),IF(AND(Practices_SubPractices[CP]=8,Practices_SubPractices[Org] ="Medium"),SUMIFS(Practices_SubPractices[C],Practices_SubPractices[CP],"8",Practices_SubPractices[Org],"Medium"),IF(AND(Practices_SubPractices[CP]=9,Practices_SubPractices[Org] ="Medium"),SUMIFS(Practices_SubPractices[C],Practices_SubPractices[CP],"9",Practices_SubPractices[Org],"Medium"),IF(AND(Practices_SubPractices[CP]=10,Practices_SubPractices[Org] ="Medium"),SUMIFS(Practices_SubPractices[C],Practices_SubPractices[CP],"10",Practices_SubPractices[Org],"Medium"),IF(AND(Practices_SubPractices[CP]=1,Practices_SubPractices[Org]="Large"),SUMIFS(Practices_SubPractices[C],Practices_SubPractices[CP],"1",Practices_SubPractices[Org],"Large"),IF(AND(Practices_SubPractices[CP]=2,Practices_SubPractices[Org]="Large"),SUMIFS(Practices_SubPractices[C],Practices_SubPractices[CP],"2",Practices_SubPractices[Org],"Large"),IF(AND(Practices_SubPractices[CP]=3,Practices_SubPractices[Org]="Large"),SUMIFS(Practices_SubPractices[C],Practices_SubPractices[CP],"3",Practices_SubPractices[Org],"Large"),IF(AND(Practices_SubPractices[CP]=4,Practices_SubPractices[Org]="Large"),SUMIFS(Practices_SubPractices[C],Practices_SubPractices[CP],"4",Practices_SubPractices[Org],"Large"),IF(AND(Practices_SubPractices[CP]=5,Practices_SubPractices[Org]="Large"),SUMIFS(Practices_SubPractices[C],Practices_SubPractices[CP],"5",Practices_SubPractices[Org],"Large"),IF(AND(Practices_SubPractices[CP]=6,Practices_SubPractices[Org]="Large"),SUMIFS(Practices_SubPractices[C],Practices_SubPractices[CP],"6",Practices_SubPractices[Org],"Large"),IF(AND(Practices_SubPractices[CP]=7,Practices_SubPractices[Org] ="Large"),SUMIFS(Practices_SubPractices[C],Practices_SubPractices[CP],"7",Practices_SubPractices[Org],"Large"),IF(AND(Practices_SubPractices[CP]=8,Practices_SubPractices[Org] ="Large"),SUMIFS(Practices_SubPractices[C],Practices_SubPractices[CP],"8",Practices_SubPractices[Org],"Large"),IF(AND(Practices_SubPractices[CP]=9,Practices_SubPractices[Org] ="Large"),SUMIFS(Practices_SubPractices[C],Practices_SubPractices[CP],"9",Practices_SubPractices[Org],"Large"),IF(AND(Practices_SubPractices[CP]=10,Practices_SubPractices[Org] ="Large"),SUMIFS(Practices_SubPractices[C],Practices_SubPractices[CP],"10",Practices_SubPractices[Org],"Large"),"TBD"))))))))))))))))))))))))))))))</f>
        <v>6</v>
      </c>
      <c r="Q47" s="77">
        <f>IF(AND(Practices_SubPractices[CP]=1,Practices_SubPractices[Org]="Small"),SUMIFS(Practices_SubPractices[D],Practices_SubPractices[CP],"1",Practices_SubPractices[Org],"Small"),IF(AND(Practices_SubPractices[CP]=2,Practices_SubPractices[Org]="Small"),SUMIFS(Practices_SubPractices[D],Practices_SubPractices[CP],"2",Practices_SubPractices[Org],"Small"),IF(AND(Practices_SubPractices[CP]=3,Practices_SubPractices[Org]="Small"),SUMIFS(Practices_SubPractices[D],Practices_SubPractices[CP],"3",Practices_SubPractices[Org],"Small"),IF(AND(Practices_SubPractices[CP]=4,Practices_SubPractices[Org]="Small"),SUMIFS(Practices_SubPractices[D],Practices_SubPractices[CP],"4",Practices_SubPractices[Org],"Small"),IF(AND(Practices_SubPractices[CP]=5,Practices_SubPractices[Org]="Small"),SUMIFS(Practices_SubPractices[D],Practices_SubPractices[CP],"5",Practices_SubPractices[Org],"Small"),IF(AND(Practices_SubPractices[CP]=6,Practices_SubPractices[Org]="Small"),SUMIFS(Practices_SubPractices[D],Practices_SubPractices[CP],"6",Practices_SubPractices[Org],"Small"),IF(AND(Practices_SubPractices[CP]=7,Practices_SubPractices[Org] ="Small"),SUMIFS(Practices_SubPractices[D],Practices_SubPractices[CP],"7",Practices_SubPractices[Org],"Small"),IF(AND(Practices_SubPractices[CP]=8,Practices_SubPractices[Org] ="Small"),SUMIFS(Practices_SubPractices[D],Practices_SubPractices[CP],"8",Practices_SubPractices[Org],"Small"),IF(AND(Practices_SubPractices[CP]=9,Practices_SubPractices[Org] ="Small"),SUMIFS(Practices_SubPractices[D],Practices_SubPractices[CP],"9",Practices_SubPractices[Org],"Small"),IF(AND(Practices_SubPractices[CP]=10,Practices_SubPractices[Org] ="Small"),SUMIFS(Practices_SubPractices[D],Practices_SubPractices[CP],"10",Practices_SubPractices[Org],"Small"),IF(AND(Practices_SubPractices[CP]=1,Practices_SubPractices[Org]="Medium"),SUMIFS(Practices_SubPractices[D],Practices_SubPractices[CP],"1",Practices_SubPractices[Org],"Medium"),IF(AND(Practices_SubPractices[CP]=2,Practices_SubPractices[Org]="Medium"),SUMIFS(Practices_SubPractices[D],Practices_SubPractices[CP],"2",Practices_SubPractices[Org],"Medium"),IF(AND(Practices_SubPractices[CP]=3,Practices_SubPractices[Org]="Medium"),SUMIFS(Practices_SubPractices[D],Practices_SubPractices[CP],"3",Practices_SubPractices[Org],"Medium"),IF(AND(Practices_SubPractices[CP]=4,Practices_SubPractices[Org]="Medium"),SUMIFS(Practices_SubPractices[D],Practices_SubPractices[CP],"4",Practices_SubPractices[Org],"Medium"),IF(AND(Practices_SubPractices[CP]=5,Practices_SubPractices[Org]="Medium"),SUMIFS(Practices_SubPractices[D],Practices_SubPractices[CP],"5",Practices_SubPractices[Org],"Medium"),IF(AND(Practices_SubPractices[CP]=6,Practices_SubPractices[Org]="Medium"),SUMIFS(Practices_SubPractices[D],Practices_SubPractices[CP],"6",Practices_SubPractices[Org],"Medium"),IF(AND(Practices_SubPractices[CP]=7,Practices_SubPractices[Org] ="Medium"),SUMIFS(Practices_SubPractices[D],Practices_SubPractices[CP],"7",Practices_SubPractices[Org],"Medium"),IF(AND(Practices_SubPractices[CP]=8,Practices_SubPractices[Org] ="Medium"),SUMIFS(Practices_SubPractices[D],Practices_SubPractices[CP],"8",Practices_SubPractices[Org],"Medium"),IF(AND(Practices_SubPractices[CP]=9,Practices_SubPractices[Org] ="Medium"),SUMIFS(Practices_SubPractices[D],Practices_SubPractices[CP],"9",Practices_SubPractices[Org],"Medium"),IF(AND(Practices_SubPractices[CP]=10,Practices_SubPractices[Org] ="Medium"),SUMIFS(Practices_SubPractices[D],Practices_SubPractices[CP],"10",Practices_SubPractices[Org],"Medium"),IF(AND(Practices_SubPractices[CP]=1,Practices_SubPractices[Org]="Large"),SUMIFS(Practices_SubPractices[D],Practices_SubPractices[CP],"1",Practices_SubPractices[Org],"Large"),IF(AND(Practices_SubPractices[CP]=2,Practices_SubPractices[Org]="Large"),SUMIFS(Practices_SubPractices[D],Practices_SubPractices[CP],"2",Practices_SubPractices[Org],"Large"),IF(AND(Practices_SubPractices[CP]=3,Practices_SubPractices[Org]="Large"),SUMIFS(Practices_SubPractices[D],Practices_SubPractices[CP],"3",Practices_SubPractices[Org],"Large"),IF(AND(Practices_SubPractices[CP]=4,Practices_SubPractices[Org]="Large"),SUMIFS(Practices_SubPractices[D],Practices_SubPractices[CP],"4",Practices_SubPractices[Org],"Large"),IF(AND(Practices_SubPractices[CP]=5,Practices_SubPractices[Org]="Large"),SUMIFS(Practices_SubPractices[D],Practices_SubPractices[CP],"5",Practices_SubPractices[Org],"Large"),IF(AND(Practices_SubPractices[CP]=6,Practices_SubPractices[Org]="Large"),SUMIFS(Practices_SubPractices[D],Practices_SubPractices[CP],"6",Practices_SubPractices[Org],"Large"),IF(AND(Practices_SubPractices[CP]=7,Practices_SubPractices[Org] ="Large"),SUMIFS(Practices_SubPractices[D],Practices_SubPractices[CP],"7",Practices_SubPractices[Org],"Large"),IF(AND(Practices_SubPractices[CP]=8,Practices_SubPractices[Org] ="Large"),SUMIFS(Practices_SubPractices[D],Practices_SubPractices[CP],"8",Practices_SubPractices[Org],"Large"),IF(AND(Practices_SubPractices[CP]=9,Practices_SubPractices[Org] ="Large"),SUMIFS(Practices_SubPractices[D],Practices_SubPractices[CP],"9",Practices_SubPractices[Org],"Large"),IF(AND(Practices_SubPractices[CP]=10,Practices_SubPractices[Org] ="Large"),SUMIFS(Practices_SubPractices[D],Practices_SubPractices[CP],"10",Practices_SubPractices[Org],"Large"),"TBD"))))))))))))))))))))))))))))))</f>
        <v>11</v>
      </c>
      <c r="R47" s="77">
        <f>IF(AND(Practices_SubPractices[CP]=1,Practices_SubPractices[Org]="Small"),SUMIFS(Practices_SubPractices[E],Practices_SubPractices[CP],"1",Practices_SubPractices[Org],"Small"),IF(AND(Practices_SubPractices[CP]=2,Practices_SubPractices[Org]="Small"),SUMIFS(Practices_SubPractices[E],Practices_SubPractices[CP],"2",Practices_SubPractices[Org],"Small"),IF(AND(Practices_SubPractices[CP]=3,Practices_SubPractices[Org]="Small"),SUMIFS(Practices_SubPractices[E],Practices_SubPractices[CP],"3",Practices_SubPractices[Org],"Small"),IF(AND(Practices_SubPractices[CP]=4,Practices_SubPractices[Org]="Small"),SUMIFS(Practices_SubPractices[E],Practices_SubPractices[CP],"4",Practices_SubPractices[Org],"Small"),IF(AND(Practices_SubPractices[CP]=5,Practices_SubPractices[Org]="Small"),SUMIFS(Practices_SubPractices[E],Practices_SubPractices[CP],"5",Practices_SubPractices[Org],"Small"),IF(AND(Practices_SubPractices[CP]=6,Practices_SubPractices[Org]="Small"),SUMIFS(Practices_SubPractices[E],Practices_SubPractices[CP],"6",Practices_SubPractices[Org],"Small"),IF(AND(Practices_SubPractices[CP]=7,Practices_SubPractices[Org] ="Small"),SUMIFS(Practices_SubPractices[E],Practices_SubPractices[CP],"7",Practices_SubPractices[Org],"Small"),IF(AND(Practices_SubPractices[CP]=8,Practices_SubPractices[Org] ="Small"),SUMIFS(Practices_SubPractices[E],Practices_SubPractices[CP],"8",Practices_SubPractices[Org],"Small"),IF(AND(Practices_SubPractices[CP]=9,Practices_SubPractices[Org] ="Small"),SUMIFS(Practices_SubPractices[E],Practices_SubPractices[CP],"9",Practices_SubPractices[Org],"Small"),IF(AND(Practices_SubPractices[CP]=10,Practices_SubPractices[Org] ="Small"),SUMIFS(Practices_SubPractices[E],Practices_SubPractices[CP],"10",Practices_SubPractices[Org],"Small"),IF(AND(Practices_SubPractices[CP]=1,Practices_SubPractices[Org]="Medium"),SUMIFS(Practices_SubPractices[E],Practices_SubPractices[CP],"1",Practices_SubPractices[Org],"Medium"),IF(AND(Practices_SubPractices[CP]=2,Practices_SubPractices[Org]="Medium"),SUMIFS(Practices_SubPractices[E],Practices_SubPractices[CP],"2",Practices_SubPractices[Org],"Medium"),IF(AND(Practices_SubPractices[CP]=3,Practices_SubPractices[Org]="Medium"),SUMIFS(Practices_SubPractices[E],Practices_SubPractices[CP],"3",Practices_SubPractices[Org],"Medium"),IF(AND(Practices_SubPractices[CP]=4,Practices_SubPractices[Org]="Medium"),SUMIFS(Practices_SubPractices[E],Practices_SubPractices[CP],"4",Practices_SubPractices[Org],"Medium"),IF(AND(Practices_SubPractices[CP]=5,Practices_SubPractices[Org]="Medium"),SUMIFS(Practices_SubPractices[E],Practices_SubPractices[CP],"5",Practices_SubPractices[Org],"Medium"),IF(AND(Practices_SubPractices[CP]=6,Practices_SubPractices[Org]="Medium"),SUMIFS(Practices_SubPractices[E],Practices_SubPractices[CP],"6",Practices_SubPractices[Org],"Medium"),IF(AND(Practices_SubPractices[CP]=7,Practices_SubPractices[Org] ="Medium"),SUMIFS(Practices_SubPractices[E],Practices_SubPractices[CP],"7",Practices_SubPractices[Org],"Medium"),IF(AND(Practices_SubPractices[CP]=8,Practices_SubPractices[Org] ="Medium"),SUMIFS(Practices_SubPractices[E],Practices_SubPractices[CP],"8",Practices_SubPractices[Org],"Medium"),IF(AND(Practices_SubPractices[CP]=9,Practices_SubPractices[Org] ="Medium"),SUMIFS(Practices_SubPractices[E],Practices_SubPractices[CP],"9",Practices_SubPractices[Org],"Medium"),IF(AND(Practices_SubPractices[CP]=10,Practices_SubPractices[Org] ="Medium"),SUMIFS(Practices_SubPractices[E],Practices_SubPractices[CP],"10",Practices_SubPractices[Org],"Medium"),IF(AND(Practices_SubPractices[CP]=1,Practices_SubPractices[Org]="Large"),SUMIFS(Practices_SubPractices[E],Practices_SubPractices[CP],"1",Practices_SubPractices[Org],"Large"),IF(AND(Practices_SubPractices[CP]=2,Practices_SubPractices[Org]="Large"),SUMIFS(Practices_SubPractices[E],Practices_SubPractices[CP],"2",Practices_SubPractices[Org],"Large"),IF(AND(Practices_SubPractices[CP]=3,Practices_SubPractices[Org]="Large"),SUMIFS(Practices_SubPractices[E],Practices_SubPractices[CP],"3",Practices_SubPractices[Org],"Large"),IF(AND(Practices_SubPractices[CP]=4,Practices_SubPractices[Org]="Large"),SUMIFS(Practices_SubPractices[E],Practices_SubPractices[CP],"4",Practices_SubPractices[Org],"Large"),IF(AND(Practices_SubPractices[CP]=5,Practices_SubPractices[Org]="Large"),SUMIFS(Practices_SubPractices[E],Practices_SubPractices[CP],"5",Practices_SubPractices[Org],"Large"),IF(AND(Practices_SubPractices[CP]=6,Practices_SubPractices[Org]="Large"),SUMIFS(Practices_SubPractices[E],Practices_SubPractices[CP],"6",Practices_SubPractices[Org],"Large"),IF(AND(Practices_SubPractices[CP]=7,Practices_SubPractices[Org] ="Large"),SUMIFS(Practices_SubPractices[E],Practices_SubPractices[CP],"7",Practices_SubPractices[Org],"Large"),IF(AND(Practices_SubPractices[CP]=8,Practices_SubPractices[Org] ="Large"),SUMIFS(Practices_SubPractices[E],Practices_SubPractices[CP],"8",Practices_SubPractices[Org],"Large"),IF(AND(Practices_SubPractices[CP]=9,Practices_SubPractices[Org] ="Large"),SUMIFS(Practices_SubPractices[E],Practices_SubPractices[CP],"9",Practices_SubPractices[Org],"Large"),IF(AND(Practices_SubPractices[CP]=10,Practices_SubPractices[Org] ="Large"),SUMIFS(Practices_SubPractices[E],Practices_SubPractices[CP],"10",Practices_SubPractices[Org],"Large"),"TBD"))))))))))))))))))))))))))))))</f>
        <v>8</v>
      </c>
      <c r="S47" s="87" t="s">
        <v>411</v>
      </c>
    </row>
    <row r="48" spans="1:19" x14ac:dyDescent="0.35">
      <c r="A48" s="73">
        <v>38</v>
      </c>
      <c r="B48" s="73">
        <v>4</v>
      </c>
      <c r="C48" s="73" t="s">
        <v>11</v>
      </c>
      <c r="D48" s="73" t="str">
        <f>Practices_SubPractices[[#This Row],[CP]]&amp;LEFT(Practices_SubPractices[[#This Row],[Org]],1)</f>
        <v>4M</v>
      </c>
      <c r="E48" s="73" t="s">
        <v>265</v>
      </c>
      <c r="F48" s="74" t="s">
        <v>92</v>
      </c>
      <c r="G48" s="74" t="s">
        <v>97</v>
      </c>
      <c r="H48" s="74" t="s">
        <v>219</v>
      </c>
      <c r="I48" s="75">
        <v>0</v>
      </c>
      <c r="J48" s="75">
        <v>0</v>
      </c>
      <c r="K48" s="75">
        <v>1</v>
      </c>
      <c r="L48" s="75">
        <v>2</v>
      </c>
      <c r="M48" s="75">
        <v>0</v>
      </c>
      <c r="N48" s="76"/>
      <c r="O48" s="77">
        <f>IF(AND(Practices_SubPractices[CP]=1,Practices_SubPractices[Org]="Small"),SUMIFS(Practices_SubPractices[B],Practices_SubPractices[CP],"1",Practices_SubPractices[Org],"Small"),IF(AND(Practices_SubPractices[CP]=2,Practices_SubPractices[Org]="Small"),SUMIFS(Practices_SubPractices[B],Practices_SubPractices[CP],"2",Practices_SubPractices[Org],"Small"),IF(AND(Practices_SubPractices[CP]=3,Practices_SubPractices[Org]="Small"),SUMIFS(Practices_SubPractices[B],Practices_SubPractices[CP],"3",Practices_SubPractices[Org],"Small"),IF(AND(Practices_SubPractices[CP]=4,Practices_SubPractices[Org]="Small"),SUMIFS(Practices_SubPractices[B],Practices_SubPractices[CP],"4",Practices_SubPractices[Org],"Small"),IF(AND(Practices_SubPractices[CP]=5,Practices_SubPractices[Org]="Small"),SUMIFS(Practices_SubPractices[B],Practices_SubPractices[CP],"5",Practices_SubPractices[Org],"Small"),IF(AND(Practices_SubPractices[CP]=6,Practices_SubPractices[Org]="Small"),SUMIFS(Practices_SubPractices[B],Practices_SubPractices[CP],"6",Practices_SubPractices[Org],"Small"),IF(AND(Practices_SubPractices[CP]=7,Practices_SubPractices[Org] ="Small"),SUMIFS(Practices_SubPractices[B],Practices_SubPractices[CP],"7",Practices_SubPractices[Org],"Small"),IF(AND(Practices_SubPractices[CP]=8,Practices_SubPractices[Org] ="Small"),SUMIFS(Practices_SubPractices[B],Practices_SubPractices[CP],"8",Practices_SubPractices[Org],"Small"),IF(AND(Practices_SubPractices[CP]=9,Practices_SubPractices[Org] ="Small"),SUMIFS(Practices_SubPractices[B],Practices_SubPractices[CP],"9",Practices_SubPractices[Org],"Small"),IF(AND(Practices_SubPractices[CP]=10,Practices_SubPractices[Org] ="Small"),SUMIFS(Practices_SubPractices[B],Practices_SubPractices[CP],"10",Practices_SubPractices[Org],"Small"),IF(AND(Practices_SubPractices[CP]=1,Practices_SubPractices[Org]="Medium"),SUMIFS(Practices_SubPractices[B],Practices_SubPractices[CP],"1",Practices_SubPractices[Org],"Medium"),IF(AND(Practices_SubPractices[CP]=2,Practices_SubPractices[Org]="Medium"),SUMIFS(Practices_SubPractices[B],Practices_SubPractices[CP],"2",Practices_SubPractices[Org],"Medium"),IF(AND(Practices_SubPractices[CP]=3,Practices_SubPractices[Org]="Medium"),SUMIFS(Practices_SubPractices[B],Practices_SubPractices[CP],"3",Practices_SubPractices[Org],"Medium"),IF(AND(Practices_SubPractices[CP]=4,Practices_SubPractices[Org]="Medium"),SUMIFS(Practices_SubPractices[B],Practices_SubPractices[CP],"4",Practices_SubPractices[Org],"Medium"),IF(AND(Practices_SubPractices[CP]=5,Practices_SubPractices[Org]="Medium"),SUMIFS(Practices_SubPractices[B],Practices_SubPractices[CP],"5",Practices_SubPractices[Org],"Medium"),IF(AND(Practices_SubPractices[CP]=6,Practices_SubPractices[Org]="Medium"),SUMIFS(Practices_SubPractices[B],Practices_SubPractices[CP],"6",Practices_SubPractices[Org],"Medium"),IF(AND(Practices_SubPractices[CP]=7,Practices_SubPractices[Org] ="Medium"),SUMIFS(Practices_SubPractices[B],Practices_SubPractices[CP],"7",Practices_SubPractices[Org],"Medium"),IF(AND(Practices_SubPractices[CP]=8,Practices_SubPractices[Org] ="Medium"),SUMIFS(Practices_SubPractices[B],Practices_SubPractices[CP],"8",Practices_SubPractices[Org],"Medium"),IF(AND(Practices_SubPractices[CP]=9,Practices_SubPractices[Org] ="Medium"),SUMIFS(Practices_SubPractices[B],Practices_SubPractices[CP],"9",Practices_SubPractices[Org],"Medium"),IF(AND(Practices_SubPractices[CP]=10,Practices_SubPractices[Org] ="Medium"),SUMIFS(Practices_SubPractices[B],Practices_SubPractices[CP],"10",Practices_SubPractices[Org],"Medium"),IF(AND(Practices_SubPractices[CP]=1,Practices_SubPractices[Org]="Large"),SUMIFS(Practices_SubPractices[B],Practices_SubPractices[CP],"1",Practices_SubPractices[Org],"Large"),IF(AND(Practices_SubPractices[CP]=2,Practices_SubPractices[Org]="Large"),SUMIFS(Practices_SubPractices[B],Practices_SubPractices[CP],"2",Practices_SubPractices[Org],"Large"),IF(AND(Practices_SubPractices[CP]=3,Practices_SubPractices[Org]="Large"),SUMIFS(Practices_SubPractices[B],Practices_SubPractices[CP],"3",Practices_SubPractices[Org],"Large"),IF(AND(Practices_SubPractices[CP]=4,Practices_SubPractices[Org]="Large"),SUMIFS(Practices_SubPractices[B],Practices_SubPractices[CP],"4",Practices_SubPractices[Org],"Large"),IF(AND(Practices_SubPractices[CP]=5,Practices_SubPractices[Org]="Large"),SUMIFS(Practices_SubPractices[B],Practices_SubPractices[CP],"5",Practices_SubPractices[Org],"Large"),IF(AND(Practices_SubPractices[CP]=6,Practices_SubPractices[Org]="Large"),SUMIFS(Practices_SubPractices[B],Practices_SubPractices[CP],"6",Practices_SubPractices[Org],"Large"),IF(AND(Practices_SubPractices[CP]=7,Practices_SubPractices[Org] ="Large"),SUMIFS(Practices_SubPractices[B],Practices_SubPractices[CP],"7",Practices_SubPractices[Org],"Large"),IF(AND(Practices_SubPractices[CP]=8,Practices_SubPractices[Org] ="Large"),SUMIFS(Practices_SubPractices[B],Practices_SubPractices[CP],"8",Practices_SubPractices[Org],"Large"),IF(AND(Practices_SubPractices[CP]=9,Practices_SubPractices[Org] ="Large"),SUMIFS(Practices_SubPractices[B],Practices_SubPractices[CP],"9",Practices_SubPractices[Org],"Large"),IF(AND(Practices_SubPractices[CP]=10,Practices_SubPractices[Org] ="Large"),SUMIFS(Practices_SubPractices[B],Practices_SubPractices[CP],"10",Practices_SubPractices[Org],"Large"),"TBD"))))))))))))))))))))))))))))))</f>
        <v>3</v>
      </c>
      <c r="P48" s="77">
        <f>IF(AND(Practices_SubPractices[CP]=1,Practices_SubPractices[Org]="Small"),SUMIFS(Practices_SubPractices[C],Practices_SubPractices[CP],"1",Practices_SubPractices[Org],"Small"),IF(AND(Practices_SubPractices[CP]=2,Practices_SubPractices[Org]="Small"),SUMIFS(Practices_SubPractices[C],Practices_SubPractices[CP],"2",Practices_SubPractices[Org],"Small"),IF(AND(Practices_SubPractices[CP]=3,Practices_SubPractices[Org]="Small"),SUMIFS(Practices_SubPractices[C],Practices_SubPractices[CP],"3",Practices_SubPractices[Org],"Small"),IF(AND(Practices_SubPractices[CP]=4,Practices_SubPractices[Org]="Small"),SUMIFS(Practices_SubPractices[C],Practices_SubPractices[CP],"4",Practices_SubPractices[Org],"Small"),IF(AND(Practices_SubPractices[CP]=5,Practices_SubPractices[Org]="Small"),SUMIFS(Practices_SubPractices[C],Practices_SubPractices[CP],"5",Practices_SubPractices[Org],"Small"),IF(AND(Practices_SubPractices[CP]=6,Practices_SubPractices[Org]="Small"),SUMIFS(Practices_SubPractices[C],Practices_SubPractices[CP],"6",Practices_SubPractices[Org],"Small"),IF(AND(Practices_SubPractices[CP]=7,Practices_SubPractices[Org] ="Small"),SUMIFS(Practices_SubPractices[C],Practices_SubPractices[CP],"7",Practices_SubPractices[Org],"Small"),IF(AND(Practices_SubPractices[CP]=8,Practices_SubPractices[Org] ="Small"),SUMIFS(Practices_SubPractices[C],Practices_SubPractices[CP],"8",Practices_SubPractices[Org],"Small"),IF(AND(Practices_SubPractices[CP]=9,Practices_SubPractices[Org] ="Small"),SUMIFS(Practices_SubPractices[C],Practices_SubPractices[CP],"9",Practices_SubPractices[Org],"Small"),IF(AND(Practices_SubPractices[CP]=10,Practices_SubPractices[Org] ="Small"),SUMIFS(Practices_SubPractices[C],Practices_SubPractices[CP],"10",Practices_SubPractices[Org],"Small"),IF(AND(Practices_SubPractices[CP]=1,Practices_SubPractices[Org]="Medium"),SUMIFS(Practices_SubPractices[C],Practices_SubPractices[CP],"1",Practices_SubPractices[Org],"Medium"),IF(AND(Practices_SubPractices[CP]=2,Practices_SubPractices[Org]="Medium"),SUMIFS(Practices_SubPractices[C],Practices_SubPractices[CP],"2",Practices_SubPractices[Org],"Medium"),IF(AND(Practices_SubPractices[CP]=3,Practices_SubPractices[Org]="Medium"),SUMIFS(Practices_SubPractices[C],Practices_SubPractices[CP],"3",Practices_SubPractices[Org],"Medium"),IF(AND(Practices_SubPractices[CP]=4,Practices_SubPractices[Org]="Medium"),SUMIFS(Practices_SubPractices[C],Practices_SubPractices[CP],"4",Practices_SubPractices[Org],"Medium"),IF(AND(Practices_SubPractices[CP]=5,Practices_SubPractices[Org]="Medium"),SUMIFS(Practices_SubPractices[C],Practices_SubPractices[CP],"5",Practices_SubPractices[Org],"Medium"),IF(AND(Practices_SubPractices[CP]=6,Practices_SubPractices[Org]="Medium"),SUMIFS(Practices_SubPractices[C],Practices_SubPractices[CP],"6",Practices_SubPractices[Org],"Medium"),IF(AND(Practices_SubPractices[CP]=7,Practices_SubPractices[Org] ="Medium"),SUMIFS(Practices_SubPractices[C],Practices_SubPractices[CP],"7",Practices_SubPractices[Org],"Medium"),IF(AND(Practices_SubPractices[CP]=8,Practices_SubPractices[Org] ="Medium"),SUMIFS(Practices_SubPractices[C],Practices_SubPractices[CP],"8",Practices_SubPractices[Org],"Medium"),IF(AND(Practices_SubPractices[CP]=9,Practices_SubPractices[Org] ="Medium"),SUMIFS(Practices_SubPractices[C],Practices_SubPractices[CP],"9",Practices_SubPractices[Org],"Medium"),IF(AND(Practices_SubPractices[CP]=10,Practices_SubPractices[Org] ="Medium"),SUMIFS(Practices_SubPractices[C],Practices_SubPractices[CP],"10",Practices_SubPractices[Org],"Medium"),IF(AND(Practices_SubPractices[CP]=1,Practices_SubPractices[Org]="Large"),SUMIFS(Practices_SubPractices[C],Practices_SubPractices[CP],"1",Practices_SubPractices[Org],"Large"),IF(AND(Practices_SubPractices[CP]=2,Practices_SubPractices[Org]="Large"),SUMIFS(Practices_SubPractices[C],Practices_SubPractices[CP],"2",Practices_SubPractices[Org],"Large"),IF(AND(Practices_SubPractices[CP]=3,Practices_SubPractices[Org]="Large"),SUMIFS(Practices_SubPractices[C],Practices_SubPractices[CP],"3",Practices_SubPractices[Org],"Large"),IF(AND(Practices_SubPractices[CP]=4,Practices_SubPractices[Org]="Large"),SUMIFS(Practices_SubPractices[C],Practices_SubPractices[CP],"4",Practices_SubPractices[Org],"Large"),IF(AND(Practices_SubPractices[CP]=5,Practices_SubPractices[Org]="Large"),SUMIFS(Practices_SubPractices[C],Practices_SubPractices[CP],"5",Practices_SubPractices[Org],"Large"),IF(AND(Practices_SubPractices[CP]=6,Practices_SubPractices[Org]="Large"),SUMIFS(Practices_SubPractices[C],Practices_SubPractices[CP],"6",Practices_SubPractices[Org],"Large"),IF(AND(Practices_SubPractices[CP]=7,Practices_SubPractices[Org] ="Large"),SUMIFS(Practices_SubPractices[C],Practices_SubPractices[CP],"7",Practices_SubPractices[Org],"Large"),IF(AND(Practices_SubPractices[CP]=8,Practices_SubPractices[Org] ="Large"),SUMIFS(Practices_SubPractices[C],Practices_SubPractices[CP],"8",Practices_SubPractices[Org],"Large"),IF(AND(Practices_SubPractices[CP]=9,Practices_SubPractices[Org] ="Large"),SUMIFS(Practices_SubPractices[C],Practices_SubPractices[CP],"9",Practices_SubPractices[Org],"Large"),IF(AND(Practices_SubPractices[CP]=10,Practices_SubPractices[Org] ="Large"),SUMIFS(Practices_SubPractices[C],Practices_SubPractices[CP],"10",Practices_SubPractices[Org],"Large"),"TBD"))))))))))))))))))))))))))))))</f>
        <v>9</v>
      </c>
      <c r="Q48" s="77">
        <f>IF(AND(Practices_SubPractices[CP]=1,Practices_SubPractices[Org]="Small"),SUMIFS(Practices_SubPractices[D],Practices_SubPractices[CP],"1",Practices_SubPractices[Org],"Small"),IF(AND(Practices_SubPractices[CP]=2,Practices_SubPractices[Org]="Small"),SUMIFS(Practices_SubPractices[D],Practices_SubPractices[CP],"2",Practices_SubPractices[Org],"Small"),IF(AND(Practices_SubPractices[CP]=3,Practices_SubPractices[Org]="Small"),SUMIFS(Practices_SubPractices[D],Practices_SubPractices[CP],"3",Practices_SubPractices[Org],"Small"),IF(AND(Practices_SubPractices[CP]=4,Practices_SubPractices[Org]="Small"),SUMIFS(Practices_SubPractices[D],Practices_SubPractices[CP],"4",Practices_SubPractices[Org],"Small"),IF(AND(Practices_SubPractices[CP]=5,Practices_SubPractices[Org]="Small"),SUMIFS(Practices_SubPractices[D],Practices_SubPractices[CP],"5",Practices_SubPractices[Org],"Small"),IF(AND(Practices_SubPractices[CP]=6,Practices_SubPractices[Org]="Small"),SUMIFS(Practices_SubPractices[D],Practices_SubPractices[CP],"6",Practices_SubPractices[Org],"Small"),IF(AND(Practices_SubPractices[CP]=7,Practices_SubPractices[Org] ="Small"),SUMIFS(Practices_SubPractices[D],Practices_SubPractices[CP],"7",Practices_SubPractices[Org],"Small"),IF(AND(Practices_SubPractices[CP]=8,Practices_SubPractices[Org] ="Small"),SUMIFS(Practices_SubPractices[D],Practices_SubPractices[CP],"8",Practices_SubPractices[Org],"Small"),IF(AND(Practices_SubPractices[CP]=9,Practices_SubPractices[Org] ="Small"),SUMIFS(Practices_SubPractices[D],Practices_SubPractices[CP],"9",Practices_SubPractices[Org],"Small"),IF(AND(Practices_SubPractices[CP]=10,Practices_SubPractices[Org] ="Small"),SUMIFS(Practices_SubPractices[D],Practices_SubPractices[CP],"10",Practices_SubPractices[Org],"Small"),IF(AND(Practices_SubPractices[CP]=1,Practices_SubPractices[Org]="Medium"),SUMIFS(Practices_SubPractices[D],Practices_SubPractices[CP],"1",Practices_SubPractices[Org],"Medium"),IF(AND(Practices_SubPractices[CP]=2,Practices_SubPractices[Org]="Medium"),SUMIFS(Practices_SubPractices[D],Practices_SubPractices[CP],"2",Practices_SubPractices[Org],"Medium"),IF(AND(Practices_SubPractices[CP]=3,Practices_SubPractices[Org]="Medium"),SUMIFS(Practices_SubPractices[D],Practices_SubPractices[CP],"3",Practices_SubPractices[Org],"Medium"),IF(AND(Practices_SubPractices[CP]=4,Practices_SubPractices[Org]="Medium"),SUMIFS(Practices_SubPractices[D],Practices_SubPractices[CP],"4",Practices_SubPractices[Org],"Medium"),IF(AND(Practices_SubPractices[CP]=5,Practices_SubPractices[Org]="Medium"),SUMIFS(Practices_SubPractices[D],Practices_SubPractices[CP],"5",Practices_SubPractices[Org],"Medium"),IF(AND(Practices_SubPractices[CP]=6,Practices_SubPractices[Org]="Medium"),SUMIFS(Practices_SubPractices[D],Practices_SubPractices[CP],"6",Practices_SubPractices[Org],"Medium"),IF(AND(Practices_SubPractices[CP]=7,Practices_SubPractices[Org] ="Medium"),SUMIFS(Practices_SubPractices[D],Practices_SubPractices[CP],"7",Practices_SubPractices[Org],"Medium"),IF(AND(Practices_SubPractices[CP]=8,Practices_SubPractices[Org] ="Medium"),SUMIFS(Practices_SubPractices[D],Practices_SubPractices[CP],"8",Practices_SubPractices[Org],"Medium"),IF(AND(Practices_SubPractices[CP]=9,Practices_SubPractices[Org] ="Medium"),SUMIFS(Practices_SubPractices[D],Practices_SubPractices[CP],"9",Practices_SubPractices[Org],"Medium"),IF(AND(Practices_SubPractices[CP]=10,Practices_SubPractices[Org] ="Medium"),SUMIFS(Practices_SubPractices[D],Practices_SubPractices[CP],"10",Practices_SubPractices[Org],"Medium"),IF(AND(Practices_SubPractices[CP]=1,Practices_SubPractices[Org]="Large"),SUMIFS(Practices_SubPractices[D],Practices_SubPractices[CP],"1",Practices_SubPractices[Org],"Large"),IF(AND(Practices_SubPractices[CP]=2,Practices_SubPractices[Org]="Large"),SUMIFS(Practices_SubPractices[D],Practices_SubPractices[CP],"2",Practices_SubPractices[Org],"Large"),IF(AND(Practices_SubPractices[CP]=3,Practices_SubPractices[Org]="Large"),SUMIFS(Practices_SubPractices[D],Practices_SubPractices[CP],"3",Practices_SubPractices[Org],"Large"),IF(AND(Practices_SubPractices[CP]=4,Practices_SubPractices[Org]="Large"),SUMIFS(Practices_SubPractices[D],Practices_SubPractices[CP],"4",Practices_SubPractices[Org],"Large"),IF(AND(Practices_SubPractices[CP]=5,Practices_SubPractices[Org]="Large"),SUMIFS(Practices_SubPractices[D],Practices_SubPractices[CP],"5",Practices_SubPractices[Org],"Large"),IF(AND(Practices_SubPractices[CP]=6,Practices_SubPractices[Org]="Large"),SUMIFS(Practices_SubPractices[D],Practices_SubPractices[CP],"6",Practices_SubPractices[Org],"Large"),IF(AND(Practices_SubPractices[CP]=7,Practices_SubPractices[Org] ="Large"),SUMIFS(Practices_SubPractices[D],Practices_SubPractices[CP],"7",Practices_SubPractices[Org],"Large"),IF(AND(Practices_SubPractices[CP]=8,Practices_SubPractices[Org] ="Large"),SUMIFS(Practices_SubPractices[D],Practices_SubPractices[CP],"8",Practices_SubPractices[Org],"Large"),IF(AND(Practices_SubPractices[CP]=9,Practices_SubPractices[Org] ="Large"),SUMIFS(Practices_SubPractices[D],Practices_SubPractices[CP],"9",Practices_SubPractices[Org],"Large"),IF(AND(Practices_SubPractices[CP]=10,Practices_SubPractices[Org] ="Large"),SUMIFS(Practices_SubPractices[D],Practices_SubPractices[CP],"10",Practices_SubPractices[Org],"Large"),"TBD"))))))))))))))))))))))))))))))</f>
        <v>10</v>
      </c>
      <c r="R48" s="77">
        <f>IF(AND(Practices_SubPractices[CP]=1,Practices_SubPractices[Org]="Small"),SUMIFS(Practices_SubPractices[E],Practices_SubPractices[CP],"1",Practices_SubPractices[Org],"Small"),IF(AND(Practices_SubPractices[CP]=2,Practices_SubPractices[Org]="Small"),SUMIFS(Practices_SubPractices[E],Practices_SubPractices[CP],"2",Practices_SubPractices[Org],"Small"),IF(AND(Practices_SubPractices[CP]=3,Practices_SubPractices[Org]="Small"),SUMIFS(Practices_SubPractices[E],Practices_SubPractices[CP],"3",Practices_SubPractices[Org],"Small"),IF(AND(Practices_SubPractices[CP]=4,Practices_SubPractices[Org]="Small"),SUMIFS(Practices_SubPractices[E],Practices_SubPractices[CP],"4",Practices_SubPractices[Org],"Small"),IF(AND(Practices_SubPractices[CP]=5,Practices_SubPractices[Org]="Small"),SUMIFS(Practices_SubPractices[E],Practices_SubPractices[CP],"5",Practices_SubPractices[Org],"Small"),IF(AND(Practices_SubPractices[CP]=6,Practices_SubPractices[Org]="Small"),SUMIFS(Practices_SubPractices[E],Practices_SubPractices[CP],"6",Practices_SubPractices[Org],"Small"),IF(AND(Practices_SubPractices[CP]=7,Practices_SubPractices[Org] ="Small"),SUMIFS(Practices_SubPractices[E],Practices_SubPractices[CP],"7",Practices_SubPractices[Org],"Small"),IF(AND(Practices_SubPractices[CP]=8,Practices_SubPractices[Org] ="Small"),SUMIFS(Practices_SubPractices[E],Practices_SubPractices[CP],"8",Practices_SubPractices[Org],"Small"),IF(AND(Practices_SubPractices[CP]=9,Practices_SubPractices[Org] ="Small"),SUMIFS(Practices_SubPractices[E],Practices_SubPractices[CP],"9",Practices_SubPractices[Org],"Small"),IF(AND(Practices_SubPractices[CP]=10,Practices_SubPractices[Org] ="Small"),SUMIFS(Practices_SubPractices[E],Practices_SubPractices[CP],"10",Practices_SubPractices[Org],"Small"),IF(AND(Practices_SubPractices[CP]=1,Practices_SubPractices[Org]="Medium"),SUMIFS(Practices_SubPractices[E],Practices_SubPractices[CP],"1",Practices_SubPractices[Org],"Medium"),IF(AND(Practices_SubPractices[CP]=2,Practices_SubPractices[Org]="Medium"),SUMIFS(Practices_SubPractices[E],Practices_SubPractices[CP],"2",Practices_SubPractices[Org],"Medium"),IF(AND(Practices_SubPractices[CP]=3,Practices_SubPractices[Org]="Medium"),SUMIFS(Practices_SubPractices[E],Practices_SubPractices[CP],"3",Practices_SubPractices[Org],"Medium"),IF(AND(Practices_SubPractices[CP]=4,Practices_SubPractices[Org]="Medium"),SUMIFS(Practices_SubPractices[E],Practices_SubPractices[CP],"4",Practices_SubPractices[Org],"Medium"),IF(AND(Practices_SubPractices[CP]=5,Practices_SubPractices[Org]="Medium"),SUMIFS(Practices_SubPractices[E],Practices_SubPractices[CP],"5",Practices_SubPractices[Org],"Medium"),IF(AND(Practices_SubPractices[CP]=6,Practices_SubPractices[Org]="Medium"),SUMIFS(Practices_SubPractices[E],Practices_SubPractices[CP],"6",Practices_SubPractices[Org],"Medium"),IF(AND(Practices_SubPractices[CP]=7,Practices_SubPractices[Org] ="Medium"),SUMIFS(Practices_SubPractices[E],Practices_SubPractices[CP],"7",Practices_SubPractices[Org],"Medium"),IF(AND(Practices_SubPractices[CP]=8,Practices_SubPractices[Org] ="Medium"),SUMIFS(Practices_SubPractices[E],Practices_SubPractices[CP],"8",Practices_SubPractices[Org],"Medium"),IF(AND(Practices_SubPractices[CP]=9,Practices_SubPractices[Org] ="Medium"),SUMIFS(Practices_SubPractices[E],Practices_SubPractices[CP],"9",Practices_SubPractices[Org],"Medium"),IF(AND(Practices_SubPractices[CP]=10,Practices_SubPractices[Org] ="Medium"),SUMIFS(Practices_SubPractices[E],Practices_SubPractices[CP],"10",Practices_SubPractices[Org],"Medium"),IF(AND(Practices_SubPractices[CP]=1,Practices_SubPractices[Org]="Large"),SUMIFS(Practices_SubPractices[E],Practices_SubPractices[CP],"1",Practices_SubPractices[Org],"Large"),IF(AND(Practices_SubPractices[CP]=2,Practices_SubPractices[Org]="Large"),SUMIFS(Practices_SubPractices[E],Practices_SubPractices[CP],"2",Practices_SubPractices[Org],"Large"),IF(AND(Practices_SubPractices[CP]=3,Practices_SubPractices[Org]="Large"),SUMIFS(Practices_SubPractices[E],Practices_SubPractices[CP],"3",Practices_SubPractices[Org],"Large"),IF(AND(Practices_SubPractices[CP]=4,Practices_SubPractices[Org]="Large"),SUMIFS(Practices_SubPractices[E],Practices_SubPractices[CP],"4",Practices_SubPractices[Org],"Large"),IF(AND(Practices_SubPractices[CP]=5,Practices_SubPractices[Org]="Large"),SUMIFS(Practices_SubPractices[E],Practices_SubPractices[CP],"5",Practices_SubPractices[Org],"Large"),IF(AND(Practices_SubPractices[CP]=6,Practices_SubPractices[Org]="Large"),SUMIFS(Practices_SubPractices[E],Practices_SubPractices[CP],"6",Practices_SubPractices[Org],"Large"),IF(AND(Practices_SubPractices[CP]=7,Practices_SubPractices[Org] ="Large"),SUMIFS(Practices_SubPractices[E],Practices_SubPractices[CP],"7",Practices_SubPractices[Org],"Large"),IF(AND(Practices_SubPractices[CP]=8,Practices_SubPractices[Org] ="Large"),SUMIFS(Practices_SubPractices[E],Practices_SubPractices[CP],"8",Practices_SubPractices[Org],"Large"),IF(AND(Practices_SubPractices[CP]=9,Practices_SubPractices[Org] ="Large"),SUMIFS(Practices_SubPractices[E],Practices_SubPractices[CP],"9",Practices_SubPractices[Org],"Large"),IF(AND(Practices_SubPractices[CP]=10,Practices_SubPractices[Org] ="Large"),SUMIFS(Practices_SubPractices[E],Practices_SubPractices[CP],"10",Practices_SubPractices[Org],"Large"),"TBD"))))))))))))))))))))))))))))))</f>
        <v>0</v>
      </c>
      <c r="S48" s="87" t="s">
        <v>412</v>
      </c>
    </row>
    <row r="49" spans="1:19" x14ac:dyDescent="0.35">
      <c r="A49" s="73">
        <v>39</v>
      </c>
      <c r="B49" s="73">
        <v>4</v>
      </c>
      <c r="C49" s="73" t="s">
        <v>12</v>
      </c>
      <c r="D49" s="73" t="str">
        <f>Practices_SubPractices[[#This Row],[CP]]&amp;LEFT(Practices_SubPractices[[#This Row],[Org]],1)</f>
        <v>4L</v>
      </c>
      <c r="E49" s="73" t="s">
        <v>265</v>
      </c>
      <c r="F49" s="74" t="s">
        <v>92</v>
      </c>
      <c r="G49" s="74" t="s">
        <v>97</v>
      </c>
      <c r="H49" s="74" t="s">
        <v>219</v>
      </c>
      <c r="I49" s="75">
        <v>0</v>
      </c>
      <c r="J49" s="75">
        <v>0</v>
      </c>
      <c r="K49" s="75">
        <v>1</v>
      </c>
      <c r="L49" s="75">
        <v>2</v>
      </c>
      <c r="M49" s="75">
        <v>0</v>
      </c>
      <c r="N49" s="76"/>
      <c r="O49" s="77">
        <f>IF(AND(Practices_SubPractices[CP]=1,Practices_SubPractices[Org]="Small"),SUMIFS(Practices_SubPractices[B],Practices_SubPractices[CP],"1",Practices_SubPractices[Org],"Small"),IF(AND(Practices_SubPractices[CP]=2,Practices_SubPractices[Org]="Small"),SUMIFS(Practices_SubPractices[B],Practices_SubPractices[CP],"2",Practices_SubPractices[Org],"Small"),IF(AND(Practices_SubPractices[CP]=3,Practices_SubPractices[Org]="Small"),SUMIFS(Practices_SubPractices[B],Practices_SubPractices[CP],"3",Practices_SubPractices[Org],"Small"),IF(AND(Practices_SubPractices[CP]=4,Practices_SubPractices[Org]="Small"),SUMIFS(Practices_SubPractices[B],Practices_SubPractices[CP],"4",Practices_SubPractices[Org],"Small"),IF(AND(Practices_SubPractices[CP]=5,Practices_SubPractices[Org]="Small"),SUMIFS(Practices_SubPractices[B],Practices_SubPractices[CP],"5",Practices_SubPractices[Org],"Small"),IF(AND(Practices_SubPractices[CP]=6,Practices_SubPractices[Org]="Small"),SUMIFS(Practices_SubPractices[B],Practices_SubPractices[CP],"6",Practices_SubPractices[Org],"Small"),IF(AND(Practices_SubPractices[CP]=7,Practices_SubPractices[Org] ="Small"),SUMIFS(Practices_SubPractices[B],Practices_SubPractices[CP],"7",Practices_SubPractices[Org],"Small"),IF(AND(Practices_SubPractices[CP]=8,Practices_SubPractices[Org] ="Small"),SUMIFS(Practices_SubPractices[B],Practices_SubPractices[CP],"8",Practices_SubPractices[Org],"Small"),IF(AND(Practices_SubPractices[CP]=9,Practices_SubPractices[Org] ="Small"),SUMIFS(Practices_SubPractices[B],Practices_SubPractices[CP],"9",Practices_SubPractices[Org],"Small"),IF(AND(Practices_SubPractices[CP]=10,Practices_SubPractices[Org] ="Small"),SUMIFS(Practices_SubPractices[B],Practices_SubPractices[CP],"10",Practices_SubPractices[Org],"Small"),IF(AND(Practices_SubPractices[CP]=1,Practices_SubPractices[Org]="Medium"),SUMIFS(Practices_SubPractices[B],Practices_SubPractices[CP],"1",Practices_SubPractices[Org],"Medium"),IF(AND(Practices_SubPractices[CP]=2,Practices_SubPractices[Org]="Medium"),SUMIFS(Practices_SubPractices[B],Practices_SubPractices[CP],"2",Practices_SubPractices[Org],"Medium"),IF(AND(Practices_SubPractices[CP]=3,Practices_SubPractices[Org]="Medium"),SUMIFS(Practices_SubPractices[B],Practices_SubPractices[CP],"3",Practices_SubPractices[Org],"Medium"),IF(AND(Practices_SubPractices[CP]=4,Practices_SubPractices[Org]="Medium"),SUMIFS(Practices_SubPractices[B],Practices_SubPractices[CP],"4",Practices_SubPractices[Org],"Medium"),IF(AND(Practices_SubPractices[CP]=5,Practices_SubPractices[Org]="Medium"),SUMIFS(Practices_SubPractices[B],Practices_SubPractices[CP],"5",Practices_SubPractices[Org],"Medium"),IF(AND(Practices_SubPractices[CP]=6,Practices_SubPractices[Org]="Medium"),SUMIFS(Practices_SubPractices[B],Practices_SubPractices[CP],"6",Practices_SubPractices[Org],"Medium"),IF(AND(Practices_SubPractices[CP]=7,Practices_SubPractices[Org] ="Medium"),SUMIFS(Practices_SubPractices[B],Practices_SubPractices[CP],"7",Practices_SubPractices[Org],"Medium"),IF(AND(Practices_SubPractices[CP]=8,Practices_SubPractices[Org] ="Medium"),SUMIFS(Practices_SubPractices[B],Practices_SubPractices[CP],"8",Practices_SubPractices[Org],"Medium"),IF(AND(Practices_SubPractices[CP]=9,Practices_SubPractices[Org] ="Medium"),SUMIFS(Practices_SubPractices[B],Practices_SubPractices[CP],"9",Practices_SubPractices[Org],"Medium"),IF(AND(Practices_SubPractices[CP]=10,Practices_SubPractices[Org] ="Medium"),SUMIFS(Practices_SubPractices[B],Practices_SubPractices[CP],"10",Practices_SubPractices[Org],"Medium"),IF(AND(Practices_SubPractices[CP]=1,Practices_SubPractices[Org]="Large"),SUMIFS(Practices_SubPractices[B],Practices_SubPractices[CP],"1",Practices_SubPractices[Org],"Large"),IF(AND(Practices_SubPractices[CP]=2,Practices_SubPractices[Org]="Large"),SUMIFS(Practices_SubPractices[B],Practices_SubPractices[CP],"2",Practices_SubPractices[Org],"Large"),IF(AND(Practices_SubPractices[CP]=3,Practices_SubPractices[Org]="Large"),SUMIFS(Practices_SubPractices[B],Practices_SubPractices[CP],"3",Practices_SubPractices[Org],"Large"),IF(AND(Practices_SubPractices[CP]=4,Practices_SubPractices[Org]="Large"),SUMIFS(Practices_SubPractices[B],Practices_SubPractices[CP],"4",Practices_SubPractices[Org],"Large"),IF(AND(Practices_SubPractices[CP]=5,Practices_SubPractices[Org]="Large"),SUMIFS(Practices_SubPractices[B],Practices_SubPractices[CP],"5",Practices_SubPractices[Org],"Large"),IF(AND(Practices_SubPractices[CP]=6,Practices_SubPractices[Org]="Large"),SUMIFS(Practices_SubPractices[B],Practices_SubPractices[CP],"6",Practices_SubPractices[Org],"Large"),IF(AND(Practices_SubPractices[CP]=7,Practices_SubPractices[Org] ="Large"),SUMIFS(Practices_SubPractices[B],Practices_SubPractices[CP],"7",Practices_SubPractices[Org],"Large"),IF(AND(Practices_SubPractices[CP]=8,Practices_SubPractices[Org] ="Large"),SUMIFS(Practices_SubPractices[B],Practices_SubPractices[CP],"8",Practices_SubPractices[Org],"Large"),IF(AND(Practices_SubPractices[CP]=9,Practices_SubPractices[Org] ="Large"),SUMIFS(Practices_SubPractices[B],Practices_SubPractices[CP],"9",Practices_SubPractices[Org],"Large"),IF(AND(Practices_SubPractices[CP]=10,Practices_SubPractices[Org] ="Large"),SUMIFS(Practices_SubPractices[B],Practices_SubPractices[CP],"10",Practices_SubPractices[Org],"Large"),"TBD"))))))))))))))))))))))))))))))</f>
        <v>4</v>
      </c>
      <c r="P49" s="77">
        <f>IF(AND(Practices_SubPractices[CP]=1,Practices_SubPractices[Org]="Small"),SUMIFS(Practices_SubPractices[C],Practices_SubPractices[CP],"1",Practices_SubPractices[Org],"Small"),IF(AND(Practices_SubPractices[CP]=2,Practices_SubPractices[Org]="Small"),SUMIFS(Practices_SubPractices[C],Practices_SubPractices[CP],"2",Practices_SubPractices[Org],"Small"),IF(AND(Practices_SubPractices[CP]=3,Practices_SubPractices[Org]="Small"),SUMIFS(Practices_SubPractices[C],Practices_SubPractices[CP],"3",Practices_SubPractices[Org],"Small"),IF(AND(Practices_SubPractices[CP]=4,Practices_SubPractices[Org]="Small"),SUMIFS(Practices_SubPractices[C],Practices_SubPractices[CP],"4",Practices_SubPractices[Org],"Small"),IF(AND(Practices_SubPractices[CP]=5,Practices_SubPractices[Org]="Small"),SUMIFS(Practices_SubPractices[C],Practices_SubPractices[CP],"5",Practices_SubPractices[Org],"Small"),IF(AND(Practices_SubPractices[CP]=6,Practices_SubPractices[Org]="Small"),SUMIFS(Practices_SubPractices[C],Practices_SubPractices[CP],"6",Practices_SubPractices[Org],"Small"),IF(AND(Practices_SubPractices[CP]=7,Practices_SubPractices[Org] ="Small"),SUMIFS(Practices_SubPractices[C],Practices_SubPractices[CP],"7",Practices_SubPractices[Org],"Small"),IF(AND(Practices_SubPractices[CP]=8,Practices_SubPractices[Org] ="Small"),SUMIFS(Practices_SubPractices[C],Practices_SubPractices[CP],"8",Practices_SubPractices[Org],"Small"),IF(AND(Practices_SubPractices[CP]=9,Practices_SubPractices[Org] ="Small"),SUMIFS(Practices_SubPractices[C],Practices_SubPractices[CP],"9",Practices_SubPractices[Org],"Small"),IF(AND(Practices_SubPractices[CP]=10,Practices_SubPractices[Org] ="Small"),SUMIFS(Practices_SubPractices[C],Practices_SubPractices[CP],"10",Practices_SubPractices[Org],"Small"),IF(AND(Practices_SubPractices[CP]=1,Practices_SubPractices[Org]="Medium"),SUMIFS(Practices_SubPractices[C],Practices_SubPractices[CP],"1",Practices_SubPractices[Org],"Medium"),IF(AND(Practices_SubPractices[CP]=2,Practices_SubPractices[Org]="Medium"),SUMIFS(Practices_SubPractices[C],Practices_SubPractices[CP],"2",Practices_SubPractices[Org],"Medium"),IF(AND(Practices_SubPractices[CP]=3,Practices_SubPractices[Org]="Medium"),SUMIFS(Practices_SubPractices[C],Practices_SubPractices[CP],"3",Practices_SubPractices[Org],"Medium"),IF(AND(Practices_SubPractices[CP]=4,Practices_SubPractices[Org]="Medium"),SUMIFS(Practices_SubPractices[C],Practices_SubPractices[CP],"4",Practices_SubPractices[Org],"Medium"),IF(AND(Practices_SubPractices[CP]=5,Practices_SubPractices[Org]="Medium"),SUMIFS(Practices_SubPractices[C],Practices_SubPractices[CP],"5",Practices_SubPractices[Org],"Medium"),IF(AND(Practices_SubPractices[CP]=6,Practices_SubPractices[Org]="Medium"),SUMIFS(Practices_SubPractices[C],Practices_SubPractices[CP],"6",Practices_SubPractices[Org],"Medium"),IF(AND(Practices_SubPractices[CP]=7,Practices_SubPractices[Org] ="Medium"),SUMIFS(Practices_SubPractices[C],Practices_SubPractices[CP],"7",Practices_SubPractices[Org],"Medium"),IF(AND(Practices_SubPractices[CP]=8,Practices_SubPractices[Org] ="Medium"),SUMIFS(Practices_SubPractices[C],Practices_SubPractices[CP],"8",Practices_SubPractices[Org],"Medium"),IF(AND(Practices_SubPractices[CP]=9,Practices_SubPractices[Org] ="Medium"),SUMIFS(Practices_SubPractices[C],Practices_SubPractices[CP],"9",Practices_SubPractices[Org],"Medium"),IF(AND(Practices_SubPractices[CP]=10,Practices_SubPractices[Org] ="Medium"),SUMIFS(Practices_SubPractices[C],Practices_SubPractices[CP],"10",Practices_SubPractices[Org],"Medium"),IF(AND(Practices_SubPractices[CP]=1,Practices_SubPractices[Org]="Large"),SUMIFS(Practices_SubPractices[C],Practices_SubPractices[CP],"1",Practices_SubPractices[Org],"Large"),IF(AND(Practices_SubPractices[CP]=2,Practices_SubPractices[Org]="Large"),SUMIFS(Practices_SubPractices[C],Practices_SubPractices[CP],"2",Practices_SubPractices[Org],"Large"),IF(AND(Practices_SubPractices[CP]=3,Practices_SubPractices[Org]="Large"),SUMIFS(Practices_SubPractices[C],Practices_SubPractices[CP],"3",Practices_SubPractices[Org],"Large"),IF(AND(Practices_SubPractices[CP]=4,Practices_SubPractices[Org]="Large"),SUMIFS(Practices_SubPractices[C],Practices_SubPractices[CP],"4",Practices_SubPractices[Org],"Large"),IF(AND(Practices_SubPractices[CP]=5,Practices_SubPractices[Org]="Large"),SUMIFS(Practices_SubPractices[C],Practices_SubPractices[CP],"5",Practices_SubPractices[Org],"Large"),IF(AND(Practices_SubPractices[CP]=6,Practices_SubPractices[Org]="Large"),SUMIFS(Practices_SubPractices[C],Practices_SubPractices[CP],"6",Practices_SubPractices[Org],"Large"),IF(AND(Practices_SubPractices[CP]=7,Practices_SubPractices[Org] ="Large"),SUMIFS(Practices_SubPractices[C],Practices_SubPractices[CP],"7",Practices_SubPractices[Org],"Large"),IF(AND(Practices_SubPractices[CP]=8,Practices_SubPractices[Org] ="Large"),SUMIFS(Practices_SubPractices[C],Practices_SubPractices[CP],"8",Practices_SubPractices[Org],"Large"),IF(AND(Practices_SubPractices[CP]=9,Practices_SubPractices[Org] ="Large"),SUMIFS(Practices_SubPractices[C],Practices_SubPractices[CP],"9",Practices_SubPractices[Org],"Large"),IF(AND(Practices_SubPractices[CP]=10,Practices_SubPractices[Org] ="Large"),SUMIFS(Practices_SubPractices[C],Practices_SubPractices[CP],"10",Practices_SubPractices[Org],"Large"),"TBD"))))))))))))))))))))))))))))))</f>
        <v>12</v>
      </c>
      <c r="Q49" s="77">
        <f>IF(AND(Practices_SubPractices[CP]=1,Practices_SubPractices[Org]="Small"),SUMIFS(Practices_SubPractices[D],Practices_SubPractices[CP],"1",Practices_SubPractices[Org],"Small"),IF(AND(Practices_SubPractices[CP]=2,Practices_SubPractices[Org]="Small"),SUMIFS(Practices_SubPractices[D],Practices_SubPractices[CP],"2",Practices_SubPractices[Org],"Small"),IF(AND(Practices_SubPractices[CP]=3,Practices_SubPractices[Org]="Small"),SUMIFS(Practices_SubPractices[D],Practices_SubPractices[CP],"3",Practices_SubPractices[Org],"Small"),IF(AND(Practices_SubPractices[CP]=4,Practices_SubPractices[Org]="Small"),SUMIFS(Practices_SubPractices[D],Practices_SubPractices[CP],"4",Practices_SubPractices[Org],"Small"),IF(AND(Practices_SubPractices[CP]=5,Practices_SubPractices[Org]="Small"),SUMIFS(Practices_SubPractices[D],Practices_SubPractices[CP],"5",Practices_SubPractices[Org],"Small"),IF(AND(Practices_SubPractices[CP]=6,Practices_SubPractices[Org]="Small"),SUMIFS(Practices_SubPractices[D],Practices_SubPractices[CP],"6",Practices_SubPractices[Org],"Small"),IF(AND(Practices_SubPractices[CP]=7,Practices_SubPractices[Org] ="Small"),SUMIFS(Practices_SubPractices[D],Practices_SubPractices[CP],"7",Practices_SubPractices[Org],"Small"),IF(AND(Practices_SubPractices[CP]=8,Practices_SubPractices[Org] ="Small"),SUMIFS(Practices_SubPractices[D],Practices_SubPractices[CP],"8",Practices_SubPractices[Org],"Small"),IF(AND(Practices_SubPractices[CP]=9,Practices_SubPractices[Org] ="Small"),SUMIFS(Practices_SubPractices[D],Practices_SubPractices[CP],"9",Practices_SubPractices[Org],"Small"),IF(AND(Practices_SubPractices[CP]=10,Practices_SubPractices[Org] ="Small"),SUMIFS(Practices_SubPractices[D],Practices_SubPractices[CP],"10",Practices_SubPractices[Org],"Small"),IF(AND(Practices_SubPractices[CP]=1,Practices_SubPractices[Org]="Medium"),SUMIFS(Practices_SubPractices[D],Practices_SubPractices[CP],"1",Practices_SubPractices[Org],"Medium"),IF(AND(Practices_SubPractices[CP]=2,Practices_SubPractices[Org]="Medium"),SUMIFS(Practices_SubPractices[D],Practices_SubPractices[CP],"2",Practices_SubPractices[Org],"Medium"),IF(AND(Practices_SubPractices[CP]=3,Practices_SubPractices[Org]="Medium"),SUMIFS(Practices_SubPractices[D],Practices_SubPractices[CP],"3",Practices_SubPractices[Org],"Medium"),IF(AND(Practices_SubPractices[CP]=4,Practices_SubPractices[Org]="Medium"),SUMIFS(Practices_SubPractices[D],Practices_SubPractices[CP],"4",Practices_SubPractices[Org],"Medium"),IF(AND(Practices_SubPractices[CP]=5,Practices_SubPractices[Org]="Medium"),SUMIFS(Practices_SubPractices[D],Practices_SubPractices[CP],"5",Practices_SubPractices[Org],"Medium"),IF(AND(Practices_SubPractices[CP]=6,Practices_SubPractices[Org]="Medium"),SUMIFS(Practices_SubPractices[D],Practices_SubPractices[CP],"6",Practices_SubPractices[Org],"Medium"),IF(AND(Practices_SubPractices[CP]=7,Practices_SubPractices[Org] ="Medium"),SUMIFS(Practices_SubPractices[D],Practices_SubPractices[CP],"7",Practices_SubPractices[Org],"Medium"),IF(AND(Practices_SubPractices[CP]=8,Practices_SubPractices[Org] ="Medium"),SUMIFS(Practices_SubPractices[D],Practices_SubPractices[CP],"8",Practices_SubPractices[Org],"Medium"),IF(AND(Practices_SubPractices[CP]=9,Practices_SubPractices[Org] ="Medium"),SUMIFS(Practices_SubPractices[D],Practices_SubPractices[CP],"9",Practices_SubPractices[Org],"Medium"),IF(AND(Practices_SubPractices[CP]=10,Practices_SubPractices[Org] ="Medium"),SUMIFS(Practices_SubPractices[D],Practices_SubPractices[CP],"10",Practices_SubPractices[Org],"Medium"),IF(AND(Practices_SubPractices[CP]=1,Practices_SubPractices[Org]="Large"),SUMIFS(Practices_SubPractices[D],Practices_SubPractices[CP],"1",Practices_SubPractices[Org],"Large"),IF(AND(Practices_SubPractices[CP]=2,Practices_SubPractices[Org]="Large"),SUMIFS(Practices_SubPractices[D],Practices_SubPractices[CP],"2",Practices_SubPractices[Org],"Large"),IF(AND(Practices_SubPractices[CP]=3,Practices_SubPractices[Org]="Large"),SUMIFS(Practices_SubPractices[D],Practices_SubPractices[CP],"3",Practices_SubPractices[Org],"Large"),IF(AND(Practices_SubPractices[CP]=4,Practices_SubPractices[Org]="Large"),SUMIFS(Practices_SubPractices[D],Practices_SubPractices[CP],"4",Practices_SubPractices[Org],"Large"),IF(AND(Practices_SubPractices[CP]=5,Practices_SubPractices[Org]="Large"),SUMIFS(Practices_SubPractices[D],Practices_SubPractices[CP],"5",Practices_SubPractices[Org],"Large"),IF(AND(Practices_SubPractices[CP]=6,Practices_SubPractices[Org]="Large"),SUMIFS(Practices_SubPractices[D],Practices_SubPractices[CP],"6",Practices_SubPractices[Org],"Large"),IF(AND(Practices_SubPractices[CP]=7,Practices_SubPractices[Org] ="Large"),SUMIFS(Practices_SubPractices[D],Practices_SubPractices[CP],"7",Practices_SubPractices[Org],"Large"),IF(AND(Practices_SubPractices[CP]=8,Practices_SubPractices[Org] ="Large"),SUMIFS(Practices_SubPractices[D],Practices_SubPractices[CP],"8",Practices_SubPractices[Org],"Large"),IF(AND(Practices_SubPractices[CP]=9,Practices_SubPractices[Org] ="Large"),SUMIFS(Practices_SubPractices[D],Practices_SubPractices[CP],"9",Practices_SubPractices[Org],"Large"),IF(AND(Practices_SubPractices[CP]=10,Practices_SubPractices[Org] ="Large"),SUMIFS(Practices_SubPractices[D],Practices_SubPractices[CP],"10",Practices_SubPractices[Org],"Large"),"TBD"))))))))))))))))))))))))))))))</f>
        <v>14</v>
      </c>
      <c r="R49" s="77">
        <f>IF(AND(Practices_SubPractices[CP]=1,Practices_SubPractices[Org]="Small"),SUMIFS(Practices_SubPractices[E],Practices_SubPractices[CP],"1",Practices_SubPractices[Org],"Small"),IF(AND(Practices_SubPractices[CP]=2,Practices_SubPractices[Org]="Small"),SUMIFS(Practices_SubPractices[E],Practices_SubPractices[CP],"2",Practices_SubPractices[Org],"Small"),IF(AND(Practices_SubPractices[CP]=3,Practices_SubPractices[Org]="Small"),SUMIFS(Practices_SubPractices[E],Practices_SubPractices[CP],"3",Practices_SubPractices[Org],"Small"),IF(AND(Practices_SubPractices[CP]=4,Practices_SubPractices[Org]="Small"),SUMIFS(Practices_SubPractices[E],Practices_SubPractices[CP],"4",Practices_SubPractices[Org],"Small"),IF(AND(Practices_SubPractices[CP]=5,Practices_SubPractices[Org]="Small"),SUMIFS(Practices_SubPractices[E],Practices_SubPractices[CP],"5",Practices_SubPractices[Org],"Small"),IF(AND(Practices_SubPractices[CP]=6,Practices_SubPractices[Org]="Small"),SUMIFS(Practices_SubPractices[E],Practices_SubPractices[CP],"6",Practices_SubPractices[Org],"Small"),IF(AND(Practices_SubPractices[CP]=7,Practices_SubPractices[Org] ="Small"),SUMIFS(Practices_SubPractices[E],Practices_SubPractices[CP],"7",Practices_SubPractices[Org],"Small"),IF(AND(Practices_SubPractices[CP]=8,Practices_SubPractices[Org] ="Small"),SUMIFS(Practices_SubPractices[E],Practices_SubPractices[CP],"8",Practices_SubPractices[Org],"Small"),IF(AND(Practices_SubPractices[CP]=9,Practices_SubPractices[Org] ="Small"),SUMIFS(Practices_SubPractices[E],Practices_SubPractices[CP],"9",Practices_SubPractices[Org],"Small"),IF(AND(Practices_SubPractices[CP]=10,Practices_SubPractices[Org] ="Small"),SUMIFS(Practices_SubPractices[E],Practices_SubPractices[CP],"10",Practices_SubPractices[Org],"Small"),IF(AND(Practices_SubPractices[CP]=1,Practices_SubPractices[Org]="Medium"),SUMIFS(Practices_SubPractices[E],Practices_SubPractices[CP],"1",Practices_SubPractices[Org],"Medium"),IF(AND(Practices_SubPractices[CP]=2,Practices_SubPractices[Org]="Medium"),SUMIFS(Practices_SubPractices[E],Practices_SubPractices[CP],"2",Practices_SubPractices[Org],"Medium"),IF(AND(Practices_SubPractices[CP]=3,Practices_SubPractices[Org]="Medium"),SUMIFS(Practices_SubPractices[E],Practices_SubPractices[CP],"3",Practices_SubPractices[Org],"Medium"),IF(AND(Practices_SubPractices[CP]=4,Practices_SubPractices[Org]="Medium"),SUMIFS(Practices_SubPractices[E],Practices_SubPractices[CP],"4",Practices_SubPractices[Org],"Medium"),IF(AND(Practices_SubPractices[CP]=5,Practices_SubPractices[Org]="Medium"),SUMIFS(Practices_SubPractices[E],Practices_SubPractices[CP],"5",Practices_SubPractices[Org],"Medium"),IF(AND(Practices_SubPractices[CP]=6,Practices_SubPractices[Org]="Medium"),SUMIFS(Practices_SubPractices[E],Practices_SubPractices[CP],"6",Practices_SubPractices[Org],"Medium"),IF(AND(Practices_SubPractices[CP]=7,Practices_SubPractices[Org] ="Medium"),SUMIFS(Practices_SubPractices[E],Practices_SubPractices[CP],"7",Practices_SubPractices[Org],"Medium"),IF(AND(Practices_SubPractices[CP]=8,Practices_SubPractices[Org] ="Medium"),SUMIFS(Practices_SubPractices[E],Practices_SubPractices[CP],"8",Practices_SubPractices[Org],"Medium"),IF(AND(Practices_SubPractices[CP]=9,Practices_SubPractices[Org] ="Medium"),SUMIFS(Practices_SubPractices[E],Practices_SubPractices[CP],"9",Practices_SubPractices[Org],"Medium"),IF(AND(Practices_SubPractices[CP]=10,Practices_SubPractices[Org] ="Medium"),SUMIFS(Practices_SubPractices[E],Practices_SubPractices[CP],"10",Practices_SubPractices[Org],"Medium"),IF(AND(Practices_SubPractices[CP]=1,Practices_SubPractices[Org]="Large"),SUMIFS(Practices_SubPractices[E],Practices_SubPractices[CP],"1",Practices_SubPractices[Org],"Large"),IF(AND(Practices_SubPractices[CP]=2,Practices_SubPractices[Org]="Large"),SUMIFS(Practices_SubPractices[E],Practices_SubPractices[CP],"2",Practices_SubPractices[Org],"Large"),IF(AND(Practices_SubPractices[CP]=3,Practices_SubPractices[Org]="Large"),SUMIFS(Practices_SubPractices[E],Practices_SubPractices[CP],"3",Practices_SubPractices[Org],"Large"),IF(AND(Practices_SubPractices[CP]=4,Practices_SubPractices[Org]="Large"),SUMIFS(Practices_SubPractices[E],Practices_SubPractices[CP],"4",Practices_SubPractices[Org],"Large"),IF(AND(Practices_SubPractices[CP]=5,Practices_SubPractices[Org]="Large"),SUMIFS(Practices_SubPractices[E],Practices_SubPractices[CP],"5",Practices_SubPractices[Org],"Large"),IF(AND(Practices_SubPractices[CP]=6,Practices_SubPractices[Org]="Large"),SUMIFS(Practices_SubPractices[E],Practices_SubPractices[CP],"6",Practices_SubPractices[Org],"Large"),IF(AND(Practices_SubPractices[CP]=7,Practices_SubPractices[Org] ="Large"),SUMIFS(Practices_SubPractices[E],Practices_SubPractices[CP],"7",Practices_SubPractices[Org],"Large"),IF(AND(Practices_SubPractices[CP]=8,Practices_SubPractices[Org] ="Large"),SUMIFS(Practices_SubPractices[E],Practices_SubPractices[CP],"8",Practices_SubPractices[Org],"Large"),IF(AND(Practices_SubPractices[CP]=9,Practices_SubPractices[Org] ="Large"),SUMIFS(Practices_SubPractices[E],Practices_SubPractices[CP],"9",Practices_SubPractices[Org],"Large"),IF(AND(Practices_SubPractices[CP]=10,Practices_SubPractices[Org] ="Large"),SUMIFS(Practices_SubPractices[E],Practices_SubPractices[CP],"10",Practices_SubPractices[Org],"Large"),"TBD"))))))))))))))))))))))))))))))</f>
        <v>0</v>
      </c>
      <c r="S49" s="87" t="s">
        <v>412</v>
      </c>
    </row>
    <row r="50" spans="1:19" x14ac:dyDescent="0.35">
      <c r="A50" s="73">
        <v>40</v>
      </c>
      <c r="B50" s="73">
        <v>4</v>
      </c>
      <c r="C50" s="73" t="s">
        <v>11</v>
      </c>
      <c r="D50" s="73" t="str">
        <f>Practices_SubPractices[[#This Row],[CP]]&amp;LEFT(Practices_SubPractices[[#This Row],[Org]],1)</f>
        <v>4M</v>
      </c>
      <c r="E50" s="73" t="s">
        <v>266</v>
      </c>
      <c r="F50" s="74" t="s">
        <v>93</v>
      </c>
      <c r="G50" s="74" t="s">
        <v>98</v>
      </c>
      <c r="H50" s="74" t="s">
        <v>220</v>
      </c>
      <c r="I50" s="75">
        <v>0</v>
      </c>
      <c r="J50" s="75">
        <v>0</v>
      </c>
      <c r="K50" s="75">
        <v>2</v>
      </c>
      <c r="L50" s="75">
        <v>2</v>
      </c>
      <c r="M50" s="75">
        <v>0</v>
      </c>
      <c r="N50" s="76"/>
      <c r="O50" s="77">
        <f>IF(AND(Practices_SubPractices[CP]=1,Practices_SubPractices[Org]="Small"),SUMIFS(Practices_SubPractices[B],Practices_SubPractices[CP],"1",Practices_SubPractices[Org],"Small"),IF(AND(Practices_SubPractices[CP]=2,Practices_SubPractices[Org]="Small"),SUMIFS(Practices_SubPractices[B],Practices_SubPractices[CP],"2",Practices_SubPractices[Org],"Small"),IF(AND(Practices_SubPractices[CP]=3,Practices_SubPractices[Org]="Small"),SUMIFS(Practices_SubPractices[B],Practices_SubPractices[CP],"3",Practices_SubPractices[Org],"Small"),IF(AND(Practices_SubPractices[CP]=4,Practices_SubPractices[Org]="Small"),SUMIFS(Practices_SubPractices[B],Practices_SubPractices[CP],"4",Practices_SubPractices[Org],"Small"),IF(AND(Practices_SubPractices[CP]=5,Practices_SubPractices[Org]="Small"),SUMIFS(Practices_SubPractices[B],Practices_SubPractices[CP],"5",Practices_SubPractices[Org],"Small"),IF(AND(Practices_SubPractices[CP]=6,Practices_SubPractices[Org]="Small"),SUMIFS(Practices_SubPractices[B],Practices_SubPractices[CP],"6",Practices_SubPractices[Org],"Small"),IF(AND(Practices_SubPractices[CP]=7,Practices_SubPractices[Org] ="Small"),SUMIFS(Practices_SubPractices[B],Practices_SubPractices[CP],"7",Practices_SubPractices[Org],"Small"),IF(AND(Practices_SubPractices[CP]=8,Practices_SubPractices[Org] ="Small"),SUMIFS(Practices_SubPractices[B],Practices_SubPractices[CP],"8",Practices_SubPractices[Org],"Small"),IF(AND(Practices_SubPractices[CP]=9,Practices_SubPractices[Org] ="Small"),SUMIFS(Practices_SubPractices[B],Practices_SubPractices[CP],"9",Practices_SubPractices[Org],"Small"),IF(AND(Practices_SubPractices[CP]=10,Practices_SubPractices[Org] ="Small"),SUMIFS(Practices_SubPractices[B],Practices_SubPractices[CP],"10",Practices_SubPractices[Org],"Small"),IF(AND(Practices_SubPractices[CP]=1,Practices_SubPractices[Org]="Medium"),SUMIFS(Practices_SubPractices[B],Practices_SubPractices[CP],"1",Practices_SubPractices[Org],"Medium"),IF(AND(Practices_SubPractices[CP]=2,Practices_SubPractices[Org]="Medium"),SUMIFS(Practices_SubPractices[B],Practices_SubPractices[CP],"2",Practices_SubPractices[Org],"Medium"),IF(AND(Practices_SubPractices[CP]=3,Practices_SubPractices[Org]="Medium"),SUMIFS(Practices_SubPractices[B],Practices_SubPractices[CP],"3",Practices_SubPractices[Org],"Medium"),IF(AND(Practices_SubPractices[CP]=4,Practices_SubPractices[Org]="Medium"),SUMIFS(Practices_SubPractices[B],Practices_SubPractices[CP],"4",Practices_SubPractices[Org],"Medium"),IF(AND(Practices_SubPractices[CP]=5,Practices_SubPractices[Org]="Medium"),SUMIFS(Practices_SubPractices[B],Practices_SubPractices[CP],"5",Practices_SubPractices[Org],"Medium"),IF(AND(Practices_SubPractices[CP]=6,Practices_SubPractices[Org]="Medium"),SUMIFS(Practices_SubPractices[B],Practices_SubPractices[CP],"6",Practices_SubPractices[Org],"Medium"),IF(AND(Practices_SubPractices[CP]=7,Practices_SubPractices[Org] ="Medium"),SUMIFS(Practices_SubPractices[B],Practices_SubPractices[CP],"7",Practices_SubPractices[Org],"Medium"),IF(AND(Practices_SubPractices[CP]=8,Practices_SubPractices[Org] ="Medium"),SUMIFS(Practices_SubPractices[B],Practices_SubPractices[CP],"8",Practices_SubPractices[Org],"Medium"),IF(AND(Practices_SubPractices[CP]=9,Practices_SubPractices[Org] ="Medium"),SUMIFS(Practices_SubPractices[B],Practices_SubPractices[CP],"9",Practices_SubPractices[Org],"Medium"),IF(AND(Practices_SubPractices[CP]=10,Practices_SubPractices[Org] ="Medium"),SUMIFS(Practices_SubPractices[B],Practices_SubPractices[CP],"10",Practices_SubPractices[Org],"Medium"),IF(AND(Practices_SubPractices[CP]=1,Practices_SubPractices[Org]="Large"),SUMIFS(Practices_SubPractices[B],Practices_SubPractices[CP],"1",Practices_SubPractices[Org],"Large"),IF(AND(Practices_SubPractices[CP]=2,Practices_SubPractices[Org]="Large"),SUMIFS(Practices_SubPractices[B],Practices_SubPractices[CP],"2",Practices_SubPractices[Org],"Large"),IF(AND(Practices_SubPractices[CP]=3,Practices_SubPractices[Org]="Large"),SUMIFS(Practices_SubPractices[B],Practices_SubPractices[CP],"3",Practices_SubPractices[Org],"Large"),IF(AND(Practices_SubPractices[CP]=4,Practices_SubPractices[Org]="Large"),SUMIFS(Practices_SubPractices[B],Practices_SubPractices[CP],"4",Practices_SubPractices[Org],"Large"),IF(AND(Practices_SubPractices[CP]=5,Practices_SubPractices[Org]="Large"),SUMIFS(Practices_SubPractices[B],Practices_SubPractices[CP],"5",Practices_SubPractices[Org],"Large"),IF(AND(Practices_SubPractices[CP]=6,Practices_SubPractices[Org]="Large"),SUMIFS(Practices_SubPractices[B],Practices_SubPractices[CP],"6",Practices_SubPractices[Org],"Large"),IF(AND(Practices_SubPractices[CP]=7,Practices_SubPractices[Org] ="Large"),SUMIFS(Practices_SubPractices[B],Practices_SubPractices[CP],"7",Practices_SubPractices[Org],"Large"),IF(AND(Practices_SubPractices[CP]=8,Practices_SubPractices[Org] ="Large"),SUMIFS(Practices_SubPractices[B],Practices_SubPractices[CP],"8",Practices_SubPractices[Org],"Large"),IF(AND(Practices_SubPractices[CP]=9,Practices_SubPractices[Org] ="Large"),SUMIFS(Practices_SubPractices[B],Practices_SubPractices[CP],"9",Practices_SubPractices[Org],"Large"),IF(AND(Practices_SubPractices[CP]=10,Practices_SubPractices[Org] ="Large"),SUMIFS(Practices_SubPractices[B],Practices_SubPractices[CP],"10",Practices_SubPractices[Org],"Large"),"TBD"))))))))))))))))))))))))))))))</f>
        <v>3</v>
      </c>
      <c r="P50" s="77">
        <f>IF(AND(Practices_SubPractices[CP]=1,Practices_SubPractices[Org]="Small"),SUMIFS(Practices_SubPractices[C],Practices_SubPractices[CP],"1",Practices_SubPractices[Org],"Small"),IF(AND(Practices_SubPractices[CP]=2,Practices_SubPractices[Org]="Small"),SUMIFS(Practices_SubPractices[C],Practices_SubPractices[CP],"2",Practices_SubPractices[Org],"Small"),IF(AND(Practices_SubPractices[CP]=3,Practices_SubPractices[Org]="Small"),SUMIFS(Practices_SubPractices[C],Practices_SubPractices[CP],"3",Practices_SubPractices[Org],"Small"),IF(AND(Practices_SubPractices[CP]=4,Practices_SubPractices[Org]="Small"),SUMIFS(Practices_SubPractices[C],Practices_SubPractices[CP],"4",Practices_SubPractices[Org],"Small"),IF(AND(Practices_SubPractices[CP]=5,Practices_SubPractices[Org]="Small"),SUMIFS(Practices_SubPractices[C],Practices_SubPractices[CP],"5",Practices_SubPractices[Org],"Small"),IF(AND(Practices_SubPractices[CP]=6,Practices_SubPractices[Org]="Small"),SUMIFS(Practices_SubPractices[C],Practices_SubPractices[CP],"6",Practices_SubPractices[Org],"Small"),IF(AND(Practices_SubPractices[CP]=7,Practices_SubPractices[Org] ="Small"),SUMIFS(Practices_SubPractices[C],Practices_SubPractices[CP],"7",Practices_SubPractices[Org],"Small"),IF(AND(Practices_SubPractices[CP]=8,Practices_SubPractices[Org] ="Small"),SUMIFS(Practices_SubPractices[C],Practices_SubPractices[CP],"8",Practices_SubPractices[Org],"Small"),IF(AND(Practices_SubPractices[CP]=9,Practices_SubPractices[Org] ="Small"),SUMIFS(Practices_SubPractices[C],Practices_SubPractices[CP],"9",Practices_SubPractices[Org],"Small"),IF(AND(Practices_SubPractices[CP]=10,Practices_SubPractices[Org] ="Small"),SUMIFS(Practices_SubPractices[C],Practices_SubPractices[CP],"10",Practices_SubPractices[Org],"Small"),IF(AND(Practices_SubPractices[CP]=1,Practices_SubPractices[Org]="Medium"),SUMIFS(Practices_SubPractices[C],Practices_SubPractices[CP],"1",Practices_SubPractices[Org],"Medium"),IF(AND(Practices_SubPractices[CP]=2,Practices_SubPractices[Org]="Medium"),SUMIFS(Practices_SubPractices[C],Practices_SubPractices[CP],"2",Practices_SubPractices[Org],"Medium"),IF(AND(Practices_SubPractices[CP]=3,Practices_SubPractices[Org]="Medium"),SUMIFS(Practices_SubPractices[C],Practices_SubPractices[CP],"3",Practices_SubPractices[Org],"Medium"),IF(AND(Practices_SubPractices[CP]=4,Practices_SubPractices[Org]="Medium"),SUMIFS(Practices_SubPractices[C],Practices_SubPractices[CP],"4",Practices_SubPractices[Org],"Medium"),IF(AND(Practices_SubPractices[CP]=5,Practices_SubPractices[Org]="Medium"),SUMIFS(Practices_SubPractices[C],Practices_SubPractices[CP],"5",Practices_SubPractices[Org],"Medium"),IF(AND(Practices_SubPractices[CP]=6,Practices_SubPractices[Org]="Medium"),SUMIFS(Practices_SubPractices[C],Practices_SubPractices[CP],"6",Practices_SubPractices[Org],"Medium"),IF(AND(Practices_SubPractices[CP]=7,Practices_SubPractices[Org] ="Medium"),SUMIFS(Practices_SubPractices[C],Practices_SubPractices[CP],"7",Practices_SubPractices[Org],"Medium"),IF(AND(Practices_SubPractices[CP]=8,Practices_SubPractices[Org] ="Medium"),SUMIFS(Practices_SubPractices[C],Practices_SubPractices[CP],"8",Practices_SubPractices[Org],"Medium"),IF(AND(Practices_SubPractices[CP]=9,Practices_SubPractices[Org] ="Medium"),SUMIFS(Practices_SubPractices[C],Practices_SubPractices[CP],"9",Practices_SubPractices[Org],"Medium"),IF(AND(Practices_SubPractices[CP]=10,Practices_SubPractices[Org] ="Medium"),SUMIFS(Practices_SubPractices[C],Practices_SubPractices[CP],"10",Practices_SubPractices[Org],"Medium"),IF(AND(Practices_SubPractices[CP]=1,Practices_SubPractices[Org]="Large"),SUMIFS(Practices_SubPractices[C],Practices_SubPractices[CP],"1",Practices_SubPractices[Org],"Large"),IF(AND(Practices_SubPractices[CP]=2,Practices_SubPractices[Org]="Large"),SUMIFS(Practices_SubPractices[C],Practices_SubPractices[CP],"2",Practices_SubPractices[Org],"Large"),IF(AND(Practices_SubPractices[CP]=3,Practices_SubPractices[Org]="Large"),SUMIFS(Practices_SubPractices[C],Practices_SubPractices[CP],"3",Practices_SubPractices[Org],"Large"),IF(AND(Practices_SubPractices[CP]=4,Practices_SubPractices[Org]="Large"),SUMIFS(Practices_SubPractices[C],Practices_SubPractices[CP],"4",Practices_SubPractices[Org],"Large"),IF(AND(Practices_SubPractices[CP]=5,Practices_SubPractices[Org]="Large"),SUMIFS(Practices_SubPractices[C],Practices_SubPractices[CP],"5",Practices_SubPractices[Org],"Large"),IF(AND(Practices_SubPractices[CP]=6,Practices_SubPractices[Org]="Large"),SUMIFS(Practices_SubPractices[C],Practices_SubPractices[CP],"6",Practices_SubPractices[Org],"Large"),IF(AND(Practices_SubPractices[CP]=7,Practices_SubPractices[Org] ="Large"),SUMIFS(Practices_SubPractices[C],Practices_SubPractices[CP],"7",Practices_SubPractices[Org],"Large"),IF(AND(Practices_SubPractices[CP]=8,Practices_SubPractices[Org] ="Large"),SUMIFS(Practices_SubPractices[C],Practices_SubPractices[CP],"8",Practices_SubPractices[Org],"Large"),IF(AND(Practices_SubPractices[CP]=9,Practices_SubPractices[Org] ="Large"),SUMIFS(Practices_SubPractices[C],Practices_SubPractices[CP],"9",Practices_SubPractices[Org],"Large"),IF(AND(Practices_SubPractices[CP]=10,Practices_SubPractices[Org] ="Large"),SUMIFS(Practices_SubPractices[C],Practices_SubPractices[CP],"10",Practices_SubPractices[Org],"Large"),"TBD"))))))))))))))))))))))))))))))</f>
        <v>9</v>
      </c>
      <c r="Q50" s="77">
        <f>IF(AND(Practices_SubPractices[CP]=1,Practices_SubPractices[Org]="Small"),SUMIFS(Practices_SubPractices[D],Practices_SubPractices[CP],"1",Practices_SubPractices[Org],"Small"),IF(AND(Practices_SubPractices[CP]=2,Practices_SubPractices[Org]="Small"),SUMIFS(Practices_SubPractices[D],Practices_SubPractices[CP],"2",Practices_SubPractices[Org],"Small"),IF(AND(Practices_SubPractices[CP]=3,Practices_SubPractices[Org]="Small"),SUMIFS(Practices_SubPractices[D],Practices_SubPractices[CP],"3",Practices_SubPractices[Org],"Small"),IF(AND(Practices_SubPractices[CP]=4,Practices_SubPractices[Org]="Small"),SUMIFS(Practices_SubPractices[D],Practices_SubPractices[CP],"4",Practices_SubPractices[Org],"Small"),IF(AND(Practices_SubPractices[CP]=5,Practices_SubPractices[Org]="Small"),SUMIFS(Practices_SubPractices[D],Practices_SubPractices[CP],"5",Practices_SubPractices[Org],"Small"),IF(AND(Practices_SubPractices[CP]=6,Practices_SubPractices[Org]="Small"),SUMIFS(Practices_SubPractices[D],Practices_SubPractices[CP],"6",Practices_SubPractices[Org],"Small"),IF(AND(Practices_SubPractices[CP]=7,Practices_SubPractices[Org] ="Small"),SUMIFS(Practices_SubPractices[D],Practices_SubPractices[CP],"7",Practices_SubPractices[Org],"Small"),IF(AND(Practices_SubPractices[CP]=8,Practices_SubPractices[Org] ="Small"),SUMIFS(Practices_SubPractices[D],Practices_SubPractices[CP],"8",Practices_SubPractices[Org],"Small"),IF(AND(Practices_SubPractices[CP]=9,Practices_SubPractices[Org] ="Small"),SUMIFS(Practices_SubPractices[D],Practices_SubPractices[CP],"9",Practices_SubPractices[Org],"Small"),IF(AND(Practices_SubPractices[CP]=10,Practices_SubPractices[Org] ="Small"),SUMIFS(Practices_SubPractices[D],Practices_SubPractices[CP],"10",Practices_SubPractices[Org],"Small"),IF(AND(Practices_SubPractices[CP]=1,Practices_SubPractices[Org]="Medium"),SUMIFS(Practices_SubPractices[D],Practices_SubPractices[CP],"1",Practices_SubPractices[Org],"Medium"),IF(AND(Practices_SubPractices[CP]=2,Practices_SubPractices[Org]="Medium"),SUMIFS(Practices_SubPractices[D],Practices_SubPractices[CP],"2",Practices_SubPractices[Org],"Medium"),IF(AND(Practices_SubPractices[CP]=3,Practices_SubPractices[Org]="Medium"),SUMIFS(Practices_SubPractices[D],Practices_SubPractices[CP],"3",Practices_SubPractices[Org],"Medium"),IF(AND(Practices_SubPractices[CP]=4,Practices_SubPractices[Org]="Medium"),SUMIFS(Practices_SubPractices[D],Practices_SubPractices[CP],"4",Practices_SubPractices[Org],"Medium"),IF(AND(Practices_SubPractices[CP]=5,Practices_SubPractices[Org]="Medium"),SUMIFS(Practices_SubPractices[D],Practices_SubPractices[CP],"5",Practices_SubPractices[Org],"Medium"),IF(AND(Practices_SubPractices[CP]=6,Practices_SubPractices[Org]="Medium"),SUMIFS(Practices_SubPractices[D],Practices_SubPractices[CP],"6",Practices_SubPractices[Org],"Medium"),IF(AND(Practices_SubPractices[CP]=7,Practices_SubPractices[Org] ="Medium"),SUMIFS(Practices_SubPractices[D],Practices_SubPractices[CP],"7",Practices_SubPractices[Org],"Medium"),IF(AND(Practices_SubPractices[CP]=8,Practices_SubPractices[Org] ="Medium"),SUMIFS(Practices_SubPractices[D],Practices_SubPractices[CP],"8",Practices_SubPractices[Org],"Medium"),IF(AND(Practices_SubPractices[CP]=9,Practices_SubPractices[Org] ="Medium"),SUMIFS(Practices_SubPractices[D],Practices_SubPractices[CP],"9",Practices_SubPractices[Org],"Medium"),IF(AND(Practices_SubPractices[CP]=10,Practices_SubPractices[Org] ="Medium"),SUMIFS(Practices_SubPractices[D],Practices_SubPractices[CP],"10",Practices_SubPractices[Org],"Medium"),IF(AND(Practices_SubPractices[CP]=1,Practices_SubPractices[Org]="Large"),SUMIFS(Practices_SubPractices[D],Practices_SubPractices[CP],"1",Practices_SubPractices[Org],"Large"),IF(AND(Practices_SubPractices[CP]=2,Practices_SubPractices[Org]="Large"),SUMIFS(Practices_SubPractices[D],Practices_SubPractices[CP],"2",Practices_SubPractices[Org],"Large"),IF(AND(Practices_SubPractices[CP]=3,Practices_SubPractices[Org]="Large"),SUMIFS(Practices_SubPractices[D],Practices_SubPractices[CP],"3",Practices_SubPractices[Org],"Large"),IF(AND(Practices_SubPractices[CP]=4,Practices_SubPractices[Org]="Large"),SUMIFS(Practices_SubPractices[D],Practices_SubPractices[CP],"4",Practices_SubPractices[Org],"Large"),IF(AND(Practices_SubPractices[CP]=5,Practices_SubPractices[Org]="Large"),SUMIFS(Practices_SubPractices[D],Practices_SubPractices[CP],"5",Practices_SubPractices[Org],"Large"),IF(AND(Practices_SubPractices[CP]=6,Practices_SubPractices[Org]="Large"),SUMIFS(Practices_SubPractices[D],Practices_SubPractices[CP],"6",Practices_SubPractices[Org],"Large"),IF(AND(Practices_SubPractices[CP]=7,Practices_SubPractices[Org] ="Large"),SUMIFS(Practices_SubPractices[D],Practices_SubPractices[CP],"7",Practices_SubPractices[Org],"Large"),IF(AND(Practices_SubPractices[CP]=8,Practices_SubPractices[Org] ="Large"),SUMIFS(Practices_SubPractices[D],Practices_SubPractices[CP],"8",Practices_SubPractices[Org],"Large"),IF(AND(Practices_SubPractices[CP]=9,Practices_SubPractices[Org] ="Large"),SUMIFS(Practices_SubPractices[D],Practices_SubPractices[CP],"9",Practices_SubPractices[Org],"Large"),IF(AND(Practices_SubPractices[CP]=10,Practices_SubPractices[Org] ="Large"),SUMIFS(Practices_SubPractices[D],Practices_SubPractices[CP],"10",Practices_SubPractices[Org],"Large"),"TBD"))))))))))))))))))))))))))))))</f>
        <v>10</v>
      </c>
      <c r="R50" s="77">
        <f>IF(AND(Practices_SubPractices[CP]=1,Practices_SubPractices[Org]="Small"),SUMIFS(Practices_SubPractices[E],Practices_SubPractices[CP],"1",Practices_SubPractices[Org],"Small"),IF(AND(Practices_SubPractices[CP]=2,Practices_SubPractices[Org]="Small"),SUMIFS(Practices_SubPractices[E],Practices_SubPractices[CP],"2",Practices_SubPractices[Org],"Small"),IF(AND(Practices_SubPractices[CP]=3,Practices_SubPractices[Org]="Small"),SUMIFS(Practices_SubPractices[E],Practices_SubPractices[CP],"3",Practices_SubPractices[Org],"Small"),IF(AND(Practices_SubPractices[CP]=4,Practices_SubPractices[Org]="Small"),SUMIFS(Practices_SubPractices[E],Practices_SubPractices[CP],"4",Practices_SubPractices[Org],"Small"),IF(AND(Practices_SubPractices[CP]=5,Practices_SubPractices[Org]="Small"),SUMIFS(Practices_SubPractices[E],Practices_SubPractices[CP],"5",Practices_SubPractices[Org],"Small"),IF(AND(Practices_SubPractices[CP]=6,Practices_SubPractices[Org]="Small"),SUMIFS(Practices_SubPractices[E],Practices_SubPractices[CP],"6",Practices_SubPractices[Org],"Small"),IF(AND(Practices_SubPractices[CP]=7,Practices_SubPractices[Org] ="Small"),SUMIFS(Practices_SubPractices[E],Practices_SubPractices[CP],"7",Practices_SubPractices[Org],"Small"),IF(AND(Practices_SubPractices[CP]=8,Practices_SubPractices[Org] ="Small"),SUMIFS(Practices_SubPractices[E],Practices_SubPractices[CP],"8",Practices_SubPractices[Org],"Small"),IF(AND(Practices_SubPractices[CP]=9,Practices_SubPractices[Org] ="Small"),SUMIFS(Practices_SubPractices[E],Practices_SubPractices[CP],"9",Practices_SubPractices[Org],"Small"),IF(AND(Practices_SubPractices[CP]=10,Practices_SubPractices[Org] ="Small"),SUMIFS(Practices_SubPractices[E],Practices_SubPractices[CP],"10",Practices_SubPractices[Org],"Small"),IF(AND(Practices_SubPractices[CP]=1,Practices_SubPractices[Org]="Medium"),SUMIFS(Practices_SubPractices[E],Practices_SubPractices[CP],"1",Practices_SubPractices[Org],"Medium"),IF(AND(Practices_SubPractices[CP]=2,Practices_SubPractices[Org]="Medium"),SUMIFS(Practices_SubPractices[E],Practices_SubPractices[CP],"2",Practices_SubPractices[Org],"Medium"),IF(AND(Practices_SubPractices[CP]=3,Practices_SubPractices[Org]="Medium"),SUMIFS(Practices_SubPractices[E],Practices_SubPractices[CP],"3",Practices_SubPractices[Org],"Medium"),IF(AND(Practices_SubPractices[CP]=4,Practices_SubPractices[Org]="Medium"),SUMIFS(Practices_SubPractices[E],Practices_SubPractices[CP],"4",Practices_SubPractices[Org],"Medium"),IF(AND(Practices_SubPractices[CP]=5,Practices_SubPractices[Org]="Medium"),SUMIFS(Practices_SubPractices[E],Practices_SubPractices[CP],"5",Practices_SubPractices[Org],"Medium"),IF(AND(Practices_SubPractices[CP]=6,Practices_SubPractices[Org]="Medium"),SUMIFS(Practices_SubPractices[E],Practices_SubPractices[CP],"6",Practices_SubPractices[Org],"Medium"),IF(AND(Practices_SubPractices[CP]=7,Practices_SubPractices[Org] ="Medium"),SUMIFS(Practices_SubPractices[E],Practices_SubPractices[CP],"7",Practices_SubPractices[Org],"Medium"),IF(AND(Practices_SubPractices[CP]=8,Practices_SubPractices[Org] ="Medium"),SUMIFS(Practices_SubPractices[E],Practices_SubPractices[CP],"8",Practices_SubPractices[Org],"Medium"),IF(AND(Practices_SubPractices[CP]=9,Practices_SubPractices[Org] ="Medium"),SUMIFS(Practices_SubPractices[E],Practices_SubPractices[CP],"9",Practices_SubPractices[Org],"Medium"),IF(AND(Practices_SubPractices[CP]=10,Practices_SubPractices[Org] ="Medium"),SUMIFS(Practices_SubPractices[E],Practices_SubPractices[CP],"10",Practices_SubPractices[Org],"Medium"),IF(AND(Practices_SubPractices[CP]=1,Practices_SubPractices[Org]="Large"),SUMIFS(Practices_SubPractices[E],Practices_SubPractices[CP],"1",Practices_SubPractices[Org],"Large"),IF(AND(Practices_SubPractices[CP]=2,Practices_SubPractices[Org]="Large"),SUMIFS(Practices_SubPractices[E],Practices_SubPractices[CP],"2",Practices_SubPractices[Org],"Large"),IF(AND(Practices_SubPractices[CP]=3,Practices_SubPractices[Org]="Large"),SUMIFS(Practices_SubPractices[E],Practices_SubPractices[CP],"3",Practices_SubPractices[Org],"Large"),IF(AND(Practices_SubPractices[CP]=4,Practices_SubPractices[Org]="Large"),SUMIFS(Practices_SubPractices[E],Practices_SubPractices[CP],"4",Practices_SubPractices[Org],"Large"),IF(AND(Practices_SubPractices[CP]=5,Practices_SubPractices[Org]="Large"),SUMIFS(Practices_SubPractices[E],Practices_SubPractices[CP],"5",Practices_SubPractices[Org],"Large"),IF(AND(Practices_SubPractices[CP]=6,Practices_SubPractices[Org]="Large"),SUMIFS(Practices_SubPractices[E],Practices_SubPractices[CP],"6",Practices_SubPractices[Org],"Large"),IF(AND(Practices_SubPractices[CP]=7,Practices_SubPractices[Org] ="Large"),SUMIFS(Practices_SubPractices[E],Practices_SubPractices[CP],"7",Practices_SubPractices[Org],"Large"),IF(AND(Practices_SubPractices[CP]=8,Practices_SubPractices[Org] ="Large"),SUMIFS(Practices_SubPractices[E],Practices_SubPractices[CP],"8",Practices_SubPractices[Org],"Large"),IF(AND(Practices_SubPractices[CP]=9,Practices_SubPractices[Org] ="Large"),SUMIFS(Practices_SubPractices[E],Practices_SubPractices[CP],"9",Practices_SubPractices[Org],"Large"),IF(AND(Practices_SubPractices[CP]=10,Practices_SubPractices[Org] ="Large"),SUMIFS(Practices_SubPractices[E],Practices_SubPractices[CP],"10",Practices_SubPractices[Org],"Large"),"TBD"))))))))))))))))))))))))))))))</f>
        <v>0</v>
      </c>
      <c r="S50" s="87" t="s">
        <v>413</v>
      </c>
    </row>
    <row r="51" spans="1:19" x14ac:dyDescent="0.35">
      <c r="A51" s="73">
        <v>41</v>
      </c>
      <c r="B51" s="73">
        <v>4</v>
      </c>
      <c r="C51" s="73" t="s">
        <v>12</v>
      </c>
      <c r="D51" s="73" t="str">
        <f>Practices_SubPractices[[#This Row],[CP]]&amp;LEFT(Practices_SubPractices[[#This Row],[Org]],1)</f>
        <v>4L</v>
      </c>
      <c r="E51" s="73" t="s">
        <v>266</v>
      </c>
      <c r="F51" s="74" t="s">
        <v>93</v>
      </c>
      <c r="G51" s="74" t="s">
        <v>98</v>
      </c>
      <c r="H51" s="74" t="s">
        <v>220</v>
      </c>
      <c r="I51" s="75">
        <v>0</v>
      </c>
      <c r="J51" s="75">
        <v>0</v>
      </c>
      <c r="K51" s="75">
        <v>2</v>
      </c>
      <c r="L51" s="75">
        <v>2</v>
      </c>
      <c r="M51" s="75">
        <v>0</v>
      </c>
      <c r="N51" s="76"/>
      <c r="O51" s="77">
        <f>IF(AND(Practices_SubPractices[CP]=1,Practices_SubPractices[Org]="Small"),SUMIFS(Practices_SubPractices[B],Practices_SubPractices[CP],"1",Practices_SubPractices[Org],"Small"),IF(AND(Practices_SubPractices[CP]=2,Practices_SubPractices[Org]="Small"),SUMIFS(Practices_SubPractices[B],Practices_SubPractices[CP],"2",Practices_SubPractices[Org],"Small"),IF(AND(Practices_SubPractices[CP]=3,Practices_SubPractices[Org]="Small"),SUMIFS(Practices_SubPractices[B],Practices_SubPractices[CP],"3",Practices_SubPractices[Org],"Small"),IF(AND(Practices_SubPractices[CP]=4,Practices_SubPractices[Org]="Small"),SUMIFS(Practices_SubPractices[B],Practices_SubPractices[CP],"4",Practices_SubPractices[Org],"Small"),IF(AND(Practices_SubPractices[CP]=5,Practices_SubPractices[Org]="Small"),SUMIFS(Practices_SubPractices[B],Practices_SubPractices[CP],"5",Practices_SubPractices[Org],"Small"),IF(AND(Practices_SubPractices[CP]=6,Practices_SubPractices[Org]="Small"),SUMIFS(Practices_SubPractices[B],Practices_SubPractices[CP],"6",Practices_SubPractices[Org],"Small"),IF(AND(Practices_SubPractices[CP]=7,Practices_SubPractices[Org] ="Small"),SUMIFS(Practices_SubPractices[B],Practices_SubPractices[CP],"7",Practices_SubPractices[Org],"Small"),IF(AND(Practices_SubPractices[CP]=8,Practices_SubPractices[Org] ="Small"),SUMIFS(Practices_SubPractices[B],Practices_SubPractices[CP],"8",Practices_SubPractices[Org],"Small"),IF(AND(Practices_SubPractices[CP]=9,Practices_SubPractices[Org] ="Small"),SUMIFS(Practices_SubPractices[B],Practices_SubPractices[CP],"9",Practices_SubPractices[Org],"Small"),IF(AND(Practices_SubPractices[CP]=10,Practices_SubPractices[Org] ="Small"),SUMIFS(Practices_SubPractices[B],Practices_SubPractices[CP],"10",Practices_SubPractices[Org],"Small"),IF(AND(Practices_SubPractices[CP]=1,Practices_SubPractices[Org]="Medium"),SUMIFS(Practices_SubPractices[B],Practices_SubPractices[CP],"1",Practices_SubPractices[Org],"Medium"),IF(AND(Practices_SubPractices[CP]=2,Practices_SubPractices[Org]="Medium"),SUMIFS(Practices_SubPractices[B],Practices_SubPractices[CP],"2",Practices_SubPractices[Org],"Medium"),IF(AND(Practices_SubPractices[CP]=3,Practices_SubPractices[Org]="Medium"),SUMIFS(Practices_SubPractices[B],Practices_SubPractices[CP],"3",Practices_SubPractices[Org],"Medium"),IF(AND(Practices_SubPractices[CP]=4,Practices_SubPractices[Org]="Medium"),SUMIFS(Practices_SubPractices[B],Practices_SubPractices[CP],"4",Practices_SubPractices[Org],"Medium"),IF(AND(Practices_SubPractices[CP]=5,Practices_SubPractices[Org]="Medium"),SUMIFS(Practices_SubPractices[B],Practices_SubPractices[CP],"5",Practices_SubPractices[Org],"Medium"),IF(AND(Practices_SubPractices[CP]=6,Practices_SubPractices[Org]="Medium"),SUMIFS(Practices_SubPractices[B],Practices_SubPractices[CP],"6",Practices_SubPractices[Org],"Medium"),IF(AND(Practices_SubPractices[CP]=7,Practices_SubPractices[Org] ="Medium"),SUMIFS(Practices_SubPractices[B],Practices_SubPractices[CP],"7",Practices_SubPractices[Org],"Medium"),IF(AND(Practices_SubPractices[CP]=8,Practices_SubPractices[Org] ="Medium"),SUMIFS(Practices_SubPractices[B],Practices_SubPractices[CP],"8",Practices_SubPractices[Org],"Medium"),IF(AND(Practices_SubPractices[CP]=9,Practices_SubPractices[Org] ="Medium"),SUMIFS(Practices_SubPractices[B],Practices_SubPractices[CP],"9",Practices_SubPractices[Org],"Medium"),IF(AND(Practices_SubPractices[CP]=10,Practices_SubPractices[Org] ="Medium"),SUMIFS(Practices_SubPractices[B],Practices_SubPractices[CP],"10",Practices_SubPractices[Org],"Medium"),IF(AND(Practices_SubPractices[CP]=1,Practices_SubPractices[Org]="Large"),SUMIFS(Practices_SubPractices[B],Practices_SubPractices[CP],"1",Practices_SubPractices[Org],"Large"),IF(AND(Practices_SubPractices[CP]=2,Practices_SubPractices[Org]="Large"),SUMIFS(Practices_SubPractices[B],Practices_SubPractices[CP],"2",Practices_SubPractices[Org],"Large"),IF(AND(Practices_SubPractices[CP]=3,Practices_SubPractices[Org]="Large"),SUMIFS(Practices_SubPractices[B],Practices_SubPractices[CP],"3",Practices_SubPractices[Org],"Large"),IF(AND(Practices_SubPractices[CP]=4,Practices_SubPractices[Org]="Large"),SUMIFS(Practices_SubPractices[B],Practices_SubPractices[CP],"4",Practices_SubPractices[Org],"Large"),IF(AND(Practices_SubPractices[CP]=5,Practices_SubPractices[Org]="Large"),SUMIFS(Practices_SubPractices[B],Practices_SubPractices[CP],"5",Practices_SubPractices[Org],"Large"),IF(AND(Practices_SubPractices[CP]=6,Practices_SubPractices[Org]="Large"),SUMIFS(Practices_SubPractices[B],Practices_SubPractices[CP],"6",Practices_SubPractices[Org],"Large"),IF(AND(Practices_SubPractices[CP]=7,Practices_SubPractices[Org] ="Large"),SUMIFS(Practices_SubPractices[B],Practices_SubPractices[CP],"7",Practices_SubPractices[Org],"Large"),IF(AND(Practices_SubPractices[CP]=8,Practices_SubPractices[Org] ="Large"),SUMIFS(Practices_SubPractices[B],Practices_SubPractices[CP],"8",Practices_SubPractices[Org],"Large"),IF(AND(Practices_SubPractices[CP]=9,Practices_SubPractices[Org] ="Large"),SUMIFS(Practices_SubPractices[B],Practices_SubPractices[CP],"9",Practices_SubPractices[Org],"Large"),IF(AND(Practices_SubPractices[CP]=10,Practices_SubPractices[Org] ="Large"),SUMIFS(Practices_SubPractices[B],Practices_SubPractices[CP],"10",Practices_SubPractices[Org],"Large"),"TBD"))))))))))))))))))))))))))))))</f>
        <v>4</v>
      </c>
      <c r="P51" s="77">
        <f>IF(AND(Practices_SubPractices[CP]=1,Practices_SubPractices[Org]="Small"),SUMIFS(Practices_SubPractices[C],Practices_SubPractices[CP],"1",Practices_SubPractices[Org],"Small"),IF(AND(Practices_SubPractices[CP]=2,Practices_SubPractices[Org]="Small"),SUMIFS(Practices_SubPractices[C],Practices_SubPractices[CP],"2",Practices_SubPractices[Org],"Small"),IF(AND(Practices_SubPractices[CP]=3,Practices_SubPractices[Org]="Small"),SUMIFS(Practices_SubPractices[C],Practices_SubPractices[CP],"3",Practices_SubPractices[Org],"Small"),IF(AND(Practices_SubPractices[CP]=4,Practices_SubPractices[Org]="Small"),SUMIFS(Practices_SubPractices[C],Practices_SubPractices[CP],"4",Practices_SubPractices[Org],"Small"),IF(AND(Practices_SubPractices[CP]=5,Practices_SubPractices[Org]="Small"),SUMIFS(Practices_SubPractices[C],Practices_SubPractices[CP],"5",Practices_SubPractices[Org],"Small"),IF(AND(Practices_SubPractices[CP]=6,Practices_SubPractices[Org]="Small"),SUMIFS(Practices_SubPractices[C],Practices_SubPractices[CP],"6",Practices_SubPractices[Org],"Small"),IF(AND(Practices_SubPractices[CP]=7,Practices_SubPractices[Org] ="Small"),SUMIFS(Practices_SubPractices[C],Practices_SubPractices[CP],"7",Practices_SubPractices[Org],"Small"),IF(AND(Practices_SubPractices[CP]=8,Practices_SubPractices[Org] ="Small"),SUMIFS(Practices_SubPractices[C],Practices_SubPractices[CP],"8",Practices_SubPractices[Org],"Small"),IF(AND(Practices_SubPractices[CP]=9,Practices_SubPractices[Org] ="Small"),SUMIFS(Practices_SubPractices[C],Practices_SubPractices[CP],"9",Practices_SubPractices[Org],"Small"),IF(AND(Practices_SubPractices[CP]=10,Practices_SubPractices[Org] ="Small"),SUMIFS(Practices_SubPractices[C],Practices_SubPractices[CP],"10",Practices_SubPractices[Org],"Small"),IF(AND(Practices_SubPractices[CP]=1,Practices_SubPractices[Org]="Medium"),SUMIFS(Practices_SubPractices[C],Practices_SubPractices[CP],"1",Practices_SubPractices[Org],"Medium"),IF(AND(Practices_SubPractices[CP]=2,Practices_SubPractices[Org]="Medium"),SUMIFS(Practices_SubPractices[C],Practices_SubPractices[CP],"2",Practices_SubPractices[Org],"Medium"),IF(AND(Practices_SubPractices[CP]=3,Practices_SubPractices[Org]="Medium"),SUMIFS(Practices_SubPractices[C],Practices_SubPractices[CP],"3",Practices_SubPractices[Org],"Medium"),IF(AND(Practices_SubPractices[CP]=4,Practices_SubPractices[Org]="Medium"),SUMIFS(Practices_SubPractices[C],Practices_SubPractices[CP],"4",Practices_SubPractices[Org],"Medium"),IF(AND(Practices_SubPractices[CP]=5,Practices_SubPractices[Org]="Medium"),SUMIFS(Practices_SubPractices[C],Practices_SubPractices[CP],"5",Practices_SubPractices[Org],"Medium"),IF(AND(Practices_SubPractices[CP]=6,Practices_SubPractices[Org]="Medium"),SUMIFS(Practices_SubPractices[C],Practices_SubPractices[CP],"6",Practices_SubPractices[Org],"Medium"),IF(AND(Practices_SubPractices[CP]=7,Practices_SubPractices[Org] ="Medium"),SUMIFS(Practices_SubPractices[C],Practices_SubPractices[CP],"7",Practices_SubPractices[Org],"Medium"),IF(AND(Practices_SubPractices[CP]=8,Practices_SubPractices[Org] ="Medium"),SUMIFS(Practices_SubPractices[C],Practices_SubPractices[CP],"8",Practices_SubPractices[Org],"Medium"),IF(AND(Practices_SubPractices[CP]=9,Practices_SubPractices[Org] ="Medium"),SUMIFS(Practices_SubPractices[C],Practices_SubPractices[CP],"9",Practices_SubPractices[Org],"Medium"),IF(AND(Practices_SubPractices[CP]=10,Practices_SubPractices[Org] ="Medium"),SUMIFS(Practices_SubPractices[C],Practices_SubPractices[CP],"10",Practices_SubPractices[Org],"Medium"),IF(AND(Practices_SubPractices[CP]=1,Practices_SubPractices[Org]="Large"),SUMIFS(Practices_SubPractices[C],Practices_SubPractices[CP],"1",Practices_SubPractices[Org],"Large"),IF(AND(Practices_SubPractices[CP]=2,Practices_SubPractices[Org]="Large"),SUMIFS(Practices_SubPractices[C],Practices_SubPractices[CP],"2",Practices_SubPractices[Org],"Large"),IF(AND(Practices_SubPractices[CP]=3,Practices_SubPractices[Org]="Large"),SUMIFS(Practices_SubPractices[C],Practices_SubPractices[CP],"3",Practices_SubPractices[Org],"Large"),IF(AND(Practices_SubPractices[CP]=4,Practices_SubPractices[Org]="Large"),SUMIFS(Practices_SubPractices[C],Practices_SubPractices[CP],"4",Practices_SubPractices[Org],"Large"),IF(AND(Practices_SubPractices[CP]=5,Practices_SubPractices[Org]="Large"),SUMIFS(Practices_SubPractices[C],Practices_SubPractices[CP],"5",Practices_SubPractices[Org],"Large"),IF(AND(Practices_SubPractices[CP]=6,Practices_SubPractices[Org]="Large"),SUMIFS(Practices_SubPractices[C],Practices_SubPractices[CP],"6",Practices_SubPractices[Org],"Large"),IF(AND(Practices_SubPractices[CP]=7,Practices_SubPractices[Org] ="Large"),SUMIFS(Practices_SubPractices[C],Practices_SubPractices[CP],"7",Practices_SubPractices[Org],"Large"),IF(AND(Practices_SubPractices[CP]=8,Practices_SubPractices[Org] ="Large"),SUMIFS(Practices_SubPractices[C],Practices_SubPractices[CP],"8",Practices_SubPractices[Org],"Large"),IF(AND(Practices_SubPractices[CP]=9,Practices_SubPractices[Org] ="Large"),SUMIFS(Practices_SubPractices[C],Practices_SubPractices[CP],"9",Practices_SubPractices[Org],"Large"),IF(AND(Practices_SubPractices[CP]=10,Practices_SubPractices[Org] ="Large"),SUMIFS(Practices_SubPractices[C],Practices_SubPractices[CP],"10",Practices_SubPractices[Org],"Large"),"TBD"))))))))))))))))))))))))))))))</f>
        <v>12</v>
      </c>
      <c r="Q51" s="77">
        <f>IF(AND(Practices_SubPractices[CP]=1,Practices_SubPractices[Org]="Small"),SUMIFS(Practices_SubPractices[D],Practices_SubPractices[CP],"1",Practices_SubPractices[Org],"Small"),IF(AND(Practices_SubPractices[CP]=2,Practices_SubPractices[Org]="Small"),SUMIFS(Practices_SubPractices[D],Practices_SubPractices[CP],"2",Practices_SubPractices[Org],"Small"),IF(AND(Practices_SubPractices[CP]=3,Practices_SubPractices[Org]="Small"),SUMIFS(Practices_SubPractices[D],Practices_SubPractices[CP],"3",Practices_SubPractices[Org],"Small"),IF(AND(Practices_SubPractices[CP]=4,Practices_SubPractices[Org]="Small"),SUMIFS(Practices_SubPractices[D],Practices_SubPractices[CP],"4",Practices_SubPractices[Org],"Small"),IF(AND(Practices_SubPractices[CP]=5,Practices_SubPractices[Org]="Small"),SUMIFS(Practices_SubPractices[D],Practices_SubPractices[CP],"5",Practices_SubPractices[Org],"Small"),IF(AND(Practices_SubPractices[CP]=6,Practices_SubPractices[Org]="Small"),SUMIFS(Practices_SubPractices[D],Practices_SubPractices[CP],"6",Practices_SubPractices[Org],"Small"),IF(AND(Practices_SubPractices[CP]=7,Practices_SubPractices[Org] ="Small"),SUMIFS(Practices_SubPractices[D],Practices_SubPractices[CP],"7",Practices_SubPractices[Org],"Small"),IF(AND(Practices_SubPractices[CP]=8,Practices_SubPractices[Org] ="Small"),SUMIFS(Practices_SubPractices[D],Practices_SubPractices[CP],"8",Practices_SubPractices[Org],"Small"),IF(AND(Practices_SubPractices[CP]=9,Practices_SubPractices[Org] ="Small"),SUMIFS(Practices_SubPractices[D],Practices_SubPractices[CP],"9",Practices_SubPractices[Org],"Small"),IF(AND(Practices_SubPractices[CP]=10,Practices_SubPractices[Org] ="Small"),SUMIFS(Practices_SubPractices[D],Practices_SubPractices[CP],"10",Practices_SubPractices[Org],"Small"),IF(AND(Practices_SubPractices[CP]=1,Practices_SubPractices[Org]="Medium"),SUMIFS(Practices_SubPractices[D],Practices_SubPractices[CP],"1",Practices_SubPractices[Org],"Medium"),IF(AND(Practices_SubPractices[CP]=2,Practices_SubPractices[Org]="Medium"),SUMIFS(Practices_SubPractices[D],Practices_SubPractices[CP],"2",Practices_SubPractices[Org],"Medium"),IF(AND(Practices_SubPractices[CP]=3,Practices_SubPractices[Org]="Medium"),SUMIFS(Practices_SubPractices[D],Practices_SubPractices[CP],"3",Practices_SubPractices[Org],"Medium"),IF(AND(Practices_SubPractices[CP]=4,Practices_SubPractices[Org]="Medium"),SUMIFS(Practices_SubPractices[D],Practices_SubPractices[CP],"4",Practices_SubPractices[Org],"Medium"),IF(AND(Practices_SubPractices[CP]=5,Practices_SubPractices[Org]="Medium"),SUMIFS(Practices_SubPractices[D],Practices_SubPractices[CP],"5",Practices_SubPractices[Org],"Medium"),IF(AND(Practices_SubPractices[CP]=6,Practices_SubPractices[Org]="Medium"),SUMIFS(Practices_SubPractices[D],Practices_SubPractices[CP],"6",Practices_SubPractices[Org],"Medium"),IF(AND(Practices_SubPractices[CP]=7,Practices_SubPractices[Org] ="Medium"),SUMIFS(Practices_SubPractices[D],Practices_SubPractices[CP],"7",Practices_SubPractices[Org],"Medium"),IF(AND(Practices_SubPractices[CP]=8,Practices_SubPractices[Org] ="Medium"),SUMIFS(Practices_SubPractices[D],Practices_SubPractices[CP],"8",Practices_SubPractices[Org],"Medium"),IF(AND(Practices_SubPractices[CP]=9,Practices_SubPractices[Org] ="Medium"),SUMIFS(Practices_SubPractices[D],Practices_SubPractices[CP],"9",Practices_SubPractices[Org],"Medium"),IF(AND(Practices_SubPractices[CP]=10,Practices_SubPractices[Org] ="Medium"),SUMIFS(Practices_SubPractices[D],Practices_SubPractices[CP],"10",Practices_SubPractices[Org],"Medium"),IF(AND(Practices_SubPractices[CP]=1,Practices_SubPractices[Org]="Large"),SUMIFS(Practices_SubPractices[D],Practices_SubPractices[CP],"1",Practices_SubPractices[Org],"Large"),IF(AND(Practices_SubPractices[CP]=2,Practices_SubPractices[Org]="Large"),SUMIFS(Practices_SubPractices[D],Practices_SubPractices[CP],"2",Practices_SubPractices[Org],"Large"),IF(AND(Practices_SubPractices[CP]=3,Practices_SubPractices[Org]="Large"),SUMIFS(Practices_SubPractices[D],Practices_SubPractices[CP],"3",Practices_SubPractices[Org],"Large"),IF(AND(Practices_SubPractices[CP]=4,Practices_SubPractices[Org]="Large"),SUMIFS(Practices_SubPractices[D],Practices_SubPractices[CP],"4",Practices_SubPractices[Org],"Large"),IF(AND(Practices_SubPractices[CP]=5,Practices_SubPractices[Org]="Large"),SUMIFS(Practices_SubPractices[D],Practices_SubPractices[CP],"5",Practices_SubPractices[Org],"Large"),IF(AND(Practices_SubPractices[CP]=6,Practices_SubPractices[Org]="Large"),SUMIFS(Practices_SubPractices[D],Practices_SubPractices[CP],"6",Practices_SubPractices[Org],"Large"),IF(AND(Practices_SubPractices[CP]=7,Practices_SubPractices[Org] ="Large"),SUMIFS(Practices_SubPractices[D],Practices_SubPractices[CP],"7",Practices_SubPractices[Org],"Large"),IF(AND(Practices_SubPractices[CP]=8,Practices_SubPractices[Org] ="Large"),SUMIFS(Practices_SubPractices[D],Practices_SubPractices[CP],"8",Practices_SubPractices[Org],"Large"),IF(AND(Practices_SubPractices[CP]=9,Practices_SubPractices[Org] ="Large"),SUMIFS(Practices_SubPractices[D],Practices_SubPractices[CP],"9",Practices_SubPractices[Org],"Large"),IF(AND(Practices_SubPractices[CP]=10,Practices_SubPractices[Org] ="Large"),SUMIFS(Practices_SubPractices[D],Practices_SubPractices[CP],"10",Practices_SubPractices[Org],"Large"),"TBD"))))))))))))))))))))))))))))))</f>
        <v>14</v>
      </c>
      <c r="R51" s="77">
        <f>IF(AND(Practices_SubPractices[CP]=1,Practices_SubPractices[Org]="Small"),SUMIFS(Practices_SubPractices[E],Practices_SubPractices[CP],"1",Practices_SubPractices[Org],"Small"),IF(AND(Practices_SubPractices[CP]=2,Practices_SubPractices[Org]="Small"),SUMIFS(Practices_SubPractices[E],Practices_SubPractices[CP],"2",Practices_SubPractices[Org],"Small"),IF(AND(Practices_SubPractices[CP]=3,Practices_SubPractices[Org]="Small"),SUMIFS(Practices_SubPractices[E],Practices_SubPractices[CP],"3",Practices_SubPractices[Org],"Small"),IF(AND(Practices_SubPractices[CP]=4,Practices_SubPractices[Org]="Small"),SUMIFS(Practices_SubPractices[E],Practices_SubPractices[CP],"4",Practices_SubPractices[Org],"Small"),IF(AND(Practices_SubPractices[CP]=5,Practices_SubPractices[Org]="Small"),SUMIFS(Practices_SubPractices[E],Practices_SubPractices[CP],"5",Practices_SubPractices[Org],"Small"),IF(AND(Practices_SubPractices[CP]=6,Practices_SubPractices[Org]="Small"),SUMIFS(Practices_SubPractices[E],Practices_SubPractices[CP],"6",Practices_SubPractices[Org],"Small"),IF(AND(Practices_SubPractices[CP]=7,Practices_SubPractices[Org] ="Small"),SUMIFS(Practices_SubPractices[E],Practices_SubPractices[CP],"7",Practices_SubPractices[Org],"Small"),IF(AND(Practices_SubPractices[CP]=8,Practices_SubPractices[Org] ="Small"),SUMIFS(Practices_SubPractices[E],Practices_SubPractices[CP],"8",Practices_SubPractices[Org],"Small"),IF(AND(Practices_SubPractices[CP]=9,Practices_SubPractices[Org] ="Small"),SUMIFS(Practices_SubPractices[E],Practices_SubPractices[CP],"9",Practices_SubPractices[Org],"Small"),IF(AND(Practices_SubPractices[CP]=10,Practices_SubPractices[Org] ="Small"),SUMIFS(Practices_SubPractices[E],Practices_SubPractices[CP],"10",Practices_SubPractices[Org],"Small"),IF(AND(Practices_SubPractices[CP]=1,Practices_SubPractices[Org]="Medium"),SUMIFS(Practices_SubPractices[E],Practices_SubPractices[CP],"1",Practices_SubPractices[Org],"Medium"),IF(AND(Practices_SubPractices[CP]=2,Practices_SubPractices[Org]="Medium"),SUMIFS(Practices_SubPractices[E],Practices_SubPractices[CP],"2",Practices_SubPractices[Org],"Medium"),IF(AND(Practices_SubPractices[CP]=3,Practices_SubPractices[Org]="Medium"),SUMIFS(Practices_SubPractices[E],Practices_SubPractices[CP],"3",Practices_SubPractices[Org],"Medium"),IF(AND(Practices_SubPractices[CP]=4,Practices_SubPractices[Org]="Medium"),SUMIFS(Practices_SubPractices[E],Practices_SubPractices[CP],"4",Practices_SubPractices[Org],"Medium"),IF(AND(Practices_SubPractices[CP]=5,Practices_SubPractices[Org]="Medium"),SUMIFS(Practices_SubPractices[E],Practices_SubPractices[CP],"5",Practices_SubPractices[Org],"Medium"),IF(AND(Practices_SubPractices[CP]=6,Practices_SubPractices[Org]="Medium"),SUMIFS(Practices_SubPractices[E],Practices_SubPractices[CP],"6",Practices_SubPractices[Org],"Medium"),IF(AND(Practices_SubPractices[CP]=7,Practices_SubPractices[Org] ="Medium"),SUMIFS(Practices_SubPractices[E],Practices_SubPractices[CP],"7",Practices_SubPractices[Org],"Medium"),IF(AND(Practices_SubPractices[CP]=8,Practices_SubPractices[Org] ="Medium"),SUMIFS(Practices_SubPractices[E],Practices_SubPractices[CP],"8",Practices_SubPractices[Org],"Medium"),IF(AND(Practices_SubPractices[CP]=9,Practices_SubPractices[Org] ="Medium"),SUMIFS(Practices_SubPractices[E],Practices_SubPractices[CP],"9",Practices_SubPractices[Org],"Medium"),IF(AND(Practices_SubPractices[CP]=10,Practices_SubPractices[Org] ="Medium"),SUMIFS(Practices_SubPractices[E],Practices_SubPractices[CP],"10",Practices_SubPractices[Org],"Medium"),IF(AND(Practices_SubPractices[CP]=1,Practices_SubPractices[Org]="Large"),SUMIFS(Practices_SubPractices[E],Practices_SubPractices[CP],"1",Practices_SubPractices[Org],"Large"),IF(AND(Practices_SubPractices[CP]=2,Practices_SubPractices[Org]="Large"),SUMIFS(Practices_SubPractices[E],Practices_SubPractices[CP],"2",Practices_SubPractices[Org],"Large"),IF(AND(Practices_SubPractices[CP]=3,Practices_SubPractices[Org]="Large"),SUMIFS(Practices_SubPractices[E],Practices_SubPractices[CP],"3",Practices_SubPractices[Org],"Large"),IF(AND(Practices_SubPractices[CP]=4,Practices_SubPractices[Org]="Large"),SUMIFS(Practices_SubPractices[E],Practices_SubPractices[CP],"4",Practices_SubPractices[Org],"Large"),IF(AND(Practices_SubPractices[CP]=5,Practices_SubPractices[Org]="Large"),SUMIFS(Practices_SubPractices[E],Practices_SubPractices[CP],"5",Practices_SubPractices[Org],"Large"),IF(AND(Practices_SubPractices[CP]=6,Practices_SubPractices[Org]="Large"),SUMIFS(Practices_SubPractices[E],Practices_SubPractices[CP],"6",Practices_SubPractices[Org],"Large"),IF(AND(Practices_SubPractices[CP]=7,Practices_SubPractices[Org] ="Large"),SUMIFS(Practices_SubPractices[E],Practices_SubPractices[CP],"7",Practices_SubPractices[Org],"Large"),IF(AND(Practices_SubPractices[CP]=8,Practices_SubPractices[Org] ="Large"),SUMIFS(Practices_SubPractices[E],Practices_SubPractices[CP],"8",Practices_SubPractices[Org],"Large"),IF(AND(Practices_SubPractices[CP]=9,Practices_SubPractices[Org] ="Large"),SUMIFS(Practices_SubPractices[E],Practices_SubPractices[CP],"9",Practices_SubPractices[Org],"Large"),IF(AND(Practices_SubPractices[CP]=10,Practices_SubPractices[Org] ="Large"),SUMIFS(Practices_SubPractices[E],Practices_SubPractices[CP],"10",Practices_SubPractices[Org],"Large"),"TBD"))))))))))))))))))))))))))))))</f>
        <v>0</v>
      </c>
      <c r="S51" s="87" t="s">
        <v>413</v>
      </c>
    </row>
    <row r="52" spans="1:19" x14ac:dyDescent="0.35">
      <c r="A52" s="73">
        <v>42</v>
      </c>
      <c r="B52" s="73">
        <v>4</v>
      </c>
      <c r="C52" s="73" t="s">
        <v>11</v>
      </c>
      <c r="D52" s="73" t="str">
        <f>Practices_SubPractices[[#This Row],[CP]]&amp;LEFT(Practices_SubPractices[[#This Row],[Org]],1)</f>
        <v>4M</v>
      </c>
      <c r="E52" s="73" t="s">
        <v>267</v>
      </c>
      <c r="F52" s="74" t="s">
        <v>94</v>
      </c>
      <c r="G52" s="74" t="s">
        <v>99</v>
      </c>
      <c r="H52" s="74" t="s">
        <v>221</v>
      </c>
      <c r="I52" s="75">
        <v>0</v>
      </c>
      <c r="J52" s="75">
        <v>0</v>
      </c>
      <c r="K52" s="75">
        <v>2</v>
      </c>
      <c r="L52" s="75">
        <v>2</v>
      </c>
      <c r="M52" s="75">
        <v>0</v>
      </c>
      <c r="N52" s="76"/>
      <c r="O52" s="77">
        <f>IF(AND(Practices_SubPractices[CP]=1,Practices_SubPractices[Org]="Small"),SUMIFS(Practices_SubPractices[B],Practices_SubPractices[CP],"1",Practices_SubPractices[Org],"Small"),IF(AND(Practices_SubPractices[CP]=2,Practices_SubPractices[Org]="Small"),SUMIFS(Practices_SubPractices[B],Practices_SubPractices[CP],"2",Practices_SubPractices[Org],"Small"),IF(AND(Practices_SubPractices[CP]=3,Practices_SubPractices[Org]="Small"),SUMIFS(Practices_SubPractices[B],Practices_SubPractices[CP],"3",Practices_SubPractices[Org],"Small"),IF(AND(Practices_SubPractices[CP]=4,Practices_SubPractices[Org]="Small"),SUMIFS(Practices_SubPractices[B],Practices_SubPractices[CP],"4",Practices_SubPractices[Org],"Small"),IF(AND(Practices_SubPractices[CP]=5,Practices_SubPractices[Org]="Small"),SUMIFS(Practices_SubPractices[B],Practices_SubPractices[CP],"5",Practices_SubPractices[Org],"Small"),IF(AND(Practices_SubPractices[CP]=6,Practices_SubPractices[Org]="Small"),SUMIFS(Practices_SubPractices[B],Practices_SubPractices[CP],"6",Practices_SubPractices[Org],"Small"),IF(AND(Practices_SubPractices[CP]=7,Practices_SubPractices[Org] ="Small"),SUMIFS(Practices_SubPractices[B],Practices_SubPractices[CP],"7",Practices_SubPractices[Org],"Small"),IF(AND(Practices_SubPractices[CP]=8,Practices_SubPractices[Org] ="Small"),SUMIFS(Practices_SubPractices[B],Practices_SubPractices[CP],"8",Practices_SubPractices[Org],"Small"),IF(AND(Practices_SubPractices[CP]=9,Practices_SubPractices[Org] ="Small"),SUMIFS(Practices_SubPractices[B],Practices_SubPractices[CP],"9",Practices_SubPractices[Org],"Small"),IF(AND(Practices_SubPractices[CP]=10,Practices_SubPractices[Org] ="Small"),SUMIFS(Practices_SubPractices[B],Practices_SubPractices[CP],"10",Practices_SubPractices[Org],"Small"),IF(AND(Practices_SubPractices[CP]=1,Practices_SubPractices[Org]="Medium"),SUMIFS(Practices_SubPractices[B],Practices_SubPractices[CP],"1",Practices_SubPractices[Org],"Medium"),IF(AND(Practices_SubPractices[CP]=2,Practices_SubPractices[Org]="Medium"),SUMIFS(Practices_SubPractices[B],Practices_SubPractices[CP],"2",Practices_SubPractices[Org],"Medium"),IF(AND(Practices_SubPractices[CP]=3,Practices_SubPractices[Org]="Medium"),SUMIFS(Practices_SubPractices[B],Practices_SubPractices[CP],"3",Practices_SubPractices[Org],"Medium"),IF(AND(Practices_SubPractices[CP]=4,Practices_SubPractices[Org]="Medium"),SUMIFS(Practices_SubPractices[B],Practices_SubPractices[CP],"4",Practices_SubPractices[Org],"Medium"),IF(AND(Practices_SubPractices[CP]=5,Practices_SubPractices[Org]="Medium"),SUMIFS(Practices_SubPractices[B],Practices_SubPractices[CP],"5",Practices_SubPractices[Org],"Medium"),IF(AND(Practices_SubPractices[CP]=6,Practices_SubPractices[Org]="Medium"),SUMIFS(Practices_SubPractices[B],Practices_SubPractices[CP],"6",Practices_SubPractices[Org],"Medium"),IF(AND(Practices_SubPractices[CP]=7,Practices_SubPractices[Org] ="Medium"),SUMIFS(Practices_SubPractices[B],Practices_SubPractices[CP],"7",Practices_SubPractices[Org],"Medium"),IF(AND(Practices_SubPractices[CP]=8,Practices_SubPractices[Org] ="Medium"),SUMIFS(Practices_SubPractices[B],Practices_SubPractices[CP],"8",Practices_SubPractices[Org],"Medium"),IF(AND(Practices_SubPractices[CP]=9,Practices_SubPractices[Org] ="Medium"),SUMIFS(Practices_SubPractices[B],Practices_SubPractices[CP],"9",Practices_SubPractices[Org],"Medium"),IF(AND(Practices_SubPractices[CP]=10,Practices_SubPractices[Org] ="Medium"),SUMIFS(Practices_SubPractices[B],Practices_SubPractices[CP],"10",Practices_SubPractices[Org],"Medium"),IF(AND(Practices_SubPractices[CP]=1,Practices_SubPractices[Org]="Large"),SUMIFS(Practices_SubPractices[B],Practices_SubPractices[CP],"1",Practices_SubPractices[Org],"Large"),IF(AND(Practices_SubPractices[CP]=2,Practices_SubPractices[Org]="Large"),SUMIFS(Practices_SubPractices[B],Practices_SubPractices[CP],"2",Practices_SubPractices[Org],"Large"),IF(AND(Practices_SubPractices[CP]=3,Practices_SubPractices[Org]="Large"),SUMIFS(Practices_SubPractices[B],Practices_SubPractices[CP],"3",Practices_SubPractices[Org],"Large"),IF(AND(Practices_SubPractices[CP]=4,Practices_SubPractices[Org]="Large"),SUMIFS(Practices_SubPractices[B],Practices_SubPractices[CP],"4",Practices_SubPractices[Org],"Large"),IF(AND(Practices_SubPractices[CP]=5,Practices_SubPractices[Org]="Large"),SUMIFS(Practices_SubPractices[B],Practices_SubPractices[CP],"5",Practices_SubPractices[Org],"Large"),IF(AND(Practices_SubPractices[CP]=6,Practices_SubPractices[Org]="Large"),SUMIFS(Practices_SubPractices[B],Practices_SubPractices[CP],"6",Practices_SubPractices[Org],"Large"),IF(AND(Practices_SubPractices[CP]=7,Practices_SubPractices[Org] ="Large"),SUMIFS(Practices_SubPractices[B],Practices_SubPractices[CP],"7",Practices_SubPractices[Org],"Large"),IF(AND(Practices_SubPractices[CP]=8,Practices_SubPractices[Org] ="Large"),SUMIFS(Practices_SubPractices[B],Practices_SubPractices[CP],"8",Practices_SubPractices[Org],"Large"),IF(AND(Practices_SubPractices[CP]=9,Practices_SubPractices[Org] ="Large"),SUMIFS(Practices_SubPractices[B],Practices_SubPractices[CP],"9",Practices_SubPractices[Org],"Large"),IF(AND(Practices_SubPractices[CP]=10,Practices_SubPractices[Org] ="Large"),SUMIFS(Practices_SubPractices[B],Practices_SubPractices[CP],"10",Practices_SubPractices[Org],"Large"),"TBD"))))))))))))))))))))))))))))))</f>
        <v>3</v>
      </c>
      <c r="P52" s="77">
        <f>IF(AND(Practices_SubPractices[CP]=1,Practices_SubPractices[Org]="Small"),SUMIFS(Practices_SubPractices[C],Practices_SubPractices[CP],"1",Practices_SubPractices[Org],"Small"),IF(AND(Practices_SubPractices[CP]=2,Practices_SubPractices[Org]="Small"),SUMIFS(Practices_SubPractices[C],Practices_SubPractices[CP],"2",Practices_SubPractices[Org],"Small"),IF(AND(Practices_SubPractices[CP]=3,Practices_SubPractices[Org]="Small"),SUMIFS(Practices_SubPractices[C],Practices_SubPractices[CP],"3",Practices_SubPractices[Org],"Small"),IF(AND(Practices_SubPractices[CP]=4,Practices_SubPractices[Org]="Small"),SUMIFS(Practices_SubPractices[C],Practices_SubPractices[CP],"4",Practices_SubPractices[Org],"Small"),IF(AND(Practices_SubPractices[CP]=5,Practices_SubPractices[Org]="Small"),SUMIFS(Practices_SubPractices[C],Practices_SubPractices[CP],"5",Practices_SubPractices[Org],"Small"),IF(AND(Practices_SubPractices[CP]=6,Practices_SubPractices[Org]="Small"),SUMIFS(Practices_SubPractices[C],Practices_SubPractices[CP],"6",Practices_SubPractices[Org],"Small"),IF(AND(Practices_SubPractices[CP]=7,Practices_SubPractices[Org] ="Small"),SUMIFS(Practices_SubPractices[C],Practices_SubPractices[CP],"7",Practices_SubPractices[Org],"Small"),IF(AND(Practices_SubPractices[CP]=8,Practices_SubPractices[Org] ="Small"),SUMIFS(Practices_SubPractices[C],Practices_SubPractices[CP],"8",Practices_SubPractices[Org],"Small"),IF(AND(Practices_SubPractices[CP]=9,Practices_SubPractices[Org] ="Small"),SUMIFS(Practices_SubPractices[C],Practices_SubPractices[CP],"9",Practices_SubPractices[Org],"Small"),IF(AND(Practices_SubPractices[CP]=10,Practices_SubPractices[Org] ="Small"),SUMIFS(Practices_SubPractices[C],Practices_SubPractices[CP],"10",Practices_SubPractices[Org],"Small"),IF(AND(Practices_SubPractices[CP]=1,Practices_SubPractices[Org]="Medium"),SUMIFS(Practices_SubPractices[C],Practices_SubPractices[CP],"1",Practices_SubPractices[Org],"Medium"),IF(AND(Practices_SubPractices[CP]=2,Practices_SubPractices[Org]="Medium"),SUMIFS(Practices_SubPractices[C],Practices_SubPractices[CP],"2",Practices_SubPractices[Org],"Medium"),IF(AND(Practices_SubPractices[CP]=3,Practices_SubPractices[Org]="Medium"),SUMIFS(Practices_SubPractices[C],Practices_SubPractices[CP],"3",Practices_SubPractices[Org],"Medium"),IF(AND(Practices_SubPractices[CP]=4,Practices_SubPractices[Org]="Medium"),SUMIFS(Practices_SubPractices[C],Practices_SubPractices[CP],"4",Practices_SubPractices[Org],"Medium"),IF(AND(Practices_SubPractices[CP]=5,Practices_SubPractices[Org]="Medium"),SUMIFS(Practices_SubPractices[C],Practices_SubPractices[CP],"5",Practices_SubPractices[Org],"Medium"),IF(AND(Practices_SubPractices[CP]=6,Practices_SubPractices[Org]="Medium"),SUMIFS(Practices_SubPractices[C],Practices_SubPractices[CP],"6",Practices_SubPractices[Org],"Medium"),IF(AND(Practices_SubPractices[CP]=7,Practices_SubPractices[Org] ="Medium"),SUMIFS(Practices_SubPractices[C],Practices_SubPractices[CP],"7",Practices_SubPractices[Org],"Medium"),IF(AND(Practices_SubPractices[CP]=8,Practices_SubPractices[Org] ="Medium"),SUMIFS(Practices_SubPractices[C],Practices_SubPractices[CP],"8",Practices_SubPractices[Org],"Medium"),IF(AND(Practices_SubPractices[CP]=9,Practices_SubPractices[Org] ="Medium"),SUMIFS(Practices_SubPractices[C],Practices_SubPractices[CP],"9",Practices_SubPractices[Org],"Medium"),IF(AND(Practices_SubPractices[CP]=10,Practices_SubPractices[Org] ="Medium"),SUMIFS(Practices_SubPractices[C],Practices_SubPractices[CP],"10",Practices_SubPractices[Org],"Medium"),IF(AND(Practices_SubPractices[CP]=1,Practices_SubPractices[Org]="Large"),SUMIFS(Practices_SubPractices[C],Practices_SubPractices[CP],"1",Practices_SubPractices[Org],"Large"),IF(AND(Practices_SubPractices[CP]=2,Practices_SubPractices[Org]="Large"),SUMIFS(Practices_SubPractices[C],Practices_SubPractices[CP],"2",Practices_SubPractices[Org],"Large"),IF(AND(Practices_SubPractices[CP]=3,Practices_SubPractices[Org]="Large"),SUMIFS(Practices_SubPractices[C],Practices_SubPractices[CP],"3",Practices_SubPractices[Org],"Large"),IF(AND(Practices_SubPractices[CP]=4,Practices_SubPractices[Org]="Large"),SUMIFS(Practices_SubPractices[C],Practices_SubPractices[CP],"4",Practices_SubPractices[Org],"Large"),IF(AND(Practices_SubPractices[CP]=5,Practices_SubPractices[Org]="Large"),SUMIFS(Practices_SubPractices[C],Practices_SubPractices[CP],"5",Practices_SubPractices[Org],"Large"),IF(AND(Practices_SubPractices[CP]=6,Practices_SubPractices[Org]="Large"),SUMIFS(Practices_SubPractices[C],Practices_SubPractices[CP],"6",Practices_SubPractices[Org],"Large"),IF(AND(Practices_SubPractices[CP]=7,Practices_SubPractices[Org] ="Large"),SUMIFS(Practices_SubPractices[C],Practices_SubPractices[CP],"7",Practices_SubPractices[Org],"Large"),IF(AND(Practices_SubPractices[CP]=8,Practices_SubPractices[Org] ="Large"),SUMIFS(Practices_SubPractices[C],Practices_SubPractices[CP],"8",Practices_SubPractices[Org],"Large"),IF(AND(Practices_SubPractices[CP]=9,Practices_SubPractices[Org] ="Large"),SUMIFS(Practices_SubPractices[C],Practices_SubPractices[CP],"9",Practices_SubPractices[Org],"Large"),IF(AND(Practices_SubPractices[CP]=10,Practices_SubPractices[Org] ="Large"),SUMIFS(Practices_SubPractices[C],Practices_SubPractices[CP],"10",Practices_SubPractices[Org],"Large"),"TBD"))))))))))))))))))))))))))))))</f>
        <v>9</v>
      </c>
      <c r="Q52" s="77">
        <f>IF(AND(Practices_SubPractices[CP]=1,Practices_SubPractices[Org]="Small"),SUMIFS(Practices_SubPractices[D],Practices_SubPractices[CP],"1",Practices_SubPractices[Org],"Small"),IF(AND(Practices_SubPractices[CP]=2,Practices_SubPractices[Org]="Small"),SUMIFS(Practices_SubPractices[D],Practices_SubPractices[CP],"2",Practices_SubPractices[Org],"Small"),IF(AND(Practices_SubPractices[CP]=3,Practices_SubPractices[Org]="Small"),SUMIFS(Practices_SubPractices[D],Practices_SubPractices[CP],"3",Practices_SubPractices[Org],"Small"),IF(AND(Practices_SubPractices[CP]=4,Practices_SubPractices[Org]="Small"),SUMIFS(Practices_SubPractices[D],Practices_SubPractices[CP],"4",Practices_SubPractices[Org],"Small"),IF(AND(Practices_SubPractices[CP]=5,Practices_SubPractices[Org]="Small"),SUMIFS(Practices_SubPractices[D],Practices_SubPractices[CP],"5",Practices_SubPractices[Org],"Small"),IF(AND(Practices_SubPractices[CP]=6,Practices_SubPractices[Org]="Small"),SUMIFS(Practices_SubPractices[D],Practices_SubPractices[CP],"6",Practices_SubPractices[Org],"Small"),IF(AND(Practices_SubPractices[CP]=7,Practices_SubPractices[Org] ="Small"),SUMIFS(Practices_SubPractices[D],Practices_SubPractices[CP],"7",Practices_SubPractices[Org],"Small"),IF(AND(Practices_SubPractices[CP]=8,Practices_SubPractices[Org] ="Small"),SUMIFS(Practices_SubPractices[D],Practices_SubPractices[CP],"8",Practices_SubPractices[Org],"Small"),IF(AND(Practices_SubPractices[CP]=9,Practices_SubPractices[Org] ="Small"),SUMIFS(Practices_SubPractices[D],Practices_SubPractices[CP],"9",Practices_SubPractices[Org],"Small"),IF(AND(Practices_SubPractices[CP]=10,Practices_SubPractices[Org] ="Small"),SUMIFS(Practices_SubPractices[D],Practices_SubPractices[CP],"10",Practices_SubPractices[Org],"Small"),IF(AND(Practices_SubPractices[CP]=1,Practices_SubPractices[Org]="Medium"),SUMIFS(Practices_SubPractices[D],Practices_SubPractices[CP],"1",Practices_SubPractices[Org],"Medium"),IF(AND(Practices_SubPractices[CP]=2,Practices_SubPractices[Org]="Medium"),SUMIFS(Practices_SubPractices[D],Practices_SubPractices[CP],"2",Practices_SubPractices[Org],"Medium"),IF(AND(Practices_SubPractices[CP]=3,Practices_SubPractices[Org]="Medium"),SUMIFS(Practices_SubPractices[D],Practices_SubPractices[CP],"3",Practices_SubPractices[Org],"Medium"),IF(AND(Practices_SubPractices[CP]=4,Practices_SubPractices[Org]="Medium"),SUMIFS(Practices_SubPractices[D],Practices_SubPractices[CP],"4",Practices_SubPractices[Org],"Medium"),IF(AND(Practices_SubPractices[CP]=5,Practices_SubPractices[Org]="Medium"),SUMIFS(Practices_SubPractices[D],Practices_SubPractices[CP],"5",Practices_SubPractices[Org],"Medium"),IF(AND(Practices_SubPractices[CP]=6,Practices_SubPractices[Org]="Medium"),SUMIFS(Practices_SubPractices[D],Practices_SubPractices[CP],"6",Practices_SubPractices[Org],"Medium"),IF(AND(Practices_SubPractices[CP]=7,Practices_SubPractices[Org] ="Medium"),SUMIFS(Practices_SubPractices[D],Practices_SubPractices[CP],"7",Practices_SubPractices[Org],"Medium"),IF(AND(Practices_SubPractices[CP]=8,Practices_SubPractices[Org] ="Medium"),SUMIFS(Practices_SubPractices[D],Practices_SubPractices[CP],"8",Practices_SubPractices[Org],"Medium"),IF(AND(Practices_SubPractices[CP]=9,Practices_SubPractices[Org] ="Medium"),SUMIFS(Practices_SubPractices[D],Practices_SubPractices[CP],"9",Practices_SubPractices[Org],"Medium"),IF(AND(Practices_SubPractices[CP]=10,Practices_SubPractices[Org] ="Medium"),SUMIFS(Practices_SubPractices[D],Practices_SubPractices[CP],"10",Practices_SubPractices[Org],"Medium"),IF(AND(Practices_SubPractices[CP]=1,Practices_SubPractices[Org]="Large"),SUMIFS(Practices_SubPractices[D],Practices_SubPractices[CP],"1",Practices_SubPractices[Org],"Large"),IF(AND(Practices_SubPractices[CP]=2,Practices_SubPractices[Org]="Large"),SUMIFS(Practices_SubPractices[D],Practices_SubPractices[CP],"2",Practices_SubPractices[Org],"Large"),IF(AND(Practices_SubPractices[CP]=3,Practices_SubPractices[Org]="Large"),SUMIFS(Practices_SubPractices[D],Practices_SubPractices[CP],"3",Practices_SubPractices[Org],"Large"),IF(AND(Practices_SubPractices[CP]=4,Practices_SubPractices[Org]="Large"),SUMIFS(Practices_SubPractices[D],Practices_SubPractices[CP],"4",Practices_SubPractices[Org],"Large"),IF(AND(Practices_SubPractices[CP]=5,Practices_SubPractices[Org]="Large"),SUMIFS(Practices_SubPractices[D],Practices_SubPractices[CP],"5",Practices_SubPractices[Org],"Large"),IF(AND(Practices_SubPractices[CP]=6,Practices_SubPractices[Org]="Large"),SUMIFS(Practices_SubPractices[D],Practices_SubPractices[CP],"6",Practices_SubPractices[Org],"Large"),IF(AND(Practices_SubPractices[CP]=7,Practices_SubPractices[Org] ="Large"),SUMIFS(Practices_SubPractices[D],Practices_SubPractices[CP],"7",Practices_SubPractices[Org],"Large"),IF(AND(Practices_SubPractices[CP]=8,Practices_SubPractices[Org] ="Large"),SUMIFS(Practices_SubPractices[D],Practices_SubPractices[CP],"8",Practices_SubPractices[Org],"Large"),IF(AND(Practices_SubPractices[CP]=9,Practices_SubPractices[Org] ="Large"),SUMIFS(Practices_SubPractices[D],Practices_SubPractices[CP],"9",Practices_SubPractices[Org],"Large"),IF(AND(Practices_SubPractices[CP]=10,Practices_SubPractices[Org] ="Large"),SUMIFS(Practices_SubPractices[D],Practices_SubPractices[CP],"10",Practices_SubPractices[Org],"Large"),"TBD"))))))))))))))))))))))))))))))</f>
        <v>10</v>
      </c>
      <c r="R52" s="77">
        <f>IF(AND(Practices_SubPractices[CP]=1,Practices_SubPractices[Org]="Small"),SUMIFS(Practices_SubPractices[E],Practices_SubPractices[CP],"1",Practices_SubPractices[Org],"Small"),IF(AND(Practices_SubPractices[CP]=2,Practices_SubPractices[Org]="Small"),SUMIFS(Practices_SubPractices[E],Practices_SubPractices[CP],"2",Practices_SubPractices[Org],"Small"),IF(AND(Practices_SubPractices[CP]=3,Practices_SubPractices[Org]="Small"),SUMIFS(Practices_SubPractices[E],Practices_SubPractices[CP],"3",Practices_SubPractices[Org],"Small"),IF(AND(Practices_SubPractices[CP]=4,Practices_SubPractices[Org]="Small"),SUMIFS(Practices_SubPractices[E],Practices_SubPractices[CP],"4",Practices_SubPractices[Org],"Small"),IF(AND(Practices_SubPractices[CP]=5,Practices_SubPractices[Org]="Small"),SUMIFS(Practices_SubPractices[E],Practices_SubPractices[CP],"5",Practices_SubPractices[Org],"Small"),IF(AND(Practices_SubPractices[CP]=6,Practices_SubPractices[Org]="Small"),SUMIFS(Practices_SubPractices[E],Practices_SubPractices[CP],"6",Practices_SubPractices[Org],"Small"),IF(AND(Practices_SubPractices[CP]=7,Practices_SubPractices[Org] ="Small"),SUMIFS(Practices_SubPractices[E],Practices_SubPractices[CP],"7",Practices_SubPractices[Org],"Small"),IF(AND(Practices_SubPractices[CP]=8,Practices_SubPractices[Org] ="Small"),SUMIFS(Practices_SubPractices[E],Practices_SubPractices[CP],"8",Practices_SubPractices[Org],"Small"),IF(AND(Practices_SubPractices[CP]=9,Practices_SubPractices[Org] ="Small"),SUMIFS(Practices_SubPractices[E],Practices_SubPractices[CP],"9",Practices_SubPractices[Org],"Small"),IF(AND(Practices_SubPractices[CP]=10,Practices_SubPractices[Org] ="Small"),SUMIFS(Practices_SubPractices[E],Practices_SubPractices[CP],"10",Practices_SubPractices[Org],"Small"),IF(AND(Practices_SubPractices[CP]=1,Practices_SubPractices[Org]="Medium"),SUMIFS(Practices_SubPractices[E],Practices_SubPractices[CP],"1",Practices_SubPractices[Org],"Medium"),IF(AND(Practices_SubPractices[CP]=2,Practices_SubPractices[Org]="Medium"),SUMIFS(Practices_SubPractices[E],Practices_SubPractices[CP],"2",Practices_SubPractices[Org],"Medium"),IF(AND(Practices_SubPractices[CP]=3,Practices_SubPractices[Org]="Medium"),SUMIFS(Practices_SubPractices[E],Practices_SubPractices[CP],"3",Practices_SubPractices[Org],"Medium"),IF(AND(Practices_SubPractices[CP]=4,Practices_SubPractices[Org]="Medium"),SUMIFS(Practices_SubPractices[E],Practices_SubPractices[CP],"4",Practices_SubPractices[Org],"Medium"),IF(AND(Practices_SubPractices[CP]=5,Practices_SubPractices[Org]="Medium"),SUMIFS(Practices_SubPractices[E],Practices_SubPractices[CP],"5",Practices_SubPractices[Org],"Medium"),IF(AND(Practices_SubPractices[CP]=6,Practices_SubPractices[Org]="Medium"),SUMIFS(Practices_SubPractices[E],Practices_SubPractices[CP],"6",Practices_SubPractices[Org],"Medium"),IF(AND(Practices_SubPractices[CP]=7,Practices_SubPractices[Org] ="Medium"),SUMIFS(Practices_SubPractices[E],Practices_SubPractices[CP],"7",Practices_SubPractices[Org],"Medium"),IF(AND(Practices_SubPractices[CP]=8,Practices_SubPractices[Org] ="Medium"),SUMIFS(Practices_SubPractices[E],Practices_SubPractices[CP],"8",Practices_SubPractices[Org],"Medium"),IF(AND(Practices_SubPractices[CP]=9,Practices_SubPractices[Org] ="Medium"),SUMIFS(Practices_SubPractices[E],Practices_SubPractices[CP],"9",Practices_SubPractices[Org],"Medium"),IF(AND(Practices_SubPractices[CP]=10,Practices_SubPractices[Org] ="Medium"),SUMIFS(Practices_SubPractices[E],Practices_SubPractices[CP],"10",Practices_SubPractices[Org],"Medium"),IF(AND(Practices_SubPractices[CP]=1,Practices_SubPractices[Org]="Large"),SUMIFS(Practices_SubPractices[E],Practices_SubPractices[CP],"1",Practices_SubPractices[Org],"Large"),IF(AND(Practices_SubPractices[CP]=2,Practices_SubPractices[Org]="Large"),SUMIFS(Practices_SubPractices[E],Practices_SubPractices[CP],"2",Practices_SubPractices[Org],"Large"),IF(AND(Practices_SubPractices[CP]=3,Practices_SubPractices[Org]="Large"),SUMIFS(Practices_SubPractices[E],Practices_SubPractices[CP],"3",Practices_SubPractices[Org],"Large"),IF(AND(Practices_SubPractices[CP]=4,Practices_SubPractices[Org]="Large"),SUMIFS(Practices_SubPractices[E],Practices_SubPractices[CP],"4",Practices_SubPractices[Org],"Large"),IF(AND(Practices_SubPractices[CP]=5,Practices_SubPractices[Org]="Large"),SUMIFS(Practices_SubPractices[E],Practices_SubPractices[CP],"5",Practices_SubPractices[Org],"Large"),IF(AND(Practices_SubPractices[CP]=6,Practices_SubPractices[Org]="Large"),SUMIFS(Practices_SubPractices[E],Practices_SubPractices[CP],"6",Practices_SubPractices[Org],"Large"),IF(AND(Practices_SubPractices[CP]=7,Practices_SubPractices[Org] ="Large"),SUMIFS(Practices_SubPractices[E],Practices_SubPractices[CP],"7",Practices_SubPractices[Org],"Large"),IF(AND(Practices_SubPractices[CP]=8,Practices_SubPractices[Org] ="Large"),SUMIFS(Practices_SubPractices[E],Practices_SubPractices[CP],"8",Practices_SubPractices[Org],"Large"),IF(AND(Practices_SubPractices[CP]=9,Practices_SubPractices[Org] ="Large"),SUMIFS(Practices_SubPractices[E],Practices_SubPractices[CP],"9",Practices_SubPractices[Org],"Large"),IF(AND(Practices_SubPractices[CP]=10,Practices_SubPractices[Org] ="Large"),SUMIFS(Practices_SubPractices[E],Practices_SubPractices[CP],"10",Practices_SubPractices[Org],"Large"),"TBD"))))))))))))))))))))))))))))))</f>
        <v>0</v>
      </c>
      <c r="S52" s="87" t="s">
        <v>414</v>
      </c>
    </row>
    <row r="53" spans="1:19" x14ac:dyDescent="0.35">
      <c r="A53" s="73">
        <v>43</v>
      </c>
      <c r="B53" s="73">
        <v>4</v>
      </c>
      <c r="C53" s="73" t="s">
        <v>12</v>
      </c>
      <c r="D53" s="73" t="str">
        <f>Practices_SubPractices[[#This Row],[CP]]&amp;LEFT(Practices_SubPractices[[#This Row],[Org]],1)</f>
        <v>4L</v>
      </c>
      <c r="E53" s="73" t="s">
        <v>267</v>
      </c>
      <c r="F53" s="74" t="s">
        <v>94</v>
      </c>
      <c r="G53" s="74" t="s">
        <v>99</v>
      </c>
      <c r="H53" s="74" t="s">
        <v>221</v>
      </c>
      <c r="I53" s="75">
        <v>0</v>
      </c>
      <c r="J53" s="75">
        <v>0</v>
      </c>
      <c r="K53" s="75">
        <v>2</v>
      </c>
      <c r="L53" s="75">
        <v>2</v>
      </c>
      <c r="M53" s="75">
        <v>0</v>
      </c>
      <c r="N53" s="76"/>
      <c r="O53" s="77">
        <f>IF(AND(Practices_SubPractices[CP]=1,Practices_SubPractices[Org]="Small"),SUMIFS(Practices_SubPractices[B],Practices_SubPractices[CP],"1",Practices_SubPractices[Org],"Small"),IF(AND(Practices_SubPractices[CP]=2,Practices_SubPractices[Org]="Small"),SUMIFS(Practices_SubPractices[B],Practices_SubPractices[CP],"2",Practices_SubPractices[Org],"Small"),IF(AND(Practices_SubPractices[CP]=3,Practices_SubPractices[Org]="Small"),SUMIFS(Practices_SubPractices[B],Practices_SubPractices[CP],"3",Practices_SubPractices[Org],"Small"),IF(AND(Practices_SubPractices[CP]=4,Practices_SubPractices[Org]="Small"),SUMIFS(Practices_SubPractices[B],Practices_SubPractices[CP],"4",Practices_SubPractices[Org],"Small"),IF(AND(Practices_SubPractices[CP]=5,Practices_SubPractices[Org]="Small"),SUMIFS(Practices_SubPractices[B],Practices_SubPractices[CP],"5",Practices_SubPractices[Org],"Small"),IF(AND(Practices_SubPractices[CP]=6,Practices_SubPractices[Org]="Small"),SUMIFS(Practices_SubPractices[B],Practices_SubPractices[CP],"6",Practices_SubPractices[Org],"Small"),IF(AND(Practices_SubPractices[CP]=7,Practices_SubPractices[Org] ="Small"),SUMIFS(Practices_SubPractices[B],Practices_SubPractices[CP],"7",Practices_SubPractices[Org],"Small"),IF(AND(Practices_SubPractices[CP]=8,Practices_SubPractices[Org] ="Small"),SUMIFS(Practices_SubPractices[B],Practices_SubPractices[CP],"8",Practices_SubPractices[Org],"Small"),IF(AND(Practices_SubPractices[CP]=9,Practices_SubPractices[Org] ="Small"),SUMIFS(Practices_SubPractices[B],Practices_SubPractices[CP],"9",Practices_SubPractices[Org],"Small"),IF(AND(Practices_SubPractices[CP]=10,Practices_SubPractices[Org] ="Small"),SUMIFS(Practices_SubPractices[B],Practices_SubPractices[CP],"10",Practices_SubPractices[Org],"Small"),IF(AND(Practices_SubPractices[CP]=1,Practices_SubPractices[Org]="Medium"),SUMIFS(Practices_SubPractices[B],Practices_SubPractices[CP],"1",Practices_SubPractices[Org],"Medium"),IF(AND(Practices_SubPractices[CP]=2,Practices_SubPractices[Org]="Medium"),SUMIFS(Practices_SubPractices[B],Practices_SubPractices[CP],"2",Practices_SubPractices[Org],"Medium"),IF(AND(Practices_SubPractices[CP]=3,Practices_SubPractices[Org]="Medium"),SUMIFS(Practices_SubPractices[B],Practices_SubPractices[CP],"3",Practices_SubPractices[Org],"Medium"),IF(AND(Practices_SubPractices[CP]=4,Practices_SubPractices[Org]="Medium"),SUMIFS(Practices_SubPractices[B],Practices_SubPractices[CP],"4",Practices_SubPractices[Org],"Medium"),IF(AND(Practices_SubPractices[CP]=5,Practices_SubPractices[Org]="Medium"),SUMIFS(Practices_SubPractices[B],Practices_SubPractices[CP],"5",Practices_SubPractices[Org],"Medium"),IF(AND(Practices_SubPractices[CP]=6,Practices_SubPractices[Org]="Medium"),SUMIFS(Practices_SubPractices[B],Practices_SubPractices[CP],"6",Practices_SubPractices[Org],"Medium"),IF(AND(Practices_SubPractices[CP]=7,Practices_SubPractices[Org] ="Medium"),SUMIFS(Practices_SubPractices[B],Practices_SubPractices[CP],"7",Practices_SubPractices[Org],"Medium"),IF(AND(Practices_SubPractices[CP]=8,Practices_SubPractices[Org] ="Medium"),SUMIFS(Practices_SubPractices[B],Practices_SubPractices[CP],"8",Practices_SubPractices[Org],"Medium"),IF(AND(Practices_SubPractices[CP]=9,Practices_SubPractices[Org] ="Medium"),SUMIFS(Practices_SubPractices[B],Practices_SubPractices[CP],"9",Practices_SubPractices[Org],"Medium"),IF(AND(Practices_SubPractices[CP]=10,Practices_SubPractices[Org] ="Medium"),SUMIFS(Practices_SubPractices[B],Practices_SubPractices[CP],"10",Practices_SubPractices[Org],"Medium"),IF(AND(Practices_SubPractices[CP]=1,Practices_SubPractices[Org]="Large"),SUMIFS(Practices_SubPractices[B],Practices_SubPractices[CP],"1",Practices_SubPractices[Org],"Large"),IF(AND(Practices_SubPractices[CP]=2,Practices_SubPractices[Org]="Large"),SUMIFS(Practices_SubPractices[B],Practices_SubPractices[CP],"2",Practices_SubPractices[Org],"Large"),IF(AND(Practices_SubPractices[CP]=3,Practices_SubPractices[Org]="Large"),SUMIFS(Practices_SubPractices[B],Practices_SubPractices[CP],"3",Practices_SubPractices[Org],"Large"),IF(AND(Practices_SubPractices[CP]=4,Practices_SubPractices[Org]="Large"),SUMIFS(Practices_SubPractices[B],Practices_SubPractices[CP],"4",Practices_SubPractices[Org],"Large"),IF(AND(Practices_SubPractices[CP]=5,Practices_SubPractices[Org]="Large"),SUMIFS(Practices_SubPractices[B],Practices_SubPractices[CP],"5",Practices_SubPractices[Org],"Large"),IF(AND(Practices_SubPractices[CP]=6,Practices_SubPractices[Org]="Large"),SUMIFS(Practices_SubPractices[B],Practices_SubPractices[CP],"6",Practices_SubPractices[Org],"Large"),IF(AND(Practices_SubPractices[CP]=7,Practices_SubPractices[Org] ="Large"),SUMIFS(Practices_SubPractices[B],Practices_SubPractices[CP],"7",Practices_SubPractices[Org],"Large"),IF(AND(Practices_SubPractices[CP]=8,Practices_SubPractices[Org] ="Large"),SUMIFS(Practices_SubPractices[B],Practices_SubPractices[CP],"8",Practices_SubPractices[Org],"Large"),IF(AND(Practices_SubPractices[CP]=9,Practices_SubPractices[Org] ="Large"),SUMIFS(Practices_SubPractices[B],Practices_SubPractices[CP],"9",Practices_SubPractices[Org],"Large"),IF(AND(Practices_SubPractices[CP]=10,Practices_SubPractices[Org] ="Large"),SUMIFS(Practices_SubPractices[B],Practices_SubPractices[CP],"10",Practices_SubPractices[Org],"Large"),"TBD"))))))))))))))))))))))))))))))</f>
        <v>4</v>
      </c>
      <c r="P53" s="77">
        <f>IF(AND(Practices_SubPractices[CP]=1,Practices_SubPractices[Org]="Small"),SUMIFS(Practices_SubPractices[C],Practices_SubPractices[CP],"1",Practices_SubPractices[Org],"Small"),IF(AND(Practices_SubPractices[CP]=2,Practices_SubPractices[Org]="Small"),SUMIFS(Practices_SubPractices[C],Practices_SubPractices[CP],"2",Practices_SubPractices[Org],"Small"),IF(AND(Practices_SubPractices[CP]=3,Practices_SubPractices[Org]="Small"),SUMIFS(Practices_SubPractices[C],Practices_SubPractices[CP],"3",Practices_SubPractices[Org],"Small"),IF(AND(Practices_SubPractices[CP]=4,Practices_SubPractices[Org]="Small"),SUMIFS(Practices_SubPractices[C],Practices_SubPractices[CP],"4",Practices_SubPractices[Org],"Small"),IF(AND(Practices_SubPractices[CP]=5,Practices_SubPractices[Org]="Small"),SUMIFS(Practices_SubPractices[C],Practices_SubPractices[CP],"5",Practices_SubPractices[Org],"Small"),IF(AND(Practices_SubPractices[CP]=6,Practices_SubPractices[Org]="Small"),SUMIFS(Practices_SubPractices[C],Practices_SubPractices[CP],"6",Practices_SubPractices[Org],"Small"),IF(AND(Practices_SubPractices[CP]=7,Practices_SubPractices[Org] ="Small"),SUMIFS(Practices_SubPractices[C],Practices_SubPractices[CP],"7",Practices_SubPractices[Org],"Small"),IF(AND(Practices_SubPractices[CP]=8,Practices_SubPractices[Org] ="Small"),SUMIFS(Practices_SubPractices[C],Practices_SubPractices[CP],"8",Practices_SubPractices[Org],"Small"),IF(AND(Practices_SubPractices[CP]=9,Practices_SubPractices[Org] ="Small"),SUMIFS(Practices_SubPractices[C],Practices_SubPractices[CP],"9",Practices_SubPractices[Org],"Small"),IF(AND(Practices_SubPractices[CP]=10,Practices_SubPractices[Org] ="Small"),SUMIFS(Practices_SubPractices[C],Practices_SubPractices[CP],"10",Practices_SubPractices[Org],"Small"),IF(AND(Practices_SubPractices[CP]=1,Practices_SubPractices[Org]="Medium"),SUMIFS(Practices_SubPractices[C],Practices_SubPractices[CP],"1",Practices_SubPractices[Org],"Medium"),IF(AND(Practices_SubPractices[CP]=2,Practices_SubPractices[Org]="Medium"),SUMIFS(Practices_SubPractices[C],Practices_SubPractices[CP],"2",Practices_SubPractices[Org],"Medium"),IF(AND(Practices_SubPractices[CP]=3,Practices_SubPractices[Org]="Medium"),SUMIFS(Practices_SubPractices[C],Practices_SubPractices[CP],"3",Practices_SubPractices[Org],"Medium"),IF(AND(Practices_SubPractices[CP]=4,Practices_SubPractices[Org]="Medium"),SUMIFS(Practices_SubPractices[C],Practices_SubPractices[CP],"4",Practices_SubPractices[Org],"Medium"),IF(AND(Practices_SubPractices[CP]=5,Practices_SubPractices[Org]="Medium"),SUMIFS(Practices_SubPractices[C],Practices_SubPractices[CP],"5",Practices_SubPractices[Org],"Medium"),IF(AND(Practices_SubPractices[CP]=6,Practices_SubPractices[Org]="Medium"),SUMIFS(Practices_SubPractices[C],Practices_SubPractices[CP],"6",Practices_SubPractices[Org],"Medium"),IF(AND(Practices_SubPractices[CP]=7,Practices_SubPractices[Org] ="Medium"),SUMIFS(Practices_SubPractices[C],Practices_SubPractices[CP],"7",Practices_SubPractices[Org],"Medium"),IF(AND(Practices_SubPractices[CP]=8,Practices_SubPractices[Org] ="Medium"),SUMIFS(Practices_SubPractices[C],Practices_SubPractices[CP],"8",Practices_SubPractices[Org],"Medium"),IF(AND(Practices_SubPractices[CP]=9,Practices_SubPractices[Org] ="Medium"),SUMIFS(Practices_SubPractices[C],Practices_SubPractices[CP],"9",Practices_SubPractices[Org],"Medium"),IF(AND(Practices_SubPractices[CP]=10,Practices_SubPractices[Org] ="Medium"),SUMIFS(Practices_SubPractices[C],Practices_SubPractices[CP],"10",Practices_SubPractices[Org],"Medium"),IF(AND(Practices_SubPractices[CP]=1,Practices_SubPractices[Org]="Large"),SUMIFS(Practices_SubPractices[C],Practices_SubPractices[CP],"1",Practices_SubPractices[Org],"Large"),IF(AND(Practices_SubPractices[CP]=2,Practices_SubPractices[Org]="Large"),SUMIFS(Practices_SubPractices[C],Practices_SubPractices[CP],"2",Practices_SubPractices[Org],"Large"),IF(AND(Practices_SubPractices[CP]=3,Practices_SubPractices[Org]="Large"),SUMIFS(Practices_SubPractices[C],Practices_SubPractices[CP],"3",Practices_SubPractices[Org],"Large"),IF(AND(Practices_SubPractices[CP]=4,Practices_SubPractices[Org]="Large"),SUMIFS(Practices_SubPractices[C],Practices_SubPractices[CP],"4",Practices_SubPractices[Org],"Large"),IF(AND(Practices_SubPractices[CP]=5,Practices_SubPractices[Org]="Large"),SUMIFS(Practices_SubPractices[C],Practices_SubPractices[CP],"5",Practices_SubPractices[Org],"Large"),IF(AND(Practices_SubPractices[CP]=6,Practices_SubPractices[Org]="Large"),SUMIFS(Practices_SubPractices[C],Practices_SubPractices[CP],"6",Practices_SubPractices[Org],"Large"),IF(AND(Practices_SubPractices[CP]=7,Practices_SubPractices[Org] ="Large"),SUMIFS(Practices_SubPractices[C],Practices_SubPractices[CP],"7",Practices_SubPractices[Org],"Large"),IF(AND(Practices_SubPractices[CP]=8,Practices_SubPractices[Org] ="Large"),SUMIFS(Practices_SubPractices[C],Practices_SubPractices[CP],"8",Practices_SubPractices[Org],"Large"),IF(AND(Practices_SubPractices[CP]=9,Practices_SubPractices[Org] ="Large"),SUMIFS(Practices_SubPractices[C],Practices_SubPractices[CP],"9",Practices_SubPractices[Org],"Large"),IF(AND(Practices_SubPractices[CP]=10,Practices_SubPractices[Org] ="Large"),SUMIFS(Practices_SubPractices[C],Practices_SubPractices[CP],"10",Practices_SubPractices[Org],"Large"),"TBD"))))))))))))))))))))))))))))))</f>
        <v>12</v>
      </c>
      <c r="Q53" s="77">
        <f>IF(AND(Practices_SubPractices[CP]=1,Practices_SubPractices[Org]="Small"),SUMIFS(Practices_SubPractices[D],Practices_SubPractices[CP],"1",Practices_SubPractices[Org],"Small"),IF(AND(Practices_SubPractices[CP]=2,Practices_SubPractices[Org]="Small"),SUMIFS(Practices_SubPractices[D],Practices_SubPractices[CP],"2",Practices_SubPractices[Org],"Small"),IF(AND(Practices_SubPractices[CP]=3,Practices_SubPractices[Org]="Small"),SUMIFS(Practices_SubPractices[D],Practices_SubPractices[CP],"3",Practices_SubPractices[Org],"Small"),IF(AND(Practices_SubPractices[CP]=4,Practices_SubPractices[Org]="Small"),SUMIFS(Practices_SubPractices[D],Practices_SubPractices[CP],"4",Practices_SubPractices[Org],"Small"),IF(AND(Practices_SubPractices[CP]=5,Practices_SubPractices[Org]="Small"),SUMIFS(Practices_SubPractices[D],Practices_SubPractices[CP],"5",Practices_SubPractices[Org],"Small"),IF(AND(Practices_SubPractices[CP]=6,Practices_SubPractices[Org]="Small"),SUMIFS(Practices_SubPractices[D],Practices_SubPractices[CP],"6",Practices_SubPractices[Org],"Small"),IF(AND(Practices_SubPractices[CP]=7,Practices_SubPractices[Org] ="Small"),SUMIFS(Practices_SubPractices[D],Practices_SubPractices[CP],"7",Practices_SubPractices[Org],"Small"),IF(AND(Practices_SubPractices[CP]=8,Practices_SubPractices[Org] ="Small"),SUMIFS(Practices_SubPractices[D],Practices_SubPractices[CP],"8",Practices_SubPractices[Org],"Small"),IF(AND(Practices_SubPractices[CP]=9,Practices_SubPractices[Org] ="Small"),SUMIFS(Practices_SubPractices[D],Practices_SubPractices[CP],"9",Practices_SubPractices[Org],"Small"),IF(AND(Practices_SubPractices[CP]=10,Practices_SubPractices[Org] ="Small"),SUMIFS(Practices_SubPractices[D],Practices_SubPractices[CP],"10",Practices_SubPractices[Org],"Small"),IF(AND(Practices_SubPractices[CP]=1,Practices_SubPractices[Org]="Medium"),SUMIFS(Practices_SubPractices[D],Practices_SubPractices[CP],"1",Practices_SubPractices[Org],"Medium"),IF(AND(Practices_SubPractices[CP]=2,Practices_SubPractices[Org]="Medium"),SUMIFS(Practices_SubPractices[D],Practices_SubPractices[CP],"2",Practices_SubPractices[Org],"Medium"),IF(AND(Practices_SubPractices[CP]=3,Practices_SubPractices[Org]="Medium"),SUMIFS(Practices_SubPractices[D],Practices_SubPractices[CP],"3",Practices_SubPractices[Org],"Medium"),IF(AND(Practices_SubPractices[CP]=4,Practices_SubPractices[Org]="Medium"),SUMIFS(Practices_SubPractices[D],Practices_SubPractices[CP],"4",Practices_SubPractices[Org],"Medium"),IF(AND(Practices_SubPractices[CP]=5,Practices_SubPractices[Org]="Medium"),SUMIFS(Practices_SubPractices[D],Practices_SubPractices[CP],"5",Practices_SubPractices[Org],"Medium"),IF(AND(Practices_SubPractices[CP]=6,Practices_SubPractices[Org]="Medium"),SUMIFS(Practices_SubPractices[D],Practices_SubPractices[CP],"6",Practices_SubPractices[Org],"Medium"),IF(AND(Practices_SubPractices[CP]=7,Practices_SubPractices[Org] ="Medium"),SUMIFS(Practices_SubPractices[D],Practices_SubPractices[CP],"7",Practices_SubPractices[Org],"Medium"),IF(AND(Practices_SubPractices[CP]=8,Practices_SubPractices[Org] ="Medium"),SUMIFS(Practices_SubPractices[D],Practices_SubPractices[CP],"8",Practices_SubPractices[Org],"Medium"),IF(AND(Practices_SubPractices[CP]=9,Practices_SubPractices[Org] ="Medium"),SUMIFS(Practices_SubPractices[D],Practices_SubPractices[CP],"9",Practices_SubPractices[Org],"Medium"),IF(AND(Practices_SubPractices[CP]=10,Practices_SubPractices[Org] ="Medium"),SUMIFS(Practices_SubPractices[D],Practices_SubPractices[CP],"10",Practices_SubPractices[Org],"Medium"),IF(AND(Practices_SubPractices[CP]=1,Practices_SubPractices[Org]="Large"),SUMIFS(Practices_SubPractices[D],Practices_SubPractices[CP],"1",Practices_SubPractices[Org],"Large"),IF(AND(Practices_SubPractices[CP]=2,Practices_SubPractices[Org]="Large"),SUMIFS(Practices_SubPractices[D],Practices_SubPractices[CP],"2",Practices_SubPractices[Org],"Large"),IF(AND(Practices_SubPractices[CP]=3,Practices_SubPractices[Org]="Large"),SUMIFS(Practices_SubPractices[D],Practices_SubPractices[CP],"3",Practices_SubPractices[Org],"Large"),IF(AND(Practices_SubPractices[CP]=4,Practices_SubPractices[Org]="Large"),SUMIFS(Practices_SubPractices[D],Practices_SubPractices[CP],"4",Practices_SubPractices[Org],"Large"),IF(AND(Practices_SubPractices[CP]=5,Practices_SubPractices[Org]="Large"),SUMIFS(Practices_SubPractices[D],Practices_SubPractices[CP],"5",Practices_SubPractices[Org],"Large"),IF(AND(Practices_SubPractices[CP]=6,Practices_SubPractices[Org]="Large"),SUMIFS(Practices_SubPractices[D],Practices_SubPractices[CP],"6",Practices_SubPractices[Org],"Large"),IF(AND(Practices_SubPractices[CP]=7,Practices_SubPractices[Org] ="Large"),SUMIFS(Practices_SubPractices[D],Practices_SubPractices[CP],"7",Practices_SubPractices[Org],"Large"),IF(AND(Practices_SubPractices[CP]=8,Practices_SubPractices[Org] ="Large"),SUMIFS(Practices_SubPractices[D],Practices_SubPractices[CP],"8",Practices_SubPractices[Org],"Large"),IF(AND(Practices_SubPractices[CP]=9,Practices_SubPractices[Org] ="Large"),SUMIFS(Practices_SubPractices[D],Practices_SubPractices[CP],"9",Practices_SubPractices[Org],"Large"),IF(AND(Practices_SubPractices[CP]=10,Practices_SubPractices[Org] ="Large"),SUMIFS(Practices_SubPractices[D],Practices_SubPractices[CP],"10",Practices_SubPractices[Org],"Large"),"TBD"))))))))))))))))))))))))))))))</f>
        <v>14</v>
      </c>
      <c r="R53" s="77">
        <f>IF(AND(Practices_SubPractices[CP]=1,Practices_SubPractices[Org]="Small"),SUMIFS(Practices_SubPractices[E],Practices_SubPractices[CP],"1",Practices_SubPractices[Org],"Small"),IF(AND(Practices_SubPractices[CP]=2,Practices_SubPractices[Org]="Small"),SUMIFS(Practices_SubPractices[E],Practices_SubPractices[CP],"2",Practices_SubPractices[Org],"Small"),IF(AND(Practices_SubPractices[CP]=3,Practices_SubPractices[Org]="Small"),SUMIFS(Practices_SubPractices[E],Practices_SubPractices[CP],"3",Practices_SubPractices[Org],"Small"),IF(AND(Practices_SubPractices[CP]=4,Practices_SubPractices[Org]="Small"),SUMIFS(Practices_SubPractices[E],Practices_SubPractices[CP],"4",Practices_SubPractices[Org],"Small"),IF(AND(Practices_SubPractices[CP]=5,Practices_SubPractices[Org]="Small"),SUMIFS(Practices_SubPractices[E],Practices_SubPractices[CP],"5",Practices_SubPractices[Org],"Small"),IF(AND(Practices_SubPractices[CP]=6,Practices_SubPractices[Org]="Small"),SUMIFS(Practices_SubPractices[E],Practices_SubPractices[CP],"6",Practices_SubPractices[Org],"Small"),IF(AND(Practices_SubPractices[CP]=7,Practices_SubPractices[Org] ="Small"),SUMIFS(Practices_SubPractices[E],Practices_SubPractices[CP],"7",Practices_SubPractices[Org],"Small"),IF(AND(Practices_SubPractices[CP]=8,Practices_SubPractices[Org] ="Small"),SUMIFS(Practices_SubPractices[E],Practices_SubPractices[CP],"8",Practices_SubPractices[Org],"Small"),IF(AND(Practices_SubPractices[CP]=9,Practices_SubPractices[Org] ="Small"),SUMIFS(Practices_SubPractices[E],Practices_SubPractices[CP],"9",Practices_SubPractices[Org],"Small"),IF(AND(Practices_SubPractices[CP]=10,Practices_SubPractices[Org] ="Small"),SUMIFS(Practices_SubPractices[E],Practices_SubPractices[CP],"10",Practices_SubPractices[Org],"Small"),IF(AND(Practices_SubPractices[CP]=1,Practices_SubPractices[Org]="Medium"),SUMIFS(Practices_SubPractices[E],Practices_SubPractices[CP],"1",Practices_SubPractices[Org],"Medium"),IF(AND(Practices_SubPractices[CP]=2,Practices_SubPractices[Org]="Medium"),SUMIFS(Practices_SubPractices[E],Practices_SubPractices[CP],"2",Practices_SubPractices[Org],"Medium"),IF(AND(Practices_SubPractices[CP]=3,Practices_SubPractices[Org]="Medium"),SUMIFS(Practices_SubPractices[E],Practices_SubPractices[CP],"3",Practices_SubPractices[Org],"Medium"),IF(AND(Practices_SubPractices[CP]=4,Practices_SubPractices[Org]="Medium"),SUMIFS(Practices_SubPractices[E],Practices_SubPractices[CP],"4",Practices_SubPractices[Org],"Medium"),IF(AND(Practices_SubPractices[CP]=5,Practices_SubPractices[Org]="Medium"),SUMIFS(Practices_SubPractices[E],Practices_SubPractices[CP],"5",Practices_SubPractices[Org],"Medium"),IF(AND(Practices_SubPractices[CP]=6,Practices_SubPractices[Org]="Medium"),SUMIFS(Practices_SubPractices[E],Practices_SubPractices[CP],"6",Practices_SubPractices[Org],"Medium"),IF(AND(Practices_SubPractices[CP]=7,Practices_SubPractices[Org] ="Medium"),SUMIFS(Practices_SubPractices[E],Practices_SubPractices[CP],"7",Practices_SubPractices[Org],"Medium"),IF(AND(Practices_SubPractices[CP]=8,Practices_SubPractices[Org] ="Medium"),SUMIFS(Practices_SubPractices[E],Practices_SubPractices[CP],"8",Practices_SubPractices[Org],"Medium"),IF(AND(Practices_SubPractices[CP]=9,Practices_SubPractices[Org] ="Medium"),SUMIFS(Practices_SubPractices[E],Practices_SubPractices[CP],"9",Practices_SubPractices[Org],"Medium"),IF(AND(Practices_SubPractices[CP]=10,Practices_SubPractices[Org] ="Medium"),SUMIFS(Practices_SubPractices[E],Practices_SubPractices[CP],"10",Practices_SubPractices[Org],"Medium"),IF(AND(Practices_SubPractices[CP]=1,Practices_SubPractices[Org]="Large"),SUMIFS(Practices_SubPractices[E],Practices_SubPractices[CP],"1",Practices_SubPractices[Org],"Large"),IF(AND(Practices_SubPractices[CP]=2,Practices_SubPractices[Org]="Large"),SUMIFS(Practices_SubPractices[E],Practices_SubPractices[CP],"2",Practices_SubPractices[Org],"Large"),IF(AND(Practices_SubPractices[CP]=3,Practices_SubPractices[Org]="Large"),SUMIFS(Practices_SubPractices[E],Practices_SubPractices[CP],"3",Practices_SubPractices[Org],"Large"),IF(AND(Practices_SubPractices[CP]=4,Practices_SubPractices[Org]="Large"),SUMIFS(Practices_SubPractices[E],Practices_SubPractices[CP],"4",Practices_SubPractices[Org],"Large"),IF(AND(Practices_SubPractices[CP]=5,Practices_SubPractices[Org]="Large"),SUMIFS(Practices_SubPractices[E],Practices_SubPractices[CP],"5",Practices_SubPractices[Org],"Large"),IF(AND(Practices_SubPractices[CP]=6,Practices_SubPractices[Org]="Large"),SUMIFS(Practices_SubPractices[E],Practices_SubPractices[CP],"6",Practices_SubPractices[Org],"Large"),IF(AND(Practices_SubPractices[CP]=7,Practices_SubPractices[Org] ="Large"),SUMIFS(Practices_SubPractices[E],Practices_SubPractices[CP],"7",Practices_SubPractices[Org],"Large"),IF(AND(Practices_SubPractices[CP]=8,Practices_SubPractices[Org] ="Large"),SUMIFS(Practices_SubPractices[E],Practices_SubPractices[CP],"8",Practices_SubPractices[Org],"Large"),IF(AND(Practices_SubPractices[CP]=9,Practices_SubPractices[Org] ="Large"),SUMIFS(Practices_SubPractices[E],Practices_SubPractices[CP],"9",Practices_SubPractices[Org],"Large"),IF(AND(Practices_SubPractices[CP]=10,Practices_SubPractices[Org] ="Large"),SUMIFS(Practices_SubPractices[E],Practices_SubPractices[CP],"10",Practices_SubPractices[Org],"Large"),"TBD"))))))))))))))))))))))))))))))</f>
        <v>0</v>
      </c>
      <c r="S53" s="87" t="s">
        <v>414</v>
      </c>
    </row>
    <row r="54" spans="1:19" x14ac:dyDescent="0.35">
      <c r="A54" s="73">
        <v>44</v>
      </c>
      <c r="B54" s="73">
        <v>4</v>
      </c>
      <c r="C54" s="73" t="s">
        <v>11</v>
      </c>
      <c r="D54" s="73" t="str">
        <f>Practices_SubPractices[[#This Row],[CP]]&amp;LEFT(Practices_SubPractices[[#This Row],[Org]],1)</f>
        <v>4M</v>
      </c>
      <c r="E54" s="73" t="s">
        <v>268</v>
      </c>
      <c r="F54" s="74" t="s">
        <v>95</v>
      </c>
      <c r="G54" s="74" t="s">
        <v>100</v>
      </c>
      <c r="H54" s="74" t="s">
        <v>222</v>
      </c>
      <c r="I54" s="75">
        <v>0</v>
      </c>
      <c r="J54" s="75">
        <v>2</v>
      </c>
      <c r="K54" s="75">
        <v>2</v>
      </c>
      <c r="L54" s="75">
        <v>2</v>
      </c>
      <c r="M54" s="75">
        <v>0</v>
      </c>
      <c r="N54" s="76"/>
      <c r="O54" s="77">
        <f>IF(AND(Practices_SubPractices[CP]=1,Practices_SubPractices[Org]="Small"),SUMIFS(Practices_SubPractices[B],Practices_SubPractices[CP],"1",Practices_SubPractices[Org],"Small"),IF(AND(Practices_SubPractices[CP]=2,Practices_SubPractices[Org]="Small"),SUMIFS(Practices_SubPractices[B],Practices_SubPractices[CP],"2",Practices_SubPractices[Org],"Small"),IF(AND(Practices_SubPractices[CP]=3,Practices_SubPractices[Org]="Small"),SUMIFS(Practices_SubPractices[B],Practices_SubPractices[CP],"3",Practices_SubPractices[Org],"Small"),IF(AND(Practices_SubPractices[CP]=4,Practices_SubPractices[Org]="Small"),SUMIFS(Practices_SubPractices[B],Practices_SubPractices[CP],"4",Practices_SubPractices[Org],"Small"),IF(AND(Practices_SubPractices[CP]=5,Practices_SubPractices[Org]="Small"),SUMIFS(Practices_SubPractices[B],Practices_SubPractices[CP],"5",Practices_SubPractices[Org],"Small"),IF(AND(Practices_SubPractices[CP]=6,Practices_SubPractices[Org]="Small"),SUMIFS(Practices_SubPractices[B],Practices_SubPractices[CP],"6",Practices_SubPractices[Org],"Small"),IF(AND(Practices_SubPractices[CP]=7,Practices_SubPractices[Org] ="Small"),SUMIFS(Practices_SubPractices[B],Practices_SubPractices[CP],"7",Practices_SubPractices[Org],"Small"),IF(AND(Practices_SubPractices[CP]=8,Practices_SubPractices[Org] ="Small"),SUMIFS(Practices_SubPractices[B],Practices_SubPractices[CP],"8",Practices_SubPractices[Org],"Small"),IF(AND(Practices_SubPractices[CP]=9,Practices_SubPractices[Org] ="Small"),SUMIFS(Practices_SubPractices[B],Practices_SubPractices[CP],"9",Practices_SubPractices[Org],"Small"),IF(AND(Practices_SubPractices[CP]=10,Practices_SubPractices[Org] ="Small"),SUMIFS(Practices_SubPractices[B],Practices_SubPractices[CP],"10",Practices_SubPractices[Org],"Small"),IF(AND(Practices_SubPractices[CP]=1,Practices_SubPractices[Org]="Medium"),SUMIFS(Practices_SubPractices[B],Practices_SubPractices[CP],"1",Practices_SubPractices[Org],"Medium"),IF(AND(Practices_SubPractices[CP]=2,Practices_SubPractices[Org]="Medium"),SUMIFS(Practices_SubPractices[B],Practices_SubPractices[CP],"2",Practices_SubPractices[Org],"Medium"),IF(AND(Practices_SubPractices[CP]=3,Practices_SubPractices[Org]="Medium"),SUMIFS(Practices_SubPractices[B],Practices_SubPractices[CP],"3",Practices_SubPractices[Org],"Medium"),IF(AND(Practices_SubPractices[CP]=4,Practices_SubPractices[Org]="Medium"),SUMIFS(Practices_SubPractices[B],Practices_SubPractices[CP],"4",Practices_SubPractices[Org],"Medium"),IF(AND(Practices_SubPractices[CP]=5,Practices_SubPractices[Org]="Medium"),SUMIFS(Practices_SubPractices[B],Practices_SubPractices[CP],"5",Practices_SubPractices[Org],"Medium"),IF(AND(Practices_SubPractices[CP]=6,Practices_SubPractices[Org]="Medium"),SUMIFS(Practices_SubPractices[B],Practices_SubPractices[CP],"6",Practices_SubPractices[Org],"Medium"),IF(AND(Practices_SubPractices[CP]=7,Practices_SubPractices[Org] ="Medium"),SUMIFS(Practices_SubPractices[B],Practices_SubPractices[CP],"7",Practices_SubPractices[Org],"Medium"),IF(AND(Practices_SubPractices[CP]=8,Practices_SubPractices[Org] ="Medium"),SUMIFS(Practices_SubPractices[B],Practices_SubPractices[CP],"8",Practices_SubPractices[Org],"Medium"),IF(AND(Practices_SubPractices[CP]=9,Practices_SubPractices[Org] ="Medium"),SUMIFS(Practices_SubPractices[B],Practices_SubPractices[CP],"9",Practices_SubPractices[Org],"Medium"),IF(AND(Practices_SubPractices[CP]=10,Practices_SubPractices[Org] ="Medium"),SUMIFS(Practices_SubPractices[B],Practices_SubPractices[CP],"10",Practices_SubPractices[Org],"Medium"),IF(AND(Practices_SubPractices[CP]=1,Practices_SubPractices[Org]="Large"),SUMIFS(Practices_SubPractices[B],Practices_SubPractices[CP],"1",Practices_SubPractices[Org],"Large"),IF(AND(Practices_SubPractices[CP]=2,Practices_SubPractices[Org]="Large"),SUMIFS(Practices_SubPractices[B],Practices_SubPractices[CP],"2",Practices_SubPractices[Org],"Large"),IF(AND(Practices_SubPractices[CP]=3,Practices_SubPractices[Org]="Large"),SUMIFS(Practices_SubPractices[B],Practices_SubPractices[CP],"3",Practices_SubPractices[Org],"Large"),IF(AND(Practices_SubPractices[CP]=4,Practices_SubPractices[Org]="Large"),SUMIFS(Practices_SubPractices[B],Practices_SubPractices[CP],"4",Practices_SubPractices[Org],"Large"),IF(AND(Practices_SubPractices[CP]=5,Practices_SubPractices[Org]="Large"),SUMIFS(Practices_SubPractices[B],Practices_SubPractices[CP],"5",Practices_SubPractices[Org],"Large"),IF(AND(Practices_SubPractices[CP]=6,Practices_SubPractices[Org]="Large"),SUMIFS(Practices_SubPractices[B],Practices_SubPractices[CP],"6",Practices_SubPractices[Org],"Large"),IF(AND(Practices_SubPractices[CP]=7,Practices_SubPractices[Org] ="Large"),SUMIFS(Practices_SubPractices[B],Practices_SubPractices[CP],"7",Practices_SubPractices[Org],"Large"),IF(AND(Practices_SubPractices[CP]=8,Practices_SubPractices[Org] ="Large"),SUMIFS(Practices_SubPractices[B],Practices_SubPractices[CP],"8",Practices_SubPractices[Org],"Large"),IF(AND(Practices_SubPractices[CP]=9,Practices_SubPractices[Org] ="Large"),SUMIFS(Practices_SubPractices[B],Practices_SubPractices[CP],"9",Practices_SubPractices[Org],"Large"),IF(AND(Practices_SubPractices[CP]=10,Practices_SubPractices[Org] ="Large"),SUMIFS(Practices_SubPractices[B],Practices_SubPractices[CP],"10",Practices_SubPractices[Org],"Large"),"TBD"))))))))))))))))))))))))))))))</f>
        <v>3</v>
      </c>
      <c r="P54" s="77">
        <f>IF(AND(Practices_SubPractices[CP]=1,Practices_SubPractices[Org]="Small"),SUMIFS(Practices_SubPractices[C],Practices_SubPractices[CP],"1",Practices_SubPractices[Org],"Small"),IF(AND(Practices_SubPractices[CP]=2,Practices_SubPractices[Org]="Small"),SUMIFS(Practices_SubPractices[C],Practices_SubPractices[CP],"2",Practices_SubPractices[Org],"Small"),IF(AND(Practices_SubPractices[CP]=3,Practices_SubPractices[Org]="Small"),SUMIFS(Practices_SubPractices[C],Practices_SubPractices[CP],"3",Practices_SubPractices[Org],"Small"),IF(AND(Practices_SubPractices[CP]=4,Practices_SubPractices[Org]="Small"),SUMIFS(Practices_SubPractices[C],Practices_SubPractices[CP],"4",Practices_SubPractices[Org],"Small"),IF(AND(Practices_SubPractices[CP]=5,Practices_SubPractices[Org]="Small"),SUMIFS(Practices_SubPractices[C],Practices_SubPractices[CP],"5",Practices_SubPractices[Org],"Small"),IF(AND(Practices_SubPractices[CP]=6,Practices_SubPractices[Org]="Small"),SUMIFS(Practices_SubPractices[C],Practices_SubPractices[CP],"6",Practices_SubPractices[Org],"Small"),IF(AND(Practices_SubPractices[CP]=7,Practices_SubPractices[Org] ="Small"),SUMIFS(Practices_SubPractices[C],Practices_SubPractices[CP],"7",Practices_SubPractices[Org],"Small"),IF(AND(Practices_SubPractices[CP]=8,Practices_SubPractices[Org] ="Small"),SUMIFS(Practices_SubPractices[C],Practices_SubPractices[CP],"8",Practices_SubPractices[Org],"Small"),IF(AND(Practices_SubPractices[CP]=9,Practices_SubPractices[Org] ="Small"),SUMIFS(Practices_SubPractices[C],Practices_SubPractices[CP],"9",Practices_SubPractices[Org],"Small"),IF(AND(Practices_SubPractices[CP]=10,Practices_SubPractices[Org] ="Small"),SUMIFS(Practices_SubPractices[C],Practices_SubPractices[CP],"10",Practices_SubPractices[Org],"Small"),IF(AND(Practices_SubPractices[CP]=1,Practices_SubPractices[Org]="Medium"),SUMIFS(Practices_SubPractices[C],Practices_SubPractices[CP],"1",Practices_SubPractices[Org],"Medium"),IF(AND(Practices_SubPractices[CP]=2,Practices_SubPractices[Org]="Medium"),SUMIFS(Practices_SubPractices[C],Practices_SubPractices[CP],"2",Practices_SubPractices[Org],"Medium"),IF(AND(Practices_SubPractices[CP]=3,Practices_SubPractices[Org]="Medium"),SUMIFS(Practices_SubPractices[C],Practices_SubPractices[CP],"3",Practices_SubPractices[Org],"Medium"),IF(AND(Practices_SubPractices[CP]=4,Practices_SubPractices[Org]="Medium"),SUMIFS(Practices_SubPractices[C],Practices_SubPractices[CP],"4",Practices_SubPractices[Org],"Medium"),IF(AND(Practices_SubPractices[CP]=5,Practices_SubPractices[Org]="Medium"),SUMIFS(Practices_SubPractices[C],Practices_SubPractices[CP],"5",Practices_SubPractices[Org],"Medium"),IF(AND(Practices_SubPractices[CP]=6,Practices_SubPractices[Org]="Medium"),SUMIFS(Practices_SubPractices[C],Practices_SubPractices[CP],"6",Practices_SubPractices[Org],"Medium"),IF(AND(Practices_SubPractices[CP]=7,Practices_SubPractices[Org] ="Medium"),SUMIFS(Practices_SubPractices[C],Practices_SubPractices[CP],"7",Practices_SubPractices[Org],"Medium"),IF(AND(Practices_SubPractices[CP]=8,Practices_SubPractices[Org] ="Medium"),SUMIFS(Practices_SubPractices[C],Practices_SubPractices[CP],"8",Practices_SubPractices[Org],"Medium"),IF(AND(Practices_SubPractices[CP]=9,Practices_SubPractices[Org] ="Medium"),SUMIFS(Practices_SubPractices[C],Practices_SubPractices[CP],"9",Practices_SubPractices[Org],"Medium"),IF(AND(Practices_SubPractices[CP]=10,Practices_SubPractices[Org] ="Medium"),SUMIFS(Practices_SubPractices[C],Practices_SubPractices[CP],"10",Practices_SubPractices[Org],"Medium"),IF(AND(Practices_SubPractices[CP]=1,Practices_SubPractices[Org]="Large"),SUMIFS(Practices_SubPractices[C],Practices_SubPractices[CP],"1",Practices_SubPractices[Org],"Large"),IF(AND(Practices_SubPractices[CP]=2,Practices_SubPractices[Org]="Large"),SUMIFS(Practices_SubPractices[C],Practices_SubPractices[CP],"2",Practices_SubPractices[Org],"Large"),IF(AND(Practices_SubPractices[CP]=3,Practices_SubPractices[Org]="Large"),SUMIFS(Practices_SubPractices[C],Practices_SubPractices[CP],"3",Practices_SubPractices[Org],"Large"),IF(AND(Practices_SubPractices[CP]=4,Practices_SubPractices[Org]="Large"),SUMIFS(Practices_SubPractices[C],Practices_SubPractices[CP],"4",Practices_SubPractices[Org],"Large"),IF(AND(Practices_SubPractices[CP]=5,Practices_SubPractices[Org]="Large"),SUMIFS(Practices_SubPractices[C],Practices_SubPractices[CP],"5",Practices_SubPractices[Org],"Large"),IF(AND(Practices_SubPractices[CP]=6,Practices_SubPractices[Org]="Large"),SUMIFS(Practices_SubPractices[C],Practices_SubPractices[CP],"6",Practices_SubPractices[Org],"Large"),IF(AND(Practices_SubPractices[CP]=7,Practices_SubPractices[Org] ="Large"),SUMIFS(Practices_SubPractices[C],Practices_SubPractices[CP],"7",Practices_SubPractices[Org],"Large"),IF(AND(Practices_SubPractices[CP]=8,Practices_SubPractices[Org] ="Large"),SUMIFS(Practices_SubPractices[C],Practices_SubPractices[CP],"8",Practices_SubPractices[Org],"Large"),IF(AND(Practices_SubPractices[CP]=9,Practices_SubPractices[Org] ="Large"),SUMIFS(Practices_SubPractices[C],Practices_SubPractices[CP],"9",Practices_SubPractices[Org],"Large"),IF(AND(Practices_SubPractices[CP]=10,Practices_SubPractices[Org] ="Large"),SUMIFS(Practices_SubPractices[C],Practices_SubPractices[CP],"10",Practices_SubPractices[Org],"Large"),"TBD"))))))))))))))))))))))))))))))</f>
        <v>9</v>
      </c>
      <c r="Q54" s="77">
        <f>IF(AND(Practices_SubPractices[CP]=1,Practices_SubPractices[Org]="Small"),SUMIFS(Practices_SubPractices[D],Practices_SubPractices[CP],"1",Practices_SubPractices[Org],"Small"),IF(AND(Practices_SubPractices[CP]=2,Practices_SubPractices[Org]="Small"),SUMIFS(Practices_SubPractices[D],Practices_SubPractices[CP],"2",Practices_SubPractices[Org],"Small"),IF(AND(Practices_SubPractices[CP]=3,Practices_SubPractices[Org]="Small"),SUMIFS(Practices_SubPractices[D],Practices_SubPractices[CP],"3",Practices_SubPractices[Org],"Small"),IF(AND(Practices_SubPractices[CP]=4,Practices_SubPractices[Org]="Small"),SUMIFS(Practices_SubPractices[D],Practices_SubPractices[CP],"4",Practices_SubPractices[Org],"Small"),IF(AND(Practices_SubPractices[CP]=5,Practices_SubPractices[Org]="Small"),SUMIFS(Practices_SubPractices[D],Practices_SubPractices[CP],"5",Practices_SubPractices[Org],"Small"),IF(AND(Practices_SubPractices[CP]=6,Practices_SubPractices[Org]="Small"),SUMIFS(Practices_SubPractices[D],Practices_SubPractices[CP],"6",Practices_SubPractices[Org],"Small"),IF(AND(Practices_SubPractices[CP]=7,Practices_SubPractices[Org] ="Small"),SUMIFS(Practices_SubPractices[D],Practices_SubPractices[CP],"7",Practices_SubPractices[Org],"Small"),IF(AND(Practices_SubPractices[CP]=8,Practices_SubPractices[Org] ="Small"),SUMIFS(Practices_SubPractices[D],Practices_SubPractices[CP],"8",Practices_SubPractices[Org],"Small"),IF(AND(Practices_SubPractices[CP]=9,Practices_SubPractices[Org] ="Small"),SUMIFS(Practices_SubPractices[D],Practices_SubPractices[CP],"9",Practices_SubPractices[Org],"Small"),IF(AND(Practices_SubPractices[CP]=10,Practices_SubPractices[Org] ="Small"),SUMIFS(Practices_SubPractices[D],Practices_SubPractices[CP],"10",Practices_SubPractices[Org],"Small"),IF(AND(Practices_SubPractices[CP]=1,Practices_SubPractices[Org]="Medium"),SUMIFS(Practices_SubPractices[D],Practices_SubPractices[CP],"1",Practices_SubPractices[Org],"Medium"),IF(AND(Practices_SubPractices[CP]=2,Practices_SubPractices[Org]="Medium"),SUMIFS(Practices_SubPractices[D],Practices_SubPractices[CP],"2",Practices_SubPractices[Org],"Medium"),IF(AND(Practices_SubPractices[CP]=3,Practices_SubPractices[Org]="Medium"),SUMIFS(Practices_SubPractices[D],Practices_SubPractices[CP],"3",Practices_SubPractices[Org],"Medium"),IF(AND(Practices_SubPractices[CP]=4,Practices_SubPractices[Org]="Medium"),SUMIFS(Practices_SubPractices[D],Practices_SubPractices[CP],"4",Practices_SubPractices[Org],"Medium"),IF(AND(Practices_SubPractices[CP]=5,Practices_SubPractices[Org]="Medium"),SUMIFS(Practices_SubPractices[D],Practices_SubPractices[CP],"5",Practices_SubPractices[Org],"Medium"),IF(AND(Practices_SubPractices[CP]=6,Practices_SubPractices[Org]="Medium"),SUMIFS(Practices_SubPractices[D],Practices_SubPractices[CP],"6",Practices_SubPractices[Org],"Medium"),IF(AND(Practices_SubPractices[CP]=7,Practices_SubPractices[Org] ="Medium"),SUMIFS(Practices_SubPractices[D],Practices_SubPractices[CP],"7",Practices_SubPractices[Org],"Medium"),IF(AND(Practices_SubPractices[CP]=8,Practices_SubPractices[Org] ="Medium"),SUMIFS(Practices_SubPractices[D],Practices_SubPractices[CP],"8",Practices_SubPractices[Org],"Medium"),IF(AND(Practices_SubPractices[CP]=9,Practices_SubPractices[Org] ="Medium"),SUMIFS(Practices_SubPractices[D],Practices_SubPractices[CP],"9",Practices_SubPractices[Org],"Medium"),IF(AND(Practices_SubPractices[CP]=10,Practices_SubPractices[Org] ="Medium"),SUMIFS(Practices_SubPractices[D],Practices_SubPractices[CP],"10",Practices_SubPractices[Org],"Medium"),IF(AND(Practices_SubPractices[CP]=1,Practices_SubPractices[Org]="Large"),SUMIFS(Practices_SubPractices[D],Practices_SubPractices[CP],"1",Practices_SubPractices[Org],"Large"),IF(AND(Practices_SubPractices[CP]=2,Practices_SubPractices[Org]="Large"),SUMIFS(Practices_SubPractices[D],Practices_SubPractices[CP],"2",Practices_SubPractices[Org],"Large"),IF(AND(Practices_SubPractices[CP]=3,Practices_SubPractices[Org]="Large"),SUMIFS(Practices_SubPractices[D],Practices_SubPractices[CP],"3",Practices_SubPractices[Org],"Large"),IF(AND(Practices_SubPractices[CP]=4,Practices_SubPractices[Org]="Large"),SUMIFS(Practices_SubPractices[D],Practices_SubPractices[CP],"4",Practices_SubPractices[Org],"Large"),IF(AND(Practices_SubPractices[CP]=5,Practices_SubPractices[Org]="Large"),SUMIFS(Practices_SubPractices[D],Practices_SubPractices[CP],"5",Practices_SubPractices[Org],"Large"),IF(AND(Practices_SubPractices[CP]=6,Practices_SubPractices[Org]="Large"),SUMIFS(Practices_SubPractices[D],Practices_SubPractices[CP],"6",Practices_SubPractices[Org],"Large"),IF(AND(Practices_SubPractices[CP]=7,Practices_SubPractices[Org] ="Large"),SUMIFS(Practices_SubPractices[D],Practices_SubPractices[CP],"7",Practices_SubPractices[Org],"Large"),IF(AND(Practices_SubPractices[CP]=8,Practices_SubPractices[Org] ="Large"),SUMIFS(Practices_SubPractices[D],Practices_SubPractices[CP],"8",Practices_SubPractices[Org],"Large"),IF(AND(Practices_SubPractices[CP]=9,Practices_SubPractices[Org] ="Large"),SUMIFS(Practices_SubPractices[D],Practices_SubPractices[CP],"9",Practices_SubPractices[Org],"Large"),IF(AND(Practices_SubPractices[CP]=10,Practices_SubPractices[Org] ="Large"),SUMIFS(Practices_SubPractices[D],Practices_SubPractices[CP],"10",Practices_SubPractices[Org],"Large"),"TBD"))))))))))))))))))))))))))))))</f>
        <v>10</v>
      </c>
      <c r="R54" s="77">
        <f>IF(AND(Practices_SubPractices[CP]=1,Practices_SubPractices[Org]="Small"),SUMIFS(Practices_SubPractices[E],Practices_SubPractices[CP],"1",Practices_SubPractices[Org],"Small"),IF(AND(Practices_SubPractices[CP]=2,Practices_SubPractices[Org]="Small"),SUMIFS(Practices_SubPractices[E],Practices_SubPractices[CP],"2",Practices_SubPractices[Org],"Small"),IF(AND(Practices_SubPractices[CP]=3,Practices_SubPractices[Org]="Small"),SUMIFS(Practices_SubPractices[E],Practices_SubPractices[CP],"3",Practices_SubPractices[Org],"Small"),IF(AND(Practices_SubPractices[CP]=4,Practices_SubPractices[Org]="Small"),SUMIFS(Practices_SubPractices[E],Practices_SubPractices[CP],"4",Practices_SubPractices[Org],"Small"),IF(AND(Practices_SubPractices[CP]=5,Practices_SubPractices[Org]="Small"),SUMIFS(Practices_SubPractices[E],Practices_SubPractices[CP],"5",Practices_SubPractices[Org],"Small"),IF(AND(Practices_SubPractices[CP]=6,Practices_SubPractices[Org]="Small"),SUMIFS(Practices_SubPractices[E],Practices_SubPractices[CP],"6",Practices_SubPractices[Org],"Small"),IF(AND(Practices_SubPractices[CP]=7,Practices_SubPractices[Org] ="Small"),SUMIFS(Practices_SubPractices[E],Practices_SubPractices[CP],"7",Practices_SubPractices[Org],"Small"),IF(AND(Practices_SubPractices[CP]=8,Practices_SubPractices[Org] ="Small"),SUMIFS(Practices_SubPractices[E],Practices_SubPractices[CP],"8",Practices_SubPractices[Org],"Small"),IF(AND(Practices_SubPractices[CP]=9,Practices_SubPractices[Org] ="Small"),SUMIFS(Practices_SubPractices[E],Practices_SubPractices[CP],"9",Practices_SubPractices[Org],"Small"),IF(AND(Practices_SubPractices[CP]=10,Practices_SubPractices[Org] ="Small"),SUMIFS(Practices_SubPractices[E],Practices_SubPractices[CP],"10",Practices_SubPractices[Org],"Small"),IF(AND(Practices_SubPractices[CP]=1,Practices_SubPractices[Org]="Medium"),SUMIFS(Practices_SubPractices[E],Practices_SubPractices[CP],"1",Practices_SubPractices[Org],"Medium"),IF(AND(Practices_SubPractices[CP]=2,Practices_SubPractices[Org]="Medium"),SUMIFS(Practices_SubPractices[E],Practices_SubPractices[CP],"2",Practices_SubPractices[Org],"Medium"),IF(AND(Practices_SubPractices[CP]=3,Practices_SubPractices[Org]="Medium"),SUMIFS(Practices_SubPractices[E],Practices_SubPractices[CP],"3",Practices_SubPractices[Org],"Medium"),IF(AND(Practices_SubPractices[CP]=4,Practices_SubPractices[Org]="Medium"),SUMIFS(Practices_SubPractices[E],Practices_SubPractices[CP],"4",Practices_SubPractices[Org],"Medium"),IF(AND(Practices_SubPractices[CP]=5,Practices_SubPractices[Org]="Medium"),SUMIFS(Practices_SubPractices[E],Practices_SubPractices[CP],"5",Practices_SubPractices[Org],"Medium"),IF(AND(Practices_SubPractices[CP]=6,Practices_SubPractices[Org]="Medium"),SUMIFS(Practices_SubPractices[E],Practices_SubPractices[CP],"6",Practices_SubPractices[Org],"Medium"),IF(AND(Practices_SubPractices[CP]=7,Practices_SubPractices[Org] ="Medium"),SUMIFS(Practices_SubPractices[E],Practices_SubPractices[CP],"7",Practices_SubPractices[Org],"Medium"),IF(AND(Practices_SubPractices[CP]=8,Practices_SubPractices[Org] ="Medium"),SUMIFS(Practices_SubPractices[E],Practices_SubPractices[CP],"8",Practices_SubPractices[Org],"Medium"),IF(AND(Practices_SubPractices[CP]=9,Practices_SubPractices[Org] ="Medium"),SUMIFS(Practices_SubPractices[E],Practices_SubPractices[CP],"9",Practices_SubPractices[Org],"Medium"),IF(AND(Practices_SubPractices[CP]=10,Practices_SubPractices[Org] ="Medium"),SUMIFS(Practices_SubPractices[E],Practices_SubPractices[CP],"10",Practices_SubPractices[Org],"Medium"),IF(AND(Practices_SubPractices[CP]=1,Practices_SubPractices[Org]="Large"),SUMIFS(Practices_SubPractices[E],Practices_SubPractices[CP],"1",Practices_SubPractices[Org],"Large"),IF(AND(Practices_SubPractices[CP]=2,Practices_SubPractices[Org]="Large"),SUMIFS(Practices_SubPractices[E],Practices_SubPractices[CP],"2",Practices_SubPractices[Org],"Large"),IF(AND(Practices_SubPractices[CP]=3,Practices_SubPractices[Org]="Large"),SUMIFS(Practices_SubPractices[E],Practices_SubPractices[CP],"3",Practices_SubPractices[Org],"Large"),IF(AND(Practices_SubPractices[CP]=4,Practices_SubPractices[Org]="Large"),SUMIFS(Practices_SubPractices[E],Practices_SubPractices[CP],"4",Practices_SubPractices[Org],"Large"),IF(AND(Practices_SubPractices[CP]=5,Practices_SubPractices[Org]="Large"),SUMIFS(Practices_SubPractices[E],Practices_SubPractices[CP],"5",Practices_SubPractices[Org],"Large"),IF(AND(Practices_SubPractices[CP]=6,Practices_SubPractices[Org]="Large"),SUMIFS(Practices_SubPractices[E],Practices_SubPractices[CP],"6",Practices_SubPractices[Org],"Large"),IF(AND(Practices_SubPractices[CP]=7,Practices_SubPractices[Org] ="Large"),SUMIFS(Practices_SubPractices[E],Practices_SubPractices[CP],"7",Practices_SubPractices[Org],"Large"),IF(AND(Practices_SubPractices[CP]=8,Practices_SubPractices[Org] ="Large"),SUMIFS(Practices_SubPractices[E],Practices_SubPractices[CP],"8",Practices_SubPractices[Org],"Large"),IF(AND(Practices_SubPractices[CP]=9,Practices_SubPractices[Org] ="Large"),SUMIFS(Practices_SubPractices[E],Practices_SubPractices[CP],"9",Practices_SubPractices[Org],"Large"),IF(AND(Practices_SubPractices[CP]=10,Practices_SubPractices[Org] ="Large"),SUMIFS(Practices_SubPractices[E],Practices_SubPractices[CP],"10",Practices_SubPractices[Org],"Large"),"TBD"))))))))))))))))))))))))))))))</f>
        <v>0</v>
      </c>
      <c r="S54" s="87" t="s">
        <v>415</v>
      </c>
    </row>
    <row r="55" spans="1:19" x14ac:dyDescent="0.35">
      <c r="A55" s="73">
        <v>45</v>
      </c>
      <c r="B55" s="73">
        <v>4</v>
      </c>
      <c r="C55" s="73" t="s">
        <v>12</v>
      </c>
      <c r="D55" s="73" t="str">
        <f>Practices_SubPractices[[#This Row],[CP]]&amp;LEFT(Practices_SubPractices[[#This Row],[Org]],1)</f>
        <v>4L</v>
      </c>
      <c r="E55" s="73" t="s">
        <v>268</v>
      </c>
      <c r="F55" s="74" t="s">
        <v>95</v>
      </c>
      <c r="G55" s="74" t="s">
        <v>100</v>
      </c>
      <c r="H55" s="74" t="s">
        <v>222</v>
      </c>
      <c r="I55" s="75">
        <v>0</v>
      </c>
      <c r="J55" s="75">
        <v>2</v>
      </c>
      <c r="K55" s="75">
        <v>2</v>
      </c>
      <c r="L55" s="75">
        <v>2</v>
      </c>
      <c r="M55" s="75">
        <v>0</v>
      </c>
      <c r="N55" s="76"/>
      <c r="O55" s="77">
        <f>IF(AND(Practices_SubPractices[CP]=1,Practices_SubPractices[Org]="Small"),SUMIFS(Practices_SubPractices[B],Practices_SubPractices[CP],"1",Practices_SubPractices[Org],"Small"),IF(AND(Practices_SubPractices[CP]=2,Practices_SubPractices[Org]="Small"),SUMIFS(Practices_SubPractices[B],Practices_SubPractices[CP],"2",Practices_SubPractices[Org],"Small"),IF(AND(Practices_SubPractices[CP]=3,Practices_SubPractices[Org]="Small"),SUMIFS(Practices_SubPractices[B],Practices_SubPractices[CP],"3",Practices_SubPractices[Org],"Small"),IF(AND(Practices_SubPractices[CP]=4,Practices_SubPractices[Org]="Small"),SUMIFS(Practices_SubPractices[B],Practices_SubPractices[CP],"4",Practices_SubPractices[Org],"Small"),IF(AND(Practices_SubPractices[CP]=5,Practices_SubPractices[Org]="Small"),SUMIFS(Practices_SubPractices[B],Practices_SubPractices[CP],"5",Practices_SubPractices[Org],"Small"),IF(AND(Practices_SubPractices[CP]=6,Practices_SubPractices[Org]="Small"),SUMIFS(Practices_SubPractices[B],Practices_SubPractices[CP],"6",Practices_SubPractices[Org],"Small"),IF(AND(Practices_SubPractices[CP]=7,Practices_SubPractices[Org] ="Small"),SUMIFS(Practices_SubPractices[B],Practices_SubPractices[CP],"7",Practices_SubPractices[Org],"Small"),IF(AND(Practices_SubPractices[CP]=8,Practices_SubPractices[Org] ="Small"),SUMIFS(Practices_SubPractices[B],Practices_SubPractices[CP],"8",Practices_SubPractices[Org],"Small"),IF(AND(Practices_SubPractices[CP]=9,Practices_SubPractices[Org] ="Small"),SUMIFS(Practices_SubPractices[B],Practices_SubPractices[CP],"9",Practices_SubPractices[Org],"Small"),IF(AND(Practices_SubPractices[CP]=10,Practices_SubPractices[Org] ="Small"),SUMIFS(Practices_SubPractices[B],Practices_SubPractices[CP],"10",Practices_SubPractices[Org],"Small"),IF(AND(Practices_SubPractices[CP]=1,Practices_SubPractices[Org]="Medium"),SUMIFS(Practices_SubPractices[B],Practices_SubPractices[CP],"1",Practices_SubPractices[Org],"Medium"),IF(AND(Practices_SubPractices[CP]=2,Practices_SubPractices[Org]="Medium"),SUMIFS(Practices_SubPractices[B],Practices_SubPractices[CP],"2",Practices_SubPractices[Org],"Medium"),IF(AND(Practices_SubPractices[CP]=3,Practices_SubPractices[Org]="Medium"),SUMIFS(Practices_SubPractices[B],Practices_SubPractices[CP],"3",Practices_SubPractices[Org],"Medium"),IF(AND(Practices_SubPractices[CP]=4,Practices_SubPractices[Org]="Medium"),SUMIFS(Practices_SubPractices[B],Practices_SubPractices[CP],"4",Practices_SubPractices[Org],"Medium"),IF(AND(Practices_SubPractices[CP]=5,Practices_SubPractices[Org]="Medium"),SUMIFS(Practices_SubPractices[B],Practices_SubPractices[CP],"5",Practices_SubPractices[Org],"Medium"),IF(AND(Practices_SubPractices[CP]=6,Practices_SubPractices[Org]="Medium"),SUMIFS(Practices_SubPractices[B],Practices_SubPractices[CP],"6",Practices_SubPractices[Org],"Medium"),IF(AND(Practices_SubPractices[CP]=7,Practices_SubPractices[Org] ="Medium"),SUMIFS(Practices_SubPractices[B],Practices_SubPractices[CP],"7",Practices_SubPractices[Org],"Medium"),IF(AND(Practices_SubPractices[CP]=8,Practices_SubPractices[Org] ="Medium"),SUMIFS(Practices_SubPractices[B],Practices_SubPractices[CP],"8",Practices_SubPractices[Org],"Medium"),IF(AND(Practices_SubPractices[CP]=9,Practices_SubPractices[Org] ="Medium"),SUMIFS(Practices_SubPractices[B],Practices_SubPractices[CP],"9",Practices_SubPractices[Org],"Medium"),IF(AND(Practices_SubPractices[CP]=10,Practices_SubPractices[Org] ="Medium"),SUMIFS(Practices_SubPractices[B],Practices_SubPractices[CP],"10",Practices_SubPractices[Org],"Medium"),IF(AND(Practices_SubPractices[CP]=1,Practices_SubPractices[Org]="Large"),SUMIFS(Practices_SubPractices[B],Practices_SubPractices[CP],"1",Practices_SubPractices[Org],"Large"),IF(AND(Practices_SubPractices[CP]=2,Practices_SubPractices[Org]="Large"),SUMIFS(Practices_SubPractices[B],Practices_SubPractices[CP],"2",Practices_SubPractices[Org],"Large"),IF(AND(Practices_SubPractices[CP]=3,Practices_SubPractices[Org]="Large"),SUMIFS(Practices_SubPractices[B],Practices_SubPractices[CP],"3",Practices_SubPractices[Org],"Large"),IF(AND(Practices_SubPractices[CP]=4,Practices_SubPractices[Org]="Large"),SUMIFS(Practices_SubPractices[B],Practices_SubPractices[CP],"4",Practices_SubPractices[Org],"Large"),IF(AND(Practices_SubPractices[CP]=5,Practices_SubPractices[Org]="Large"),SUMIFS(Practices_SubPractices[B],Practices_SubPractices[CP],"5",Practices_SubPractices[Org],"Large"),IF(AND(Practices_SubPractices[CP]=6,Practices_SubPractices[Org]="Large"),SUMIFS(Practices_SubPractices[B],Practices_SubPractices[CP],"6",Practices_SubPractices[Org],"Large"),IF(AND(Practices_SubPractices[CP]=7,Practices_SubPractices[Org] ="Large"),SUMIFS(Practices_SubPractices[B],Practices_SubPractices[CP],"7",Practices_SubPractices[Org],"Large"),IF(AND(Practices_SubPractices[CP]=8,Practices_SubPractices[Org] ="Large"),SUMIFS(Practices_SubPractices[B],Practices_SubPractices[CP],"8",Practices_SubPractices[Org],"Large"),IF(AND(Practices_SubPractices[CP]=9,Practices_SubPractices[Org] ="Large"),SUMIFS(Practices_SubPractices[B],Practices_SubPractices[CP],"9",Practices_SubPractices[Org],"Large"),IF(AND(Practices_SubPractices[CP]=10,Practices_SubPractices[Org] ="Large"),SUMIFS(Practices_SubPractices[B],Practices_SubPractices[CP],"10",Practices_SubPractices[Org],"Large"),"TBD"))))))))))))))))))))))))))))))</f>
        <v>4</v>
      </c>
      <c r="P55" s="77">
        <f>IF(AND(Practices_SubPractices[CP]=1,Practices_SubPractices[Org]="Small"),SUMIFS(Practices_SubPractices[C],Practices_SubPractices[CP],"1",Practices_SubPractices[Org],"Small"),IF(AND(Practices_SubPractices[CP]=2,Practices_SubPractices[Org]="Small"),SUMIFS(Practices_SubPractices[C],Practices_SubPractices[CP],"2",Practices_SubPractices[Org],"Small"),IF(AND(Practices_SubPractices[CP]=3,Practices_SubPractices[Org]="Small"),SUMIFS(Practices_SubPractices[C],Practices_SubPractices[CP],"3",Practices_SubPractices[Org],"Small"),IF(AND(Practices_SubPractices[CP]=4,Practices_SubPractices[Org]="Small"),SUMIFS(Practices_SubPractices[C],Practices_SubPractices[CP],"4",Practices_SubPractices[Org],"Small"),IF(AND(Practices_SubPractices[CP]=5,Practices_SubPractices[Org]="Small"),SUMIFS(Practices_SubPractices[C],Practices_SubPractices[CP],"5",Practices_SubPractices[Org],"Small"),IF(AND(Practices_SubPractices[CP]=6,Practices_SubPractices[Org]="Small"),SUMIFS(Practices_SubPractices[C],Practices_SubPractices[CP],"6",Practices_SubPractices[Org],"Small"),IF(AND(Practices_SubPractices[CP]=7,Practices_SubPractices[Org] ="Small"),SUMIFS(Practices_SubPractices[C],Practices_SubPractices[CP],"7",Practices_SubPractices[Org],"Small"),IF(AND(Practices_SubPractices[CP]=8,Practices_SubPractices[Org] ="Small"),SUMIFS(Practices_SubPractices[C],Practices_SubPractices[CP],"8",Practices_SubPractices[Org],"Small"),IF(AND(Practices_SubPractices[CP]=9,Practices_SubPractices[Org] ="Small"),SUMIFS(Practices_SubPractices[C],Practices_SubPractices[CP],"9",Practices_SubPractices[Org],"Small"),IF(AND(Practices_SubPractices[CP]=10,Practices_SubPractices[Org] ="Small"),SUMIFS(Practices_SubPractices[C],Practices_SubPractices[CP],"10",Practices_SubPractices[Org],"Small"),IF(AND(Practices_SubPractices[CP]=1,Practices_SubPractices[Org]="Medium"),SUMIFS(Practices_SubPractices[C],Practices_SubPractices[CP],"1",Practices_SubPractices[Org],"Medium"),IF(AND(Practices_SubPractices[CP]=2,Practices_SubPractices[Org]="Medium"),SUMIFS(Practices_SubPractices[C],Practices_SubPractices[CP],"2",Practices_SubPractices[Org],"Medium"),IF(AND(Practices_SubPractices[CP]=3,Practices_SubPractices[Org]="Medium"),SUMIFS(Practices_SubPractices[C],Practices_SubPractices[CP],"3",Practices_SubPractices[Org],"Medium"),IF(AND(Practices_SubPractices[CP]=4,Practices_SubPractices[Org]="Medium"),SUMIFS(Practices_SubPractices[C],Practices_SubPractices[CP],"4",Practices_SubPractices[Org],"Medium"),IF(AND(Practices_SubPractices[CP]=5,Practices_SubPractices[Org]="Medium"),SUMIFS(Practices_SubPractices[C],Practices_SubPractices[CP],"5",Practices_SubPractices[Org],"Medium"),IF(AND(Practices_SubPractices[CP]=6,Practices_SubPractices[Org]="Medium"),SUMIFS(Practices_SubPractices[C],Practices_SubPractices[CP],"6",Practices_SubPractices[Org],"Medium"),IF(AND(Practices_SubPractices[CP]=7,Practices_SubPractices[Org] ="Medium"),SUMIFS(Practices_SubPractices[C],Practices_SubPractices[CP],"7",Practices_SubPractices[Org],"Medium"),IF(AND(Practices_SubPractices[CP]=8,Practices_SubPractices[Org] ="Medium"),SUMIFS(Practices_SubPractices[C],Practices_SubPractices[CP],"8",Practices_SubPractices[Org],"Medium"),IF(AND(Practices_SubPractices[CP]=9,Practices_SubPractices[Org] ="Medium"),SUMIFS(Practices_SubPractices[C],Practices_SubPractices[CP],"9",Practices_SubPractices[Org],"Medium"),IF(AND(Practices_SubPractices[CP]=10,Practices_SubPractices[Org] ="Medium"),SUMIFS(Practices_SubPractices[C],Practices_SubPractices[CP],"10",Practices_SubPractices[Org],"Medium"),IF(AND(Practices_SubPractices[CP]=1,Practices_SubPractices[Org]="Large"),SUMIFS(Practices_SubPractices[C],Practices_SubPractices[CP],"1",Practices_SubPractices[Org],"Large"),IF(AND(Practices_SubPractices[CP]=2,Practices_SubPractices[Org]="Large"),SUMIFS(Practices_SubPractices[C],Practices_SubPractices[CP],"2",Practices_SubPractices[Org],"Large"),IF(AND(Practices_SubPractices[CP]=3,Practices_SubPractices[Org]="Large"),SUMIFS(Practices_SubPractices[C],Practices_SubPractices[CP],"3",Practices_SubPractices[Org],"Large"),IF(AND(Practices_SubPractices[CP]=4,Practices_SubPractices[Org]="Large"),SUMIFS(Practices_SubPractices[C],Practices_SubPractices[CP],"4",Practices_SubPractices[Org],"Large"),IF(AND(Practices_SubPractices[CP]=5,Practices_SubPractices[Org]="Large"),SUMIFS(Practices_SubPractices[C],Practices_SubPractices[CP],"5",Practices_SubPractices[Org],"Large"),IF(AND(Practices_SubPractices[CP]=6,Practices_SubPractices[Org]="Large"),SUMIFS(Practices_SubPractices[C],Practices_SubPractices[CP],"6",Practices_SubPractices[Org],"Large"),IF(AND(Practices_SubPractices[CP]=7,Practices_SubPractices[Org] ="Large"),SUMIFS(Practices_SubPractices[C],Practices_SubPractices[CP],"7",Practices_SubPractices[Org],"Large"),IF(AND(Practices_SubPractices[CP]=8,Practices_SubPractices[Org] ="Large"),SUMIFS(Practices_SubPractices[C],Practices_SubPractices[CP],"8",Practices_SubPractices[Org],"Large"),IF(AND(Practices_SubPractices[CP]=9,Practices_SubPractices[Org] ="Large"),SUMIFS(Practices_SubPractices[C],Practices_SubPractices[CP],"9",Practices_SubPractices[Org],"Large"),IF(AND(Practices_SubPractices[CP]=10,Practices_SubPractices[Org] ="Large"),SUMIFS(Practices_SubPractices[C],Practices_SubPractices[CP],"10",Practices_SubPractices[Org],"Large"),"TBD"))))))))))))))))))))))))))))))</f>
        <v>12</v>
      </c>
      <c r="Q55" s="77">
        <f>IF(AND(Practices_SubPractices[CP]=1,Practices_SubPractices[Org]="Small"),SUMIFS(Practices_SubPractices[D],Practices_SubPractices[CP],"1",Practices_SubPractices[Org],"Small"),IF(AND(Practices_SubPractices[CP]=2,Practices_SubPractices[Org]="Small"),SUMIFS(Practices_SubPractices[D],Practices_SubPractices[CP],"2",Practices_SubPractices[Org],"Small"),IF(AND(Practices_SubPractices[CP]=3,Practices_SubPractices[Org]="Small"),SUMIFS(Practices_SubPractices[D],Practices_SubPractices[CP],"3",Practices_SubPractices[Org],"Small"),IF(AND(Practices_SubPractices[CP]=4,Practices_SubPractices[Org]="Small"),SUMIFS(Practices_SubPractices[D],Practices_SubPractices[CP],"4",Practices_SubPractices[Org],"Small"),IF(AND(Practices_SubPractices[CP]=5,Practices_SubPractices[Org]="Small"),SUMIFS(Practices_SubPractices[D],Practices_SubPractices[CP],"5",Practices_SubPractices[Org],"Small"),IF(AND(Practices_SubPractices[CP]=6,Practices_SubPractices[Org]="Small"),SUMIFS(Practices_SubPractices[D],Practices_SubPractices[CP],"6",Practices_SubPractices[Org],"Small"),IF(AND(Practices_SubPractices[CP]=7,Practices_SubPractices[Org] ="Small"),SUMIFS(Practices_SubPractices[D],Practices_SubPractices[CP],"7",Practices_SubPractices[Org],"Small"),IF(AND(Practices_SubPractices[CP]=8,Practices_SubPractices[Org] ="Small"),SUMIFS(Practices_SubPractices[D],Practices_SubPractices[CP],"8",Practices_SubPractices[Org],"Small"),IF(AND(Practices_SubPractices[CP]=9,Practices_SubPractices[Org] ="Small"),SUMIFS(Practices_SubPractices[D],Practices_SubPractices[CP],"9",Practices_SubPractices[Org],"Small"),IF(AND(Practices_SubPractices[CP]=10,Practices_SubPractices[Org] ="Small"),SUMIFS(Practices_SubPractices[D],Practices_SubPractices[CP],"10",Practices_SubPractices[Org],"Small"),IF(AND(Practices_SubPractices[CP]=1,Practices_SubPractices[Org]="Medium"),SUMIFS(Practices_SubPractices[D],Practices_SubPractices[CP],"1",Practices_SubPractices[Org],"Medium"),IF(AND(Practices_SubPractices[CP]=2,Practices_SubPractices[Org]="Medium"),SUMIFS(Practices_SubPractices[D],Practices_SubPractices[CP],"2",Practices_SubPractices[Org],"Medium"),IF(AND(Practices_SubPractices[CP]=3,Practices_SubPractices[Org]="Medium"),SUMIFS(Practices_SubPractices[D],Practices_SubPractices[CP],"3",Practices_SubPractices[Org],"Medium"),IF(AND(Practices_SubPractices[CP]=4,Practices_SubPractices[Org]="Medium"),SUMIFS(Practices_SubPractices[D],Practices_SubPractices[CP],"4",Practices_SubPractices[Org],"Medium"),IF(AND(Practices_SubPractices[CP]=5,Practices_SubPractices[Org]="Medium"),SUMIFS(Practices_SubPractices[D],Practices_SubPractices[CP],"5",Practices_SubPractices[Org],"Medium"),IF(AND(Practices_SubPractices[CP]=6,Practices_SubPractices[Org]="Medium"),SUMIFS(Practices_SubPractices[D],Practices_SubPractices[CP],"6",Practices_SubPractices[Org],"Medium"),IF(AND(Practices_SubPractices[CP]=7,Practices_SubPractices[Org] ="Medium"),SUMIFS(Practices_SubPractices[D],Practices_SubPractices[CP],"7",Practices_SubPractices[Org],"Medium"),IF(AND(Practices_SubPractices[CP]=8,Practices_SubPractices[Org] ="Medium"),SUMIFS(Practices_SubPractices[D],Practices_SubPractices[CP],"8",Practices_SubPractices[Org],"Medium"),IF(AND(Practices_SubPractices[CP]=9,Practices_SubPractices[Org] ="Medium"),SUMIFS(Practices_SubPractices[D],Practices_SubPractices[CP],"9",Practices_SubPractices[Org],"Medium"),IF(AND(Practices_SubPractices[CP]=10,Practices_SubPractices[Org] ="Medium"),SUMIFS(Practices_SubPractices[D],Practices_SubPractices[CP],"10",Practices_SubPractices[Org],"Medium"),IF(AND(Practices_SubPractices[CP]=1,Practices_SubPractices[Org]="Large"),SUMIFS(Practices_SubPractices[D],Practices_SubPractices[CP],"1",Practices_SubPractices[Org],"Large"),IF(AND(Practices_SubPractices[CP]=2,Practices_SubPractices[Org]="Large"),SUMIFS(Practices_SubPractices[D],Practices_SubPractices[CP],"2",Practices_SubPractices[Org],"Large"),IF(AND(Practices_SubPractices[CP]=3,Practices_SubPractices[Org]="Large"),SUMIFS(Practices_SubPractices[D],Practices_SubPractices[CP],"3",Practices_SubPractices[Org],"Large"),IF(AND(Practices_SubPractices[CP]=4,Practices_SubPractices[Org]="Large"),SUMIFS(Practices_SubPractices[D],Practices_SubPractices[CP],"4",Practices_SubPractices[Org],"Large"),IF(AND(Practices_SubPractices[CP]=5,Practices_SubPractices[Org]="Large"),SUMIFS(Practices_SubPractices[D],Practices_SubPractices[CP],"5",Practices_SubPractices[Org],"Large"),IF(AND(Practices_SubPractices[CP]=6,Practices_SubPractices[Org]="Large"),SUMIFS(Practices_SubPractices[D],Practices_SubPractices[CP],"6",Practices_SubPractices[Org],"Large"),IF(AND(Practices_SubPractices[CP]=7,Practices_SubPractices[Org] ="Large"),SUMIFS(Practices_SubPractices[D],Practices_SubPractices[CP],"7",Practices_SubPractices[Org],"Large"),IF(AND(Practices_SubPractices[CP]=8,Practices_SubPractices[Org] ="Large"),SUMIFS(Practices_SubPractices[D],Practices_SubPractices[CP],"8",Practices_SubPractices[Org],"Large"),IF(AND(Practices_SubPractices[CP]=9,Practices_SubPractices[Org] ="Large"),SUMIFS(Practices_SubPractices[D],Practices_SubPractices[CP],"9",Practices_SubPractices[Org],"Large"),IF(AND(Practices_SubPractices[CP]=10,Practices_SubPractices[Org] ="Large"),SUMIFS(Practices_SubPractices[D],Practices_SubPractices[CP],"10",Practices_SubPractices[Org],"Large"),"TBD"))))))))))))))))))))))))))))))</f>
        <v>14</v>
      </c>
      <c r="R55" s="77">
        <f>IF(AND(Practices_SubPractices[CP]=1,Practices_SubPractices[Org]="Small"),SUMIFS(Practices_SubPractices[E],Practices_SubPractices[CP],"1",Practices_SubPractices[Org],"Small"),IF(AND(Practices_SubPractices[CP]=2,Practices_SubPractices[Org]="Small"),SUMIFS(Practices_SubPractices[E],Practices_SubPractices[CP],"2",Practices_SubPractices[Org],"Small"),IF(AND(Practices_SubPractices[CP]=3,Practices_SubPractices[Org]="Small"),SUMIFS(Practices_SubPractices[E],Practices_SubPractices[CP],"3",Practices_SubPractices[Org],"Small"),IF(AND(Practices_SubPractices[CP]=4,Practices_SubPractices[Org]="Small"),SUMIFS(Practices_SubPractices[E],Practices_SubPractices[CP],"4",Practices_SubPractices[Org],"Small"),IF(AND(Practices_SubPractices[CP]=5,Practices_SubPractices[Org]="Small"),SUMIFS(Practices_SubPractices[E],Practices_SubPractices[CP],"5",Practices_SubPractices[Org],"Small"),IF(AND(Practices_SubPractices[CP]=6,Practices_SubPractices[Org]="Small"),SUMIFS(Practices_SubPractices[E],Practices_SubPractices[CP],"6",Practices_SubPractices[Org],"Small"),IF(AND(Practices_SubPractices[CP]=7,Practices_SubPractices[Org] ="Small"),SUMIFS(Practices_SubPractices[E],Practices_SubPractices[CP],"7",Practices_SubPractices[Org],"Small"),IF(AND(Practices_SubPractices[CP]=8,Practices_SubPractices[Org] ="Small"),SUMIFS(Practices_SubPractices[E],Practices_SubPractices[CP],"8",Practices_SubPractices[Org],"Small"),IF(AND(Practices_SubPractices[CP]=9,Practices_SubPractices[Org] ="Small"),SUMIFS(Practices_SubPractices[E],Practices_SubPractices[CP],"9",Practices_SubPractices[Org],"Small"),IF(AND(Practices_SubPractices[CP]=10,Practices_SubPractices[Org] ="Small"),SUMIFS(Practices_SubPractices[E],Practices_SubPractices[CP],"10",Practices_SubPractices[Org],"Small"),IF(AND(Practices_SubPractices[CP]=1,Practices_SubPractices[Org]="Medium"),SUMIFS(Practices_SubPractices[E],Practices_SubPractices[CP],"1",Practices_SubPractices[Org],"Medium"),IF(AND(Practices_SubPractices[CP]=2,Practices_SubPractices[Org]="Medium"),SUMIFS(Practices_SubPractices[E],Practices_SubPractices[CP],"2",Practices_SubPractices[Org],"Medium"),IF(AND(Practices_SubPractices[CP]=3,Practices_SubPractices[Org]="Medium"),SUMIFS(Practices_SubPractices[E],Practices_SubPractices[CP],"3",Practices_SubPractices[Org],"Medium"),IF(AND(Practices_SubPractices[CP]=4,Practices_SubPractices[Org]="Medium"),SUMIFS(Practices_SubPractices[E],Practices_SubPractices[CP],"4",Practices_SubPractices[Org],"Medium"),IF(AND(Practices_SubPractices[CP]=5,Practices_SubPractices[Org]="Medium"),SUMIFS(Practices_SubPractices[E],Practices_SubPractices[CP],"5",Practices_SubPractices[Org],"Medium"),IF(AND(Practices_SubPractices[CP]=6,Practices_SubPractices[Org]="Medium"),SUMIFS(Practices_SubPractices[E],Practices_SubPractices[CP],"6",Practices_SubPractices[Org],"Medium"),IF(AND(Practices_SubPractices[CP]=7,Practices_SubPractices[Org] ="Medium"),SUMIFS(Practices_SubPractices[E],Practices_SubPractices[CP],"7",Practices_SubPractices[Org],"Medium"),IF(AND(Practices_SubPractices[CP]=8,Practices_SubPractices[Org] ="Medium"),SUMIFS(Practices_SubPractices[E],Practices_SubPractices[CP],"8",Practices_SubPractices[Org],"Medium"),IF(AND(Practices_SubPractices[CP]=9,Practices_SubPractices[Org] ="Medium"),SUMIFS(Practices_SubPractices[E],Practices_SubPractices[CP],"9",Practices_SubPractices[Org],"Medium"),IF(AND(Practices_SubPractices[CP]=10,Practices_SubPractices[Org] ="Medium"),SUMIFS(Practices_SubPractices[E],Practices_SubPractices[CP],"10",Practices_SubPractices[Org],"Medium"),IF(AND(Practices_SubPractices[CP]=1,Practices_SubPractices[Org]="Large"),SUMIFS(Practices_SubPractices[E],Practices_SubPractices[CP],"1",Practices_SubPractices[Org],"Large"),IF(AND(Practices_SubPractices[CP]=2,Practices_SubPractices[Org]="Large"),SUMIFS(Practices_SubPractices[E],Practices_SubPractices[CP],"2",Practices_SubPractices[Org],"Large"),IF(AND(Practices_SubPractices[CP]=3,Practices_SubPractices[Org]="Large"),SUMIFS(Practices_SubPractices[E],Practices_SubPractices[CP],"3",Practices_SubPractices[Org],"Large"),IF(AND(Practices_SubPractices[CP]=4,Practices_SubPractices[Org]="Large"),SUMIFS(Practices_SubPractices[E],Practices_SubPractices[CP],"4",Practices_SubPractices[Org],"Large"),IF(AND(Practices_SubPractices[CP]=5,Practices_SubPractices[Org]="Large"),SUMIFS(Practices_SubPractices[E],Practices_SubPractices[CP],"5",Practices_SubPractices[Org],"Large"),IF(AND(Practices_SubPractices[CP]=6,Practices_SubPractices[Org]="Large"),SUMIFS(Practices_SubPractices[E],Practices_SubPractices[CP],"6",Practices_SubPractices[Org],"Large"),IF(AND(Practices_SubPractices[CP]=7,Practices_SubPractices[Org] ="Large"),SUMIFS(Practices_SubPractices[E],Practices_SubPractices[CP],"7",Practices_SubPractices[Org],"Large"),IF(AND(Practices_SubPractices[CP]=8,Practices_SubPractices[Org] ="Large"),SUMIFS(Practices_SubPractices[E],Practices_SubPractices[CP],"8",Practices_SubPractices[Org],"Large"),IF(AND(Practices_SubPractices[CP]=9,Practices_SubPractices[Org] ="Large"),SUMIFS(Practices_SubPractices[E],Practices_SubPractices[CP],"9",Practices_SubPractices[Org],"Large"),IF(AND(Practices_SubPractices[CP]=10,Practices_SubPractices[Org] ="Large"),SUMIFS(Practices_SubPractices[E],Practices_SubPractices[CP],"10",Practices_SubPractices[Org],"Large"),"TBD"))))))))))))))))))))))))))))))</f>
        <v>0</v>
      </c>
      <c r="S55" s="87" t="s">
        <v>415</v>
      </c>
    </row>
    <row r="56" spans="1:19" x14ac:dyDescent="0.35">
      <c r="A56" s="73">
        <v>46</v>
      </c>
      <c r="B56" s="73">
        <v>4</v>
      </c>
      <c r="C56" s="73" t="s">
        <v>11</v>
      </c>
      <c r="D56" s="73" t="str">
        <f>Practices_SubPractices[[#This Row],[CP]]&amp;LEFT(Practices_SubPractices[[#This Row],[Org]],1)</f>
        <v>4M</v>
      </c>
      <c r="E56" s="73" t="s">
        <v>212</v>
      </c>
      <c r="F56" s="74" t="s">
        <v>96</v>
      </c>
      <c r="G56" s="74" t="s">
        <v>101</v>
      </c>
      <c r="H56" s="74" t="s">
        <v>223</v>
      </c>
      <c r="I56" s="75">
        <v>0</v>
      </c>
      <c r="J56" s="75">
        <v>1</v>
      </c>
      <c r="K56" s="75">
        <v>2</v>
      </c>
      <c r="L56" s="75">
        <v>2</v>
      </c>
      <c r="M56" s="75">
        <v>0</v>
      </c>
      <c r="N56" s="76"/>
      <c r="O56" s="77">
        <f>IF(AND(Practices_SubPractices[CP]=1,Practices_SubPractices[Org]="Small"),SUMIFS(Practices_SubPractices[B],Practices_SubPractices[CP],"1",Practices_SubPractices[Org],"Small"),IF(AND(Practices_SubPractices[CP]=2,Practices_SubPractices[Org]="Small"),SUMIFS(Practices_SubPractices[B],Practices_SubPractices[CP],"2",Practices_SubPractices[Org],"Small"),IF(AND(Practices_SubPractices[CP]=3,Practices_SubPractices[Org]="Small"),SUMIFS(Practices_SubPractices[B],Practices_SubPractices[CP],"3",Practices_SubPractices[Org],"Small"),IF(AND(Practices_SubPractices[CP]=4,Practices_SubPractices[Org]="Small"),SUMIFS(Practices_SubPractices[B],Practices_SubPractices[CP],"4",Practices_SubPractices[Org],"Small"),IF(AND(Practices_SubPractices[CP]=5,Practices_SubPractices[Org]="Small"),SUMIFS(Practices_SubPractices[B],Practices_SubPractices[CP],"5",Practices_SubPractices[Org],"Small"),IF(AND(Practices_SubPractices[CP]=6,Practices_SubPractices[Org]="Small"),SUMIFS(Practices_SubPractices[B],Practices_SubPractices[CP],"6",Practices_SubPractices[Org],"Small"),IF(AND(Practices_SubPractices[CP]=7,Practices_SubPractices[Org] ="Small"),SUMIFS(Practices_SubPractices[B],Practices_SubPractices[CP],"7",Practices_SubPractices[Org],"Small"),IF(AND(Practices_SubPractices[CP]=8,Practices_SubPractices[Org] ="Small"),SUMIFS(Practices_SubPractices[B],Practices_SubPractices[CP],"8",Practices_SubPractices[Org],"Small"),IF(AND(Practices_SubPractices[CP]=9,Practices_SubPractices[Org] ="Small"),SUMIFS(Practices_SubPractices[B],Practices_SubPractices[CP],"9",Practices_SubPractices[Org],"Small"),IF(AND(Practices_SubPractices[CP]=10,Practices_SubPractices[Org] ="Small"),SUMIFS(Practices_SubPractices[B],Practices_SubPractices[CP],"10",Practices_SubPractices[Org],"Small"),IF(AND(Practices_SubPractices[CP]=1,Practices_SubPractices[Org]="Medium"),SUMIFS(Practices_SubPractices[B],Practices_SubPractices[CP],"1",Practices_SubPractices[Org],"Medium"),IF(AND(Practices_SubPractices[CP]=2,Practices_SubPractices[Org]="Medium"),SUMIFS(Practices_SubPractices[B],Practices_SubPractices[CP],"2",Practices_SubPractices[Org],"Medium"),IF(AND(Practices_SubPractices[CP]=3,Practices_SubPractices[Org]="Medium"),SUMIFS(Practices_SubPractices[B],Practices_SubPractices[CP],"3",Practices_SubPractices[Org],"Medium"),IF(AND(Practices_SubPractices[CP]=4,Practices_SubPractices[Org]="Medium"),SUMIFS(Practices_SubPractices[B],Practices_SubPractices[CP],"4",Practices_SubPractices[Org],"Medium"),IF(AND(Practices_SubPractices[CP]=5,Practices_SubPractices[Org]="Medium"),SUMIFS(Practices_SubPractices[B],Practices_SubPractices[CP],"5",Practices_SubPractices[Org],"Medium"),IF(AND(Practices_SubPractices[CP]=6,Practices_SubPractices[Org]="Medium"),SUMIFS(Practices_SubPractices[B],Practices_SubPractices[CP],"6",Practices_SubPractices[Org],"Medium"),IF(AND(Practices_SubPractices[CP]=7,Practices_SubPractices[Org] ="Medium"),SUMIFS(Practices_SubPractices[B],Practices_SubPractices[CP],"7",Practices_SubPractices[Org],"Medium"),IF(AND(Practices_SubPractices[CP]=8,Practices_SubPractices[Org] ="Medium"),SUMIFS(Practices_SubPractices[B],Practices_SubPractices[CP],"8",Practices_SubPractices[Org],"Medium"),IF(AND(Practices_SubPractices[CP]=9,Practices_SubPractices[Org] ="Medium"),SUMIFS(Practices_SubPractices[B],Practices_SubPractices[CP],"9",Practices_SubPractices[Org],"Medium"),IF(AND(Practices_SubPractices[CP]=10,Practices_SubPractices[Org] ="Medium"),SUMIFS(Practices_SubPractices[B],Practices_SubPractices[CP],"10",Practices_SubPractices[Org],"Medium"),IF(AND(Practices_SubPractices[CP]=1,Practices_SubPractices[Org]="Large"),SUMIFS(Practices_SubPractices[B],Practices_SubPractices[CP],"1",Practices_SubPractices[Org],"Large"),IF(AND(Practices_SubPractices[CP]=2,Practices_SubPractices[Org]="Large"),SUMIFS(Practices_SubPractices[B],Practices_SubPractices[CP],"2",Practices_SubPractices[Org],"Large"),IF(AND(Practices_SubPractices[CP]=3,Practices_SubPractices[Org]="Large"),SUMIFS(Practices_SubPractices[B],Practices_SubPractices[CP],"3",Practices_SubPractices[Org],"Large"),IF(AND(Practices_SubPractices[CP]=4,Practices_SubPractices[Org]="Large"),SUMIFS(Practices_SubPractices[B],Practices_SubPractices[CP],"4",Practices_SubPractices[Org],"Large"),IF(AND(Practices_SubPractices[CP]=5,Practices_SubPractices[Org]="Large"),SUMIFS(Practices_SubPractices[B],Practices_SubPractices[CP],"5",Practices_SubPractices[Org],"Large"),IF(AND(Practices_SubPractices[CP]=6,Practices_SubPractices[Org]="Large"),SUMIFS(Practices_SubPractices[B],Practices_SubPractices[CP],"6",Practices_SubPractices[Org],"Large"),IF(AND(Practices_SubPractices[CP]=7,Practices_SubPractices[Org] ="Large"),SUMIFS(Practices_SubPractices[B],Practices_SubPractices[CP],"7",Practices_SubPractices[Org],"Large"),IF(AND(Practices_SubPractices[CP]=8,Practices_SubPractices[Org] ="Large"),SUMIFS(Practices_SubPractices[B],Practices_SubPractices[CP],"8",Practices_SubPractices[Org],"Large"),IF(AND(Practices_SubPractices[CP]=9,Practices_SubPractices[Org] ="Large"),SUMIFS(Practices_SubPractices[B],Practices_SubPractices[CP],"9",Practices_SubPractices[Org],"Large"),IF(AND(Practices_SubPractices[CP]=10,Practices_SubPractices[Org] ="Large"),SUMIFS(Practices_SubPractices[B],Practices_SubPractices[CP],"10",Practices_SubPractices[Org],"Large"),"TBD"))))))))))))))))))))))))))))))</f>
        <v>3</v>
      </c>
      <c r="P56" s="77">
        <f>IF(AND(Practices_SubPractices[CP]=1,Practices_SubPractices[Org]="Small"),SUMIFS(Practices_SubPractices[C],Practices_SubPractices[CP],"1",Practices_SubPractices[Org],"Small"),IF(AND(Practices_SubPractices[CP]=2,Practices_SubPractices[Org]="Small"),SUMIFS(Practices_SubPractices[C],Practices_SubPractices[CP],"2",Practices_SubPractices[Org],"Small"),IF(AND(Practices_SubPractices[CP]=3,Practices_SubPractices[Org]="Small"),SUMIFS(Practices_SubPractices[C],Practices_SubPractices[CP],"3",Practices_SubPractices[Org],"Small"),IF(AND(Practices_SubPractices[CP]=4,Practices_SubPractices[Org]="Small"),SUMIFS(Practices_SubPractices[C],Practices_SubPractices[CP],"4",Practices_SubPractices[Org],"Small"),IF(AND(Practices_SubPractices[CP]=5,Practices_SubPractices[Org]="Small"),SUMIFS(Practices_SubPractices[C],Practices_SubPractices[CP],"5",Practices_SubPractices[Org],"Small"),IF(AND(Practices_SubPractices[CP]=6,Practices_SubPractices[Org]="Small"),SUMIFS(Practices_SubPractices[C],Practices_SubPractices[CP],"6",Practices_SubPractices[Org],"Small"),IF(AND(Practices_SubPractices[CP]=7,Practices_SubPractices[Org] ="Small"),SUMIFS(Practices_SubPractices[C],Practices_SubPractices[CP],"7",Practices_SubPractices[Org],"Small"),IF(AND(Practices_SubPractices[CP]=8,Practices_SubPractices[Org] ="Small"),SUMIFS(Practices_SubPractices[C],Practices_SubPractices[CP],"8",Practices_SubPractices[Org],"Small"),IF(AND(Practices_SubPractices[CP]=9,Practices_SubPractices[Org] ="Small"),SUMIFS(Practices_SubPractices[C],Practices_SubPractices[CP],"9",Practices_SubPractices[Org],"Small"),IF(AND(Practices_SubPractices[CP]=10,Practices_SubPractices[Org] ="Small"),SUMIFS(Practices_SubPractices[C],Practices_SubPractices[CP],"10",Practices_SubPractices[Org],"Small"),IF(AND(Practices_SubPractices[CP]=1,Practices_SubPractices[Org]="Medium"),SUMIFS(Practices_SubPractices[C],Practices_SubPractices[CP],"1",Practices_SubPractices[Org],"Medium"),IF(AND(Practices_SubPractices[CP]=2,Practices_SubPractices[Org]="Medium"),SUMIFS(Practices_SubPractices[C],Practices_SubPractices[CP],"2",Practices_SubPractices[Org],"Medium"),IF(AND(Practices_SubPractices[CP]=3,Practices_SubPractices[Org]="Medium"),SUMIFS(Practices_SubPractices[C],Practices_SubPractices[CP],"3",Practices_SubPractices[Org],"Medium"),IF(AND(Practices_SubPractices[CP]=4,Practices_SubPractices[Org]="Medium"),SUMIFS(Practices_SubPractices[C],Practices_SubPractices[CP],"4",Practices_SubPractices[Org],"Medium"),IF(AND(Practices_SubPractices[CP]=5,Practices_SubPractices[Org]="Medium"),SUMIFS(Practices_SubPractices[C],Practices_SubPractices[CP],"5",Practices_SubPractices[Org],"Medium"),IF(AND(Practices_SubPractices[CP]=6,Practices_SubPractices[Org]="Medium"),SUMIFS(Practices_SubPractices[C],Practices_SubPractices[CP],"6",Practices_SubPractices[Org],"Medium"),IF(AND(Practices_SubPractices[CP]=7,Practices_SubPractices[Org] ="Medium"),SUMIFS(Practices_SubPractices[C],Practices_SubPractices[CP],"7",Practices_SubPractices[Org],"Medium"),IF(AND(Practices_SubPractices[CP]=8,Practices_SubPractices[Org] ="Medium"),SUMIFS(Practices_SubPractices[C],Practices_SubPractices[CP],"8",Practices_SubPractices[Org],"Medium"),IF(AND(Practices_SubPractices[CP]=9,Practices_SubPractices[Org] ="Medium"),SUMIFS(Practices_SubPractices[C],Practices_SubPractices[CP],"9",Practices_SubPractices[Org],"Medium"),IF(AND(Practices_SubPractices[CP]=10,Practices_SubPractices[Org] ="Medium"),SUMIFS(Practices_SubPractices[C],Practices_SubPractices[CP],"10",Practices_SubPractices[Org],"Medium"),IF(AND(Practices_SubPractices[CP]=1,Practices_SubPractices[Org]="Large"),SUMIFS(Practices_SubPractices[C],Practices_SubPractices[CP],"1",Practices_SubPractices[Org],"Large"),IF(AND(Practices_SubPractices[CP]=2,Practices_SubPractices[Org]="Large"),SUMIFS(Practices_SubPractices[C],Practices_SubPractices[CP],"2",Practices_SubPractices[Org],"Large"),IF(AND(Practices_SubPractices[CP]=3,Practices_SubPractices[Org]="Large"),SUMIFS(Practices_SubPractices[C],Practices_SubPractices[CP],"3",Practices_SubPractices[Org],"Large"),IF(AND(Practices_SubPractices[CP]=4,Practices_SubPractices[Org]="Large"),SUMIFS(Practices_SubPractices[C],Practices_SubPractices[CP],"4",Practices_SubPractices[Org],"Large"),IF(AND(Practices_SubPractices[CP]=5,Practices_SubPractices[Org]="Large"),SUMIFS(Practices_SubPractices[C],Practices_SubPractices[CP],"5",Practices_SubPractices[Org],"Large"),IF(AND(Practices_SubPractices[CP]=6,Practices_SubPractices[Org]="Large"),SUMIFS(Practices_SubPractices[C],Practices_SubPractices[CP],"6",Practices_SubPractices[Org],"Large"),IF(AND(Practices_SubPractices[CP]=7,Practices_SubPractices[Org] ="Large"),SUMIFS(Practices_SubPractices[C],Practices_SubPractices[CP],"7",Practices_SubPractices[Org],"Large"),IF(AND(Practices_SubPractices[CP]=8,Practices_SubPractices[Org] ="Large"),SUMIFS(Practices_SubPractices[C],Practices_SubPractices[CP],"8",Practices_SubPractices[Org],"Large"),IF(AND(Practices_SubPractices[CP]=9,Practices_SubPractices[Org] ="Large"),SUMIFS(Practices_SubPractices[C],Practices_SubPractices[CP],"9",Practices_SubPractices[Org],"Large"),IF(AND(Practices_SubPractices[CP]=10,Practices_SubPractices[Org] ="Large"),SUMIFS(Practices_SubPractices[C],Practices_SubPractices[CP],"10",Practices_SubPractices[Org],"Large"),"TBD"))))))))))))))))))))))))))))))</f>
        <v>9</v>
      </c>
      <c r="Q56" s="77">
        <f>IF(AND(Practices_SubPractices[CP]=1,Practices_SubPractices[Org]="Small"),SUMIFS(Practices_SubPractices[D],Practices_SubPractices[CP],"1",Practices_SubPractices[Org],"Small"),IF(AND(Practices_SubPractices[CP]=2,Practices_SubPractices[Org]="Small"),SUMIFS(Practices_SubPractices[D],Practices_SubPractices[CP],"2",Practices_SubPractices[Org],"Small"),IF(AND(Practices_SubPractices[CP]=3,Practices_SubPractices[Org]="Small"),SUMIFS(Practices_SubPractices[D],Practices_SubPractices[CP],"3",Practices_SubPractices[Org],"Small"),IF(AND(Practices_SubPractices[CP]=4,Practices_SubPractices[Org]="Small"),SUMIFS(Practices_SubPractices[D],Practices_SubPractices[CP],"4",Practices_SubPractices[Org],"Small"),IF(AND(Practices_SubPractices[CP]=5,Practices_SubPractices[Org]="Small"),SUMIFS(Practices_SubPractices[D],Practices_SubPractices[CP],"5",Practices_SubPractices[Org],"Small"),IF(AND(Practices_SubPractices[CP]=6,Practices_SubPractices[Org]="Small"),SUMIFS(Practices_SubPractices[D],Practices_SubPractices[CP],"6",Practices_SubPractices[Org],"Small"),IF(AND(Practices_SubPractices[CP]=7,Practices_SubPractices[Org] ="Small"),SUMIFS(Practices_SubPractices[D],Practices_SubPractices[CP],"7",Practices_SubPractices[Org],"Small"),IF(AND(Practices_SubPractices[CP]=8,Practices_SubPractices[Org] ="Small"),SUMIFS(Practices_SubPractices[D],Practices_SubPractices[CP],"8",Practices_SubPractices[Org],"Small"),IF(AND(Practices_SubPractices[CP]=9,Practices_SubPractices[Org] ="Small"),SUMIFS(Practices_SubPractices[D],Practices_SubPractices[CP],"9",Practices_SubPractices[Org],"Small"),IF(AND(Practices_SubPractices[CP]=10,Practices_SubPractices[Org] ="Small"),SUMIFS(Practices_SubPractices[D],Practices_SubPractices[CP],"10",Practices_SubPractices[Org],"Small"),IF(AND(Practices_SubPractices[CP]=1,Practices_SubPractices[Org]="Medium"),SUMIFS(Practices_SubPractices[D],Practices_SubPractices[CP],"1",Practices_SubPractices[Org],"Medium"),IF(AND(Practices_SubPractices[CP]=2,Practices_SubPractices[Org]="Medium"),SUMIFS(Practices_SubPractices[D],Practices_SubPractices[CP],"2",Practices_SubPractices[Org],"Medium"),IF(AND(Practices_SubPractices[CP]=3,Practices_SubPractices[Org]="Medium"),SUMIFS(Practices_SubPractices[D],Practices_SubPractices[CP],"3",Practices_SubPractices[Org],"Medium"),IF(AND(Practices_SubPractices[CP]=4,Practices_SubPractices[Org]="Medium"),SUMIFS(Practices_SubPractices[D],Practices_SubPractices[CP],"4",Practices_SubPractices[Org],"Medium"),IF(AND(Practices_SubPractices[CP]=5,Practices_SubPractices[Org]="Medium"),SUMIFS(Practices_SubPractices[D],Practices_SubPractices[CP],"5",Practices_SubPractices[Org],"Medium"),IF(AND(Practices_SubPractices[CP]=6,Practices_SubPractices[Org]="Medium"),SUMIFS(Practices_SubPractices[D],Practices_SubPractices[CP],"6",Practices_SubPractices[Org],"Medium"),IF(AND(Practices_SubPractices[CP]=7,Practices_SubPractices[Org] ="Medium"),SUMIFS(Practices_SubPractices[D],Practices_SubPractices[CP],"7",Practices_SubPractices[Org],"Medium"),IF(AND(Practices_SubPractices[CP]=8,Practices_SubPractices[Org] ="Medium"),SUMIFS(Practices_SubPractices[D],Practices_SubPractices[CP],"8",Practices_SubPractices[Org],"Medium"),IF(AND(Practices_SubPractices[CP]=9,Practices_SubPractices[Org] ="Medium"),SUMIFS(Practices_SubPractices[D],Practices_SubPractices[CP],"9",Practices_SubPractices[Org],"Medium"),IF(AND(Practices_SubPractices[CP]=10,Practices_SubPractices[Org] ="Medium"),SUMIFS(Practices_SubPractices[D],Practices_SubPractices[CP],"10",Practices_SubPractices[Org],"Medium"),IF(AND(Practices_SubPractices[CP]=1,Practices_SubPractices[Org]="Large"),SUMIFS(Practices_SubPractices[D],Practices_SubPractices[CP],"1",Practices_SubPractices[Org],"Large"),IF(AND(Practices_SubPractices[CP]=2,Practices_SubPractices[Org]="Large"),SUMIFS(Practices_SubPractices[D],Practices_SubPractices[CP],"2",Practices_SubPractices[Org],"Large"),IF(AND(Practices_SubPractices[CP]=3,Practices_SubPractices[Org]="Large"),SUMIFS(Practices_SubPractices[D],Practices_SubPractices[CP],"3",Practices_SubPractices[Org],"Large"),IF(AND(Practices_SubPractices[CP]=4,Practices_SubPractices[Org]="Large"),SUMIFS(Practices_SubPractices[D],Practices_SubPractices[CP],"4",Practices_SubPractices[Org],"Large"),IF(AND(Practices_SubPractices[CP]=5,Practices_SubPractices[Org]="Large"),SUMIFS(Practices_SubPractices[D],Practices_SubPractices[CP],"5",Practices_SubPractices[Org],"Large"),IF(AND(Practices_SubPractices[CP]=6,Practices_SubPractices[Org]="Large"),SUMIFS(Practices_SubPractices[D],Practices_SubPractices[CP],"6",Practices_SubPractices[Org],"Large"),IF(AND(Practices_SubPractices[CP]=7,Practices_SubPractices[Org] ="Large"),SUMIFS(Practices_SubPractices[D],Practices_SubPractices[CP],"7",Practices_SubPractices[Org],"Large"),IF(AND(Practices_SubPractices[CP]=8,Practices_SubPractices[Org] ="Large"),SUMIFS(Practices_SubPractices[D],Practices_SubPractices[CP],"8",Practices_SubPractices[Org],"Large"),IF(AND(Practices_SubPractices[CP]=9,Practices_SubPractices[Org] ="Large"),SUMIFS(Practices_SubPractices[D],Practices_SubPractices[CP],"9",Practices_SubPractices[Org],"Large"),IF(AND(Practices_SubPractices[CP]=10,Practices_SubPractices[Org] ="Large"),SUMIFS(Practices_SubPractices[D],Practices_SubPractices[CP],"10",Practices_SubPractices[Org],"Large"),"TBD"))))))))))))))))))))))))))))))</f>
        <v>10</v>
      </c>
      <c r="R56" s="77">
        <f>IF(AND(Practices_SubPractices[CP]=1,Practices_SubPractices[Org]="Small"),SUMIFS(Practices_SubPractices[E],Practices_SubPractices[CP],"1",Practices_SubPractices[Org],"Small"),IF(AND(Practices_SubPractices[CP]=2,Practices_SubPractices[Org]="Small"),SUMIFS(Practices_SubPractices[E],Practices_SubPractices[CP],"2",Practices_SubPractices[Org],"Small"),IF(AND(Practices_SubPractices[CP]=3,Practices_SubPractices[Org]="Small"),SUMIFS(Practices_SubPractices[E],Practices_SubPractices[CP],"3",Practices_SubPractices[Org],"Small"),IF(AND(Practices_SubPractices[CP]=4,Practices_SubPractices[Org]="Small"),SUMIFS(Practices_SubPractices[E],Practices_SubPractices[CP],"4",Practices_SubPractices[Org],"Small"),IF(AND(Practices_SubPractices[CP]=5,Practices_SubPractices[Org]="Small"),SUMIFS(Practices_SubPractices[E],Practices_SubPractices[CP],"5",Practices_SubPractices[Org],"Small"),IF(AND(Practices_SubPractices[CP]=6,Practices_SubPractices[Org]="Small"),SUMIFS(Practices_SubPractices[E],Practices_SubPractices[CP],"6",Practices_SubPractices[Org],"Small"),IF(AND(Practices_SubPractices[CP]=7,Practices_SubPractices[Org] ="Small"),SUMIFS(Practices_SubPractices[E],Practices_SubPractices[CP],"7",Practices_SubPractices[Org],"Small"),IF(AND(Practices_SubPractices[CP]=8,Practices_SubPractices[Org] ="Small"),SUMIFS(Practices_SubPractices[E],Practices_SubPractices[CP],"8",Practices_SubPractices[Org],"Small"),IF(AND(Practices_SubPractices[CP]=9,Practices_SubPractices[Org] ="Small"),SUMIFS(Practices_SubPractices[E],Practices_SubPractices[CP],"9",Practices_SubPractices[Org],"Small"),IF(AND(Practices_SubPractices[CP]=10,Practices_SubPractices[Org] ="Small"),SUMIFS(Practices_SubPractices[E],Practices_SubPractices[CP],"10",Practices_SubPractices[Org],"Small"),IF(AND(Practices_SubPractices[CP]=1,Practices_SubPractices[Org]="Medium"),SUMIFS(Practices_SubPractices[E],Practices_SubPractices[CP],"1",Practices_SubPractices[Org],"Medium"),IF(AND(Practices_SubPractices[CP]=2,Practices_SubPractices[Org]="Medium"),SUMIFS(Practices_SubPractices[E],Practices_SubPractices[CP],"2",Practices_SubPractices[Org],"Medium"),IF(AND(Practices_SubPractices[CP]=3,Practices_SubPractices[Org]="Medium"),SUMIFS(Practices_SubPractices[E],Practices_SubPractices[CP],"3",Practices_SubPractices[Org],"Medium"),IF(AND(Practices_SubPractices[CP]=4,Practices_SubPractices[Org]="Medium"),SUMIFS(Practices_SubPractices[E],Practices_SubPractices[CP],"4",Practices_SubPractices[Org],"Medium"),IF(AND(Practices_SubPractices[CP]=5,Practices_SubPractices[Org]="Medium"),SUMIFS(Practices_SubPractices[E],Practices_SubPractices[CP],"5",Practices_SubPractices[Org],"Medium"),IF(AND(Practices_SubPractices[CP]=6,Practices_SubPractices[Org]="Medium"),SUMIFS(Practices_SubPractices[E],Practices_SubPractices[CP],"6",Practices_SubPractices[Org],"Medium"),IF(AND(Practices_SubPractices[CP]=7,Practices_SubPractices[Org] ="Medium"),SUMIFS(Practices_SubPractices[E],Practices_SubPractices[CP],"7",Practices_SubPractices[Org],"Medium"),IF(AND(Practices_SubPractices[CP]=8,Practices_SubPractices[Org] ="Medium"),SUMIFS(Practices_SubPractices[E],Practices_SubPractices[CP],"8",Practices_SubPractices[Org],"Medium"),IF(AND(Practices_SubPractices[CP]=9,Practices_SubPractices[Org] ="Medium"),SUMIFS(Practices_SubPractices[E],Practices_SubPractices[CP],"9",Practices_SubPractices[Org],"Medium"),IF(AND(Practices_SubPractices[CP]=10,Practices_SubPractices[Org] ="Medium"),SUMIFS(Practices_SubPractices[E],Practices_SubPractices[CP],"10",Practices_SubPractices[Org],"Medium"),IF(AND(Practices_SubPractices[CP]=1,Practices_SubPractices[Org]="Large"),SUMIFS(Practices_SubPractices[E],Practices_SubPractices[CP],"1",Practices_SubPractices[Org],"Large"),IF(AND(Practices_SubPractices[CP]=2,Practices_SubPractices[Org]="Large"),SUMIFS(Practices_SubPractices[E],Practices_SubPractices[CP],"2",Practices_SubPractices[Org],"Large"),IF(AND(Practices_SubPractices[CP]=3,Practices_SubPractices[Org]="Large"),SUMIFS(Practices_SubPractices[E],Practices_SubPractices[CP],"3",Practices_SubPractices[Org],"Large"),IF(AND(Practices_SubPractices[CP]=4,Practices_SubPractices[Org]="Large"),SUMIFS(Practices_SubPractices[E],Practices_SubPractices[CP],"4",Practices_SubPractices[Org],"Large"),IF(AND(Practices_SubPractices[CP]=5,Practices_SubPractices[Org]="Large"),SUMIFS(Practices_SubPractices[E],Practices_SubPractices[CP],"5",Practices_SubPractices[Org],"Large"),IF(AND(Practices_SubPractices[CP]=6,Practices_SubPractices[Org]="Large"),SUMIFS(Practices_SubPractices[E],Practices_SubPractices[CP],"6",Practices_SubPractices[Org],"Large"),IF(AND(Practices_SubPractices[CP]=7,Practices_SubPractices[Org] ="Large"),SUMIFS(Practices_SubPractices[E],Practices_SubPractices[CP],"7",Practices_SubPractices[Org],"Large"),IF(AND(Practices_SubPractices[CP]=8,Practices_SubPractices[Org] ="Large"),SUMIFS(Practices_SubPractices[E],Practices_SubPractices[CP],"8",Practices_SubPractices[Org],"Large"),IF(AND(Practices_SubPractices[CP]=9,Practices_SubPractices[Org] ="Large"),SUMIFS(Practices_SubPractices[E],Practices_SubPractices[CP],"9",Practices_SubPractices[Org],"Large"),IF(AND(Practices_SubPractices[CP]=10,Practices_SubPractices[Org] ="Large"),SUMIFS(Practices_SubPractices[E],Practices_SubPractices[CP],"10",Practices_SubPractices[Org],"Large"),"TBD"))))))))))))))))))))))))))))))</f>
        <v>0</v>
      </c>
      <c r="S56" s="87" t="s">
        <v>416</v>
      </c>
    </row>
    <row r="57" spans="1:19" x14ac:dyDescent="0.35">
      <c r="A57" s="73">
        <v>47</v>
      </c>
      <c r="B57" s="73">
        <v>4</v>
      </c>
      <c r="C57" s="73" t="s">
        <v>12</v>
      </c>
      <c r="D57" s="73" t="str">
        <f>Practices_SubPractices[[#This Row],[CP]]&amp;LEFT(Practices_SubPractices[[#This Row],[Org]],1)</f>
        <v>4L</v>
      </c>
      <c r="E57" s="73" t="s">
        <v>212</v>
      </c>
      <c r="F57" s="74" t="s">
        <v>96</v>
      </c>
      <c r="G57" s="74" t="s">
        <v>101</v>
      </c>
      <c r="H57" s="74" t="s">
        <v>223</v>
      </c>
      <c r="I57" s="75">
        <v>0</v>
      </c>
      <c r="J57" s="75">
        <v>1</v>
      </c>
      <c r="K57" s="75">
        <v>2</v>
      </c>
      <c r="L57" s="75">
        <v>2</v>
      </c>
      <c r="M57" s="75">
        <v>0</v>
      </c>
      <c r="N57" s="76"/>
      <c r="O57" s="77">
        <f>IF(AND(Practices_SubPractices[CP]=1,Practices_SubPractices[Org]="Small"),SUMIFS(Practices_SubPractices[B],Practices_SubPractices[CP],"1",Practices_SubPractices[Org],"Small"),IF(AND(Practices_SubPractices[CP]=2,Practices_SubPractices[Org]="Small"),SUMIFS(Practices_SubPractices[B],Practices_SubPractices[CP],"2",Practices_SubPractices[Org],"Small"),IF(AND(Practices_SubPractices[CP]=3,Practices_SubPractices[Org]="Small"),SUMIFS(Practices_SubPractices[B],Practices_SubPractices[CP],"3",Practices_SubPractices[Org],"Small"),IF(AND(Practices_SubPractices[CP]=4,Practices_SubPractices[Org]="Small"),SUMIFS(Practices_SubPractices[B],Practices_SubPractices[CP],"4",Practices_SubPractices[Org],"Small"),IF(AND(Practices_SubPractices[CP]=5,Practices_SubPractices[Org]="Small"),SUMIFS(Practices_SubPractices[B],Practices_SubPractices[CP],"5",Practices_SubPractices[Org],"Small"),IF(AND(Practices_SubPractices[CP]=6,Practices_SubPractices[Org]="Small"),SUMIFS(Practices_SubPractices[B],Practices_SubPractices[CP],"6",Practices_SubPractices[Org],"Small"),IF(AND(Practices_SubPractices[CP]=7,Practices_SubPractices[Org] ="Small"),SUMIFS(Practices_SubPractices[B],Practices_SubPractices[CP],"7",Practices_SubPractices[Org],"Small"),IF(AND(Practices_SubPractices[CP]=8,Practices_SubPractices[Org] ="Small"),SUMIFS(Practices_SubPractices[B],Practices_SubPractices[CP],"8",Practices_SubPractices[Org],"Small"),IF(AND(Practices_SubPractices[CP]=9,Practices_SubPractices[Org] ="Small"),SUMIFS(Practices_SubPractices[B],Practices_SubPractices[CP],"9",Practices_SubPractices[Org],"Small"),IF(AND(Practices_SubPractices[CP]=10,Practices_SubPractices[Org] ="Small"),SUMIFS(Practices_SubPractices[B],Practices_SubPractices[CP],"10",Practices_SubPractices[Org],"Small"),IF(AND(Practices_SubPractices[CP]=1,Practices_SubPractices[Org]="Medium"),SUMIFS(Practices_SubPractices[B],Practices_SubPractices[CP],"1",Practices_SubPractices[Org],"Medium"),IF(AND(Practices_SubPractices[CP]=2,Practices_SubPractices[Org]="Medium"),SUMIFS(Practices_SubPractices[B],Practices_SubPractices[CP],"2",Practices_SubPractices[Org],"Medium"),IF(AND(Practices_SubPractices[CP]=3,Practices_SubPractices[Org]="Medium"),SUMIFS(Practices_SubPractices[B],Practices_SubPractices[CP],"3",Practices_SubPractices[Org],"Medium"),IF(AND(Practices_SubPractices[CP]=4,Practices_SubPractices[Org]="Medium"),SUMIFS(Practices_SubPractices[B],Practices_SubPractices[CP],"4",Practices_SubPractices[Org],"Medium"),IF(AND(Practices_SubPractices[CP]=5,Practices_SubPractices[Org]="Medium"),SUMIFS(Practices_SubPractices[B],Practices_SubPractices[CP],"5",Practices_SubPractices[Org],"Medium"),IF(AND(Practices_SubPractices[CP]=6,Practices_SubPractices[Org]="Medium"),SUMIFS(Practices_SubPractices[B],Practices_SubPractices[CP],"6",Practices_SubPractices[Org],"Medium"),IF(AND(Practices_SubPractices[CP]=7,Practices_SubPractices[Org] ="Medium"),SUMIFS(Practices_SubPractices[B],Practices_SubPractices[CP],"7",Practices_SubPractices[Org],"Medium"),IF(AND(Practices_SubPractices[CP]=8,Practices_SubPractices[Org] ="Medium"),SUMIFS(Practices_SubPractices[B],Practices_SubPractices[CP],"8",Practices_SubPractices[Org],"Medium"),IF(AND(Practices_SubPractices[CP]=9,Practices_SubPractices[Org] ="Medium"),SUMIFS(Practices_SubPractices[B],Practices_SubPractices[CP],"9",Practices_SubPractices[Org],"Medium"),IF(AND(Practices_SubPractices[CP]=10,Practices_SubPractices[Org] ="Medium"),SUMIFS(Practices_SubPractices[B],Practices_SubPractices[CP],"10",Practices_SubPractices[Org],"Medium"),IF(AND(Practices_SubPractices[CP]=1,Practices_SubPractices[Org]="Large"),SUMIFS(Practices_SubPractices[B],Practices_SubPractices[CP],"1",Practices_SubPractices[Org],"Large"),IF(AND(Practices_SubPractices[CP]=2,Practices_SubPractices[Org]="Large"),SUMIFS(Practices_SubPractices[B],Practices_SubPractices[CP],"2",Practices_SubPractices[Org],"Large"),IF(AND(Practices_SubPractices[CP]=3,Practices_SubPractices[Org]="Large"),SUMIFS(Practices_SubPractices[B],Practices_SubPractices[CP],"3",Practices_SubPractices[Org],"Large"),IF(AND(Practices_SubPractices[CP]=4,Practices_SubPractices[Org]="Large"),SUMIFS(Practices_SubPractices[B],Practices_SubPractices[CP],"4",Practices_SubPractices[Org],"Large"),IF(AND(Practices_SubPractices[CP]=5,Practices_SubPractices[Org]="Large"),SUMIFS(Practices_SubPractices[B],Practices_SubPractices[CP],"5",Practices_SubPractices[Org],"Large"),IF(AND(Practices_SubPractices[CP]=6,Practices_SubPractices[Org]="Large"),SUMIFS(Practices_SubPractices[B],Practices_SubPractices[CP],"6",Practices_SubPractices[Org],"Large"),IF(AND(Practices_SubPractices[CP]=7,Practices_SubPractices[Org] ="Large"),SUMIFS(Practices_SubPractices[B],Practices_SubPractices[CP],"7",Practices_SubPractices[Org],"Large"),IF(AND(Practices_SubPractices[CP]=8,Practices_SubPractices[Org] ="Large"),SUMIFS(Practices_SubPractices[B],Practices_SubPractices[CP],"8",Practices_SubPractices[Org],"Large"),IF(AND(Practices_SubPractices[CP]=9,Practices_SubPractices[Org] ="Large"),SUMIFS(Practices_SubPractices[B],Practices_SubPractices[CP],"9",Practices_SubPractices[Org],"Large"),IF(AND(Practices_SubPractices[CP]=10,Practices_SubPractices[Org] ="Large"),SUMIFS(Practices_SubPractices[B],Practices_SubPractices[CP],"10",Practices_SubPractices[Org],"Large"),"TBD"))))))))))))))))))))))))))))))</f>
        <v>4</v>
      </c>
      <c r="P57" s="77">
        <f>IF(AND(Practices_SubPractices[CP]=1,Practices_SubPractices[Org]="Small"),SUMIFS(Practices_SubPractices[C],Practices_SubPractices[CP],"1",Practices_SubPractices[Org],"Small"),IF(AND(Practices_SubPractices[CP]=2,Practices_SubPractices[Org]="Small"),SUMIFS(Practices_SubPractices[C],Practices_SubPractices[CP],"2",Practices_SubPractices[Org],"Small"),IF(AND(Practices_SubPractices[CP]=3,Practices_SubPractices[Org]="Small"),SUMIFS(Practices_SubPractices[C],Practices_SubPractices[CP],"3",Practices_SubPractices[Org],"Small"),IF(AND(Practices_SubPractices[CP]=4,Practices_SubPractices[Org]="Small"),SUMIFS(Practices_SubPractices[C],Practices_SubPractices[CP],"4",Practices_SubPractices[Org],"Small"),IF(AND(Practices_SubPractices[CP]=5,Practices_SubPractices[Org]="Small"),SUMIFS(Practices_SubPractices[C],Practices_SubPractices[CP],"5",Practices_SubPractices[Org],"Small"),IF(AND(Practices_SubPractices[CP]=6,Practices_SubPractices[Org]="Small"),SUMIFS(Practices_SubPractices[C],Practices_SubPractices[CP],"6",Practices_SubPractices[Org],"Small"),IF(AND(Practices_SubPractices[CP]=7,Practices_SubPractices[Org] ="Small"),SUMIFS(Practices_SubPractices[C],Practices_SubPractices[CP],"7",Practices_SubPractices[Org],"Small"),IF(AND(Practices_SubPractices[CP]=8,Practices_SubPractices[Org] ="Small"),SUMIFS(Practices_SubPractices[C],Practices_SubPractices[CP],"8",Practices_SubPractices[Org],"Small"),IF(AND(Practices_SubPractices[CP]=9,Practices_SubPractices[Org] ="Small"),SUMIFS(Practices_SubPractices[C],Practices_SubPractices[CP],"9",Practices_SubPractices[Org],"Small"),IF(AND(Practices_SubPractices[CP]=10,Practices_SubPractices[Org] ="Small"),SUMIFS(Practices_SubPractices[C],Practices_SubPractices[CP],"10",Practices_SubPractices[Org],"Small"),IF(AND(Practices_SubPractices[CP]=1,Practices_SubPractices[Org]="Medium"),SUMIFS(Practices_SubPractices[C],Practices_SubPractices[CP],"1",Practices_SubPractices[Org],"Medium"),IF(AND(Practices_SubPractices[CP]=2,Practices_SubPractices[Org]="Medium"),SUMIFS(Practices_SubPractices[C],Practices_SubPractices[CP],"2",Practices_SubPractices[Org],"Medium"),IF(AND(Practices_SubPractices[CP]=3,Practices_SubPractices[Org]="Medium"),SUMIFS(Practices_SubPractices[C],Practices_SubPractices[CP],"3",Practices_SubPractices[Org],"Medium"),IF(AND(Practices_SubPractices[CP]=4,Practices_SubPractices[Org]="Medium"),SUMIFS(Practices_SubPractices[C],Practices_SubPractices[CP],"4",Practices_SubPractices[Org],"Medium"),IF(AND(Practices_SubPractices[CP]=5,Practices_SubPractices[Org]="Medium"),SUMIFS(Practices_SubPractices[C],Practices_SubPractices[CP],"5",Practices_SubPractices[Org],"Medium"),IF(AND(Practices_SubPractices[CP]=6,Practices_SubPractices[Org]="Medium"),SUMIFS(Practices_SubPractices[C],Practices_SubPractices[CP],"6",Practices_SubPractices[Org],"Medium"),IF(AND(Practices_SubPractices[CP]=7,Practices_SubPractices[Org] ="Medium"),SUMIFS(Practices_SubPractices[C],Practices_SubPractices[CP],"7",Practices_SubPractices[Org],"Medium"),IF(AND(Practices_SubPractices[CP]=8,Practices_SubPractices[Org] ="Medium"),SUMIFS(Practices_SubPractices[C],Practices_SubPractices[CP],"8",Practices_SubPractices[Org],"Medium"),IF(AND(Practices_SubPractices[CP]=9,Practices_SubPractices[Org] ="Medium"),SUMIFS(Practices_SubPractices[C],Practices_SubPractices[CP],"9",Practices_SubPractices[Org],"Medium"),IF(AND(Practices_SubPractices[CP]=10,Practices_SubPractices[Org] ="Medium"),SUMIFS(Practices_SubPractices[C],Practices_SubPractices[CP],"10",Practices_SubPractices[Org],"Medium"),IF(AND(Practices_SubPractices[CP]=1,Practices_SubPractices[Org]="Large"),SUMIFS(Practices_SubPractices[C],Practices_SubPractices[CP],"1",Practices_SubPractices[Org],"Large"),IF(AND(Practices_SubPractices[CP]=2,Practices_SubPractices[Org]="Large"),SUMIFS(Practices_SubPractices[C],Practices_SubPractices[CP],"2",Practices_SubPractices[Org],"Large"),IF(AND(Practices_SubPractices[CP]=3,Practices_SubPractices[Org]="Large"),SUMIFS(Practices_SubPractices[C],Practices_SubPractices[CP],"3",Practices_SubPractices[Org],"Large"),IF(AND(Practices_SubPractices[CP]=4,Practices_SubPractices[Org]="Large"),SUMIFS(Practices_SubPractices[C],Practices_SubPractices[CP],"4",Practices_SubPractices[Org],"Large"),IF(AND(Practices_SubPractices[CP]=5,Practices_SubPractices[Org]="Large"),SUMIFS(Practices_SubPractices[C],Practices_SubPractices[CP],"5",Practices_SubPractices[Org],"Large"),IF(AND(Practices_SubPractices[CP]=6,Practices_SubPractices[Org]="Large"),SUMIFS(Practices_SubPractices[C],Practices_SubPractices[CP],"6",Practices_SubPractices[Org],"Large"),IF(AND(Practices_SubPractices[CP]=7,Practices_SubPractices[Org] ="Large"),SUMIFS(Practices_SubPractices[C],Practices_SubPractices[CP],"7",Practices_SubPractices[Org],"Large"),IF(AND(Practices_SubPractices[CP]=8,Practices_SubPractices[Org] ="Large"),SUMIFS(Practices_SubPractices[C],Practices_SubPractices[CP],"8",Practices_SubPractices[Org],"Large"),IF(AND(Practices_SubPractices[CP]=9,Practices_SubPractices[Org] ="Large"),SUMIFS(Practices_SubPractices[C],Practices_SubPractices[CP],"9",Practices_SubPractices[Org],"Large"),IF(AND(Practices_SubPractices[CP]=10,Practices_SubPractices[Org] ="Large"),SUMIFS(Practices_SubPractices[C],Practices_SubPractices[CP],"10",Practices_SubPractices[Org],"Large"),"TBD"))))))))))))))))))))))))))))))</f>
        <v>12</v>
      </c>
      <c r="Q57" s="77">
        <f>IF(AND(Practices_SubPractices[CP]=1,Practices_SubPractices[Org]="Small"),SUMIFS(Practices_SubPractices[D],Practices_SubPractices[CP],"1",Practices_SubPractices[Org],"Small"),IF(AND(Practices_SubPractices[CP]=2,Practices_SubPractices[Org]="Small"),SUMIFS(Practices_SubPractices[D],Practices_SubPractices[CP],"2",Practices_SubPractices[Org],"Small"),IF(AND(Practices_SubPractices[CP]=3,Practices_SubPractices[Org]="Small"),SUMIFS(Practices_SubPractices[D],Practices_SubPractices[CP],"3",Practices_SubPractices[Org],"Small"),IF(AND(Practices_SubPractices[CP]=4,Practices_SubPractices[Org]="Small"),SUMIFS(Practices_SubPractices[D],Practices_SubPractices[CP],"4",Practices_SubPractices[Org],"Small"),IF(AND(Practices_SubPractices[CP]=5,Practices_SubPractices[Org]="Small"),SUMIFS(Practices_SubPractices[D],Practices_SubPractices[CP],"5",Practices_SubPractices[Org],"Small"),IF(AND(Practices_SubPractices[CP]=6,Practices_SubPractices[Org]="Small"),SUMIFS(Practices_SubPractices[D],Practices_SubPractices[CP],"6",Practices_SubPractices[Org],"Small"),IF(AND(Practices_SubPractices[CP]=7,Practices_SubPractices[Org] ="Small"),SUMIFS(Practices_SubPractices[D],Practices_SubPractices[CP],"7",Practices_SubPractices[Org],"Small"),IF(AND(Practices_SubPractices[CP]=8,Practices_SubPractices[Org] ="Small"),SUMIFS(Practices_SubPractices[D],Practices_SubPractices[CP],"8",Practices_SubPractices[Org],"Small"),IF(AND(Practices_SubPractices[CP]=9,Practices_SubPractices[Org] ="Small"),SUMIFS(Practices_SubPractices[D],Practices_SubPractices[CP],"9",Practices_SubPractices[Org],"Small"),IF(AND(Practices_SubPractices[CP]=10,Practices_SubPractices[Org] ="Small"),SUMIFS(Practices_SubPractices[D],Practices_SubPractices[CP],"10",Practices_SubPractices[Org],"Small"),IF(AND(Practices_SubPractices[CP]=1,Practices_SubPractices[Org]="Medium"),SUMIFS(Practices_SubPractices[D],Practices_SubPractices[CP],"1",Practices_SubPractices[Org],"Medium"),IF(AND(Practices_SubPractices[CP]=2,Practices_SubPractices[Org]="Medium"),SUMIFS(Practices_SubPractices[D],Practices_SubPractices[CP],"2",Practices_SubPractices[Org],"Medium"),IF(AND(Practices_SubPractices[CP]=3,Practices_SubPractices[Org]="Medium"),SUMIFS(Practices_SubPractices[D],Practices_SubPractices[CP],"3",Practices_SubPractices[Org],"Medium"),IF(AND(Practices_SubPractices[CP]=4,Practices_SubPractices[Org]="Medium"),SUMIFS(Practices_SubPractices[D],Practices_SubPractices[CP],"4",Practices_SubPractices[Org],"Medium"),IF(AND(Practices_SubPractices[CP]=5,Practices_SubPractices[Org]="Medium"),SUMIFS(Practices_SubPractices[D],Practices_SubPractices[CP],"5",Practices_SubPractices[Org],"Medium"),IF(AND(Practices_SubPractices[CP]=6,Practices_SubPractices[Org]="Medium"),SUMIFS(Practices_SubPractices[D],Practices_SubPractices[CP],"6",Practices_SubPractices[Org],"Medium"),IF(AND(Practices_SubPractices[CP]=7,Practices_SubPractices[Org] ="Medium"),SUMIFS(Practices_SubPractices[D],Practices_SubPractices[CP],"7",Practices_SubPractices[Org],"Medium"),IF(AND(Practices_SubPractices[CP]=8,Practices_SubPractices[Org] ="Medium"),SUMIFS(Practices_SubPractices[D],Practices_SubPractices[CP],"8",Practices_SubPractices[Org],"Medium"),IF(AND(Practices_SubPractices[CP]=9,Practices_SubPractices[Org] ="Medium"),SUMIFS(Practices_SubPractices[D],Practices_SubPractices[CP],"9",Practices_SubPractices[Org],"Medium"),IF(AND(Practices_SubPractices[CP]=10,Practices_SubPractices[Org] ="Medium"),SUMIFS(Practices_SubPractices[D],Practices_SubPractices[CP],"10",Practices_SubPractices[Org],"Medium"),IF(AND(Practices_SubPractices[CP]=1,Practices_SubPractices[Org]="Large"),SUMIFS(Practices_SubPractices[D],Practices_SubPractices[CP],"1",Practices_SubPractices[Org],"Large"),IF(AND(Practices_SubPractices[CP]=2,Practices_SubPractices[Org]="Large"),SUMIFS(Practices_SubPractices[D],Practices_SubPractices[CP],"2",Practices_SubPractices[Org],"Large"),IF(AND(Practices_SubPractices[CP]=3,Practices_SubPractices[Org]="Large"),SUMIFS(Practices_SubPractices[D],Practices_SubPractices[CP],"3",Practices_SubPractices[Org],"Large"),IF(AND(Practices_SubPractices[CP]=4,Practices_SubPractices[Org]="Large"),SUMIFS(Practices_SubPractices[D],Practices_SubPractices[CP],"4",Practices_SubPractices[Org],"Large"),IF(AND(Practices_SubPractices[CP]=5,Practices_SubPractices[Org]="Large"),SUMIFS(Practices_SubPractices[D],Practices_SubPractices[CP],"5",Practices_SubPractices[Org],"Large"),IF(AND(Practices_SubPractices[CP]=6,Practices_SubPractices[Org]="Large"),SUMIFS(Practices_SubPractices[D],Practices_SubPractices[CP],"6",Practices_SubPractices[Org],"Large"),IF(AND(Practices_SubPractices[CP]=7,Practices_SubPractices[Org] ="Large"),SUMIFS(Practices_SubPractices[D],Practices_SubPractices[CP],"7",Practices_SubPractices[Org],"Large"),IF(AND(Practices_SubPractices[CP]=8,Practices_SubPractices[Org] ="Large"),SUMIFS(Practices_SubPractices[D],Practices_SubPractices[CP],"8",Practices_SubPractices[Org],"Large"),IF(AND(Practices_SubPractices[CP]=9,Practices_SubPractices[Org] ="Large"),SUMIFS(Practices_SubPractices[D],Practices_SubPractices[CP],"9",Practices_SubPractices[Org],"Large"),IF(AND(Practices_SubPractices[CP]=10,Practices_SubPractices[Org] ="Large"),SUMIFS(Practices_SubPractices[D],Practices_SubPractices[CP],"10",Practices_SubPractices[Org],"Large"),"TBD"))))))))))))))))))))))))))))))</f>
        <v>14</v>
      </c>
      <c r="R57" s="77">
        <f>IF(AND(Practices_SubPractices[CP]=1,Practices_SubPractices[Org]="Small"),SUMIFS(Practices_SubPractices[E],Practices_SubPractices[CP],"1",Practices_SubPractices[Org],"Small"),IF(AND(Practices_SubPractices[CP]=2,Practices_SubPractices[Org]="Small"),SUMIFS(Practices_SubPractices[E],Practices_SubPractices[CP],"2",Practices_SubPractices[Org],"Small"),IF(AND(Practices_SubPractices[CP]=3,Practices_SubPractices[Org]="Small"),SUMIFS(Practices_SubPractices[E],Practices_SubPractices[CP],"3",Practices_SubPractices[Org],"Small"),IF(AND(Practices_SubPractices[CP]=4,Practices_SubPractices[Org]="Small"),SUMIFS(Practices_SubPractices[E],Practices_SubPractices[CP],"4",Practices_SubPractices[Org],"Small"),IF(AND(Practices_SubPractices[CP]=5,Practices_SubPractices[Org]="Small"),SUMIFS(Practices_SubPractices[E],Practices_SubPractices[CP],"5",Practices_SubPractices[Org],"Small"),IF(AND(Practices_SubPractices[CP]=6,Practices_SubPractices[Org]="Small"),SUMIFS(Practices_SubPractices[E],Practices_SubPractices[CP],"6",Practices_SubPractices[Org],"Small"),IF(AND(Practices_SubPractices[CP]=7,Practices_SubPractices[Org] ="Small"),SUMIFS(Practices_SubPractices[E],Practices_SubPractices[CP],"7",Practices_SubPractices[Org],"Small"),IF(AND(Practices_SubPractices[CP]=8,Practices_SubPractices[Org] ="Small"),SUMIFS(Practices_SubPractices[E],Practices_SubPractices[CP],"8",Practices_SubPractices[Org],"Small"),IF(AND(Practices_SubPractices[CP]=9,Practices_SubPractices[Org] ="Small"),SUMIFS(Practices_SubPractices[E],Practices_SubPractices[CP],"9",Practices_SubPractices[Org],"Small"),IF(AND(Practices_SubPractices[CP]=10,Practices_SubPractices[Org] ="Small"),SUMIFS(Practices_SubPractices[E],Practices_SubPractices[CP],"10",Practices_SubPractices[Org],"Small"),IF(AND(Practices_SubPractices[CP]=1,Practices_SubPractices[Org]="Medium"),SUMIFS(Practices_SubPractices[E],Practices_SubPractices[CP],"1",Practices_SubPractices[Org],"Medium"),IF(AND(Practices_SubPractices[CP]=2,Practices_SubPractices[Org]="Medium"),SUMIFS(Practices_SubPractices[E],Practices_SubPractices[CP],"2",Practices_SubPractices[Org],"Medium"),IF(AND(Practices_SubPractices[CP]=3,Practices_SubPractices[Org]="Medium"),SUMIFS(Practices_SubPractices[E],Practices_SubPractices[CP],"3",Practices_SubPractices[Org],"Medium"),IF(AND(Practices_SubPractices[CP]=4,Practices_SubPractices[Org]="Medium"),SUMIFS(Practices_SubPractices[E],Practices_SubPractices[CP],"4",Practices_SubPractices[Org],"Medium"),IF(AND(Practices_SubPractices[CP]=5,Practices_SubPractices[Org]="Medium"),SUMIFS(Practices_SubPractices[E],Practices_SubPractices[CP],"5",Practices_SubPractices[Org],"Medium"),IF(AND(Practices_SubPractices[CP]=6,Practices_SubPractices[Org]="Medium"),SUMIFS(Practices_SubPractices[E],Practices_SubPractices[CP],"6",Practices_SubPractices[Org],"Medium"),IF(AND(Practices_SubPractices[CP]=7,Practices_SubPractices[Org] ="Medium"),SUMIFS(Practices_SubPractices[E],Practices_SubPractices[CP],"7",Practices_SubPractices[Org],"Medium"),IF(AND(Practices_SubPractices[CP]=8,Practices_SubPractices[Org] ="Medium"),SUMIFS(Practices_SubPractices[E],Practices_SubPractices[CP],"8",Practices_SubPractices[Org],"Medium"),IF(AND(Practices_SubPractices[CP]=9,Practices_SubPractices[Org] ="Medium"),SUMIFS(Practices_SubPractices[E],Practices_SubPractices[CP],"9",Practices_SubPractices[Org],"Medium"),IF(AND(Practices_SubPractices[CP]=10,Practices_SubPractices[Org] ="Medium"),SUMIFS(Practices_SubPractices[E],Practices_SubPractices[CP],"10",Practices_SubPractices[Org],"Medium"),IF(AND(Practices_SubPractices[CP]=1,Practices_SubPractices[Org]="Large"),SUMIFS(Practices_SubPractices[E],Practices_SubPractices[CP],"1",Practices_SubPractices[Org],"Large"),IF(AND(Practices_SubPractices[CP]=2,Practices_SubPractices[Org]="Large"),SUMIFS(Practices_SubPractices[E],Practices_SubPractices[CP],"2",Practices_SubPractices[Org],"Large"),IF(AND(Practices_SubPractices[CP]=3,Practices_SubPractices[Org]="Large"),SUMIFS(Practices_SubPractices[E],Practices_SubPractices[CP],"3",Practices_SubPractices[Org],"Large"),IF(AND(Practices_SubPractices[CP]=4,Practices_SubPractices[Org]="Large"),SUMIFS(Practices_SubPractices[E],Practices_SubPractices[CP],"4",Practices_SubPractices[Org],"Large"),IF(AND(Practices_SubPractices[CP]=5,Practices_SubPractices[Org]="Large"),SUMIFS(Practices_SubPractices[E],Practices_SubPractices[CP],"5",Practices_SubPractices[Org],"Large"),IF(AND(Practices_SubPractices[CP]=6,Practices_SubPractices[Org]="Large"),SUMIFS(Practices_SubPractices[E],Practices_SubPractices[CP],"6",Practices_SubPractices[Org],"Large"),IF(AND(Practices_SubPractices[CP]=7,Practices_SubPractices[Org] ="Large"),SUMIFS(Practices_SubPractices[E],Practices_SubPractices[CP],"7",Practices_SubPractices[Org],"Large"),IF(AND(Practices_SubPractices[CP]=8,Practices_SubPractices[Org] ="Large"),SUMIFS(Practices_SubPractices[E],Practices_SubPractices[CP],"8",Practices_SubPractices[Org],"Large"),IF(AND(Practices_SubPractices[CP]=9,Practices_SubPractices[Org] ="Large"),SUMIFS(Practices_SubPractices[E],Practices_SubPractices[CP],"9",Practices_SubPractices[Org],"Large"),IF(AND(Practices_SubPractices[CP]=10,Practices_SubPractices[Org] ="Large"),SUMIFS(Practices_SubPractices[E],Practices_SubPractices[CP],"10",Practices_SubPractices[Org],"Large"),"TBD"))))))))))))))))))))))))))))))</f>
        <v>0</v>
      </c>
      <c r="S57" s="87" t="s">
        <v>416</v>
      </c>
    </row>
    <row r="58" spans="1:19" x14ac:dyDescent="0.35">
      <c r="A58" s="73">
        <v>48</v>
      </c>
      <c r="B58" s="73">
        <v>5</v>
      </c>
      <c r="C58" s="73" t="s">
        <v>11</v>
      </c>
      <c r="D58" s="73" t="str">
        <f>Practices_SubPractices[[#This Row],[CP]]&amp;LEFT(Practices_SubPractices[[#This Row],[Org]],1)</f>
        <v>5M</v>
      </c>
      <c r="E58" s="73" t="s">
        <v>265</v>
      </c>
      <c r="F58" s="74" t="s">
        <v>16</v>
      </c>
      <c r="G58" s="74" t="s">
        <v>109</v>
      </c>
      <c r="H58" s="74" t="s">
        <v>226</v>
      </c>
      <c r="I58" s="75">
        <v>0</v>
      </c>
      <c r="J58" s="75">
        <v>1</v>
      </c>
      <c r="K58" s="75">
        <v>2</v>
      </c>
      <c r="L58" s="75">
        <v>2</v>
      </c>
      <c r="M58" s="75">
        <v>0</v>
      </c>
      <c r="N58" s="76"/>
      <c r="O58" s="77">
        <f>IF(AND(Practices_SubPractices[CP]=1,Practices_SubPractices[Org]="Small"),SUMIFS(Practices_SubPractices[B],Practices_SubPractices[CP],"1",Practices_SubPractices[Org],"Small"),IF(AND(Practices_SubPractices[CP]=2,Practices_SubPractices[Org]="Small"),SUMIFS(Practices_SubPractices[B],Practices_SubPractices[CP],"2",Practices_SubPractices[Org],"Small"),IF(AND(Practices_SubPractices[CP]=3,Practices_SubPractices[Org]="Small"),SUMIFS(Practices_SubPractices[B],Practices_SubPractices[CP],"3",Practices_SubPractices[Org],"Small"),IF(AND(Practices_SubPractices[CP]=4,Practices_SubPractices[Org]="Small"),SUMIFS(Practices_SubPractices[B],Practices_SubPractices[CP],"4",Practices_SubPractices[Org],"Small"),IF(AND(Practices_SubPractices[CP]=5,Practices_SubPractices[Org]="Small"),SUMIFS(Practices_SubPractices[B],Practices_SubPractices[CP],"5",Practices_SubPractices[Org],"Small"),IF(AND(Practices_SubPractices[CP]=6,Practices_SubPractices[Org]="Small"),SUMIFS(Practices_SubPractices[B],Practices_SubPractices[CP],"6",Practices_SubPractices[Org],"Small"),IF(AND(Practices_SubPractices[CP]=7,Practices_SubPractices[Org] ="Small"),SUMIFS(Practices_SubPractices[B],Practices_SubPractices[CP],"7",Practices_SubPractices[Org],"Small"),IF(AND(Practices_SubPractices[CP]=8,Practices_SubPractices[Org] ="Small"),SUMIFS(Practices_SubPractices[B],Practices_SubPractices[CP],"8",Practices_SubPractices[Org],"Small"),IF(AND(Practices_SubPractices[CP]=9,Practices_SubPractices[Org] ="Small"),SUMIFS(Practices_SubPractices[B],Practices_SubPractices[CP],"9",Practices_SubPractices[Org],"Small"),IF(AND(Practices_SubPractices[CP]=10,Practices_SubPractices[Org] ="Small"),SUMIFS(Practices_SubPractices[B],Practices_SubPractices[CP],"10",Practices_SubPractices[Org],"Small"),IF(AND(Practices_SubPractices[CP]=1,Practices_SubPractices[Org]="Medium"),SUMIFS(Practices_SubPractices[B],Practices_SubPractices[CP],"1",Practices_SubPractices[Org],"Medium"),IF(AND(Practices_SubPractices[CP]=2,Practices_SubPractices[Org]="Medium"),SUMIFS(Practices_SubPractices[B],Practices_SubPractices[CP],"2",Practices_SubPractices[Org],"Medium"),IF(AND(Practices_SubPractices[CP]=3,Practices_SubPractices[Org]="Medium"),SUMIFS(Practices_SubPractices[B],Practices_SubPractices[CP],"3",Practices_SubPractices[Org],"Medium"),IF(AND(Practices_SubPractices[CP]=4,Practices_SubPractices[Org]="Medium"),SUMIFS(Practices_SubPractices[B],Practices_SubPractices[CP],"4",Practices_SubPractices[Org],"Medium"),IF(AND(Practices_SubPractices[CP]=5,Practices_SubPractices[Org]="Medium"),SUMIFS(Practices_SubPractices[B],Practices_SubPractices[CP],"5",Practices_SubPractices[Org],"Medium"),IF(AND(Practices_SubPractices[CP]=6,Practices_SubPractices[Org]="Medium"),SUMIFS(Practices_SubPractices[B],Practices_SubPractices[CP],"6",Practices_SubPractices[Org],"Medium"),IF(AND(Practices_SubPractices[CP]=7,Practices_SubPractices[Org] ="Medium"),SUMIFS(Practices_SubPractices[B],Practices_SubPractices[CP],"7",Practices_SubPractices[Org],"Medium"),IF(AND(Practices_SubPractices[CP]=8,Practices_SubPractices[Org] ="Medium"),SUMIFS(Practices_SubPractices[B],Practices_SubPractices[CP],"8",Practices_SubPractices[Org],"Medium"),IF(AND(Practices_SubPractices[CP]=9,Practices_SubPractices[Org] ="Medium"),SUMIFS(Practices_SubPractices[B],Practices_SubPractices[CP],"9",Practices_SubPractices[Org],"Medium"),IF(AND(Practices_SubPractices[CP]=10,Practices_SubPractices[Org] ="Medium"),SUMIFS(Practices_SubPractices[B],Practices_SubPractices[CP],"10",Practices_SubPractices[Org],"Medium"),IF(AND(Practices_SubPractices[CP]=1,Practices_SubPractices[Org]="Large"),SUMIFS(Practices_SubPractices[B],Practices_SubPractices[CP],"1",Practices_SubPractices[Org],"Large"),IF(AND(Practices_SubPractices[CP]=2,Practices_SubPractices[Org]="Large"),SUMIFS(Practices_SubPractices[B],Practices_SubPractices[CP],"2",Practices_SubPractices[Org],"Large"),IF(AND(Practices_SubPractices[CP]=3,Practices_SubPractices[Org]="Large"),SUMIFS(Practices_SubPractices[B],Practices_SubPractices[CP],"3",Practices_SubPractices[Org],"Large"),IF(AND(Practices_SubPractices[CP]=4,Practices_SubPractices[Org]="Large"),SUMIFS(Practices_SubPractices[B],Practices_SubPractices[CP],"4",Practices_SubPractices[Org],"Large"),IF(AND(Practices_SubPractices[CP]=5,Practices_SubPractices[Org]="Large"),SUMIFS(Practices_SubPractices[B],Practices_SubPractices[CP],"5",Practices_SubPractices[Org],"Large"),IF(AND(Practices_SubPractices[CP]=6,Practices_SubPractices[Org]="Large"),SUMIFS(Practices_SubPractices[B],Practices_SubPractices[CP],"6",Practices_SubPractices[Org],"Large"),IF(AND(Practices_SubPractices[CP]=7,Practices_SubPractices[Org] ="Large"),SUMIFS(Practices_SubPractices[B],Practices_SubPractices[CP],"7",Practices_SubPractices[Org],"Large"),IF(AND(Practices_SubPractices[CP]=8,Practices_SubPractices[Org] ="Large"),SUMIFS(Practices_SubPractices[B],Practices_SubPractices[CP],"8",Practices_SubPractices[Org],"Large"),IF(AND(Practices_SubPractices[CP]=9,Practices_SubPractices[Org] ="Large"),SUMIFS(Practices_SubPractices[B],Practices_SubPractices[CP],"9",Practices_SubPractices[Org],"Large"),IF(AND(Practices_SubPractices[CP]=10,Practices_SubPractices[Org] ="Large"),SUMIFS(Practices_SubPractices[B],Practices_SubPractices[CP],"10",Practices_SubPractices[Org],"Large"),"TBD"))))))))))))))))))))))))))))))</f>
        <v>3</v>
      </c>
      <c r="P58" s="77">
        <f>IF(AND(Practices_SubPractices[CP]=1,Practices_SubPractices[Org]="Small"),SUMIFS(Practices_SubPractices[C],Practices_SubPractices[CP],"1",Practices_SubPractices[Org],"Small"),IF(AND(Practices_SubPractices[CP]=2,Practices_SubPractices[Org]="Small"),SUMIFS(Practices_SubPractices[C],Practices_SubPractices[CP],"2",Practices_SubPractices[Org],"Small"),IF(AND(Practices_SubPractices[CP]=3,Practices_SubPractices[Org]="Small"),SUMIFS(Practices_SubPractices[C],Practices_SubPractices[CP],"3",Practices_SubPractices[Org],"Small"),IF(AND(Practices_SubPractices[CP]=4,Practices_SubPractices[Org]="Small"),SUMIFS(Practices_SubPractices[C],Practices_SubPractices[CP],"4",Practices_SubPractices[Org],"Small"),IF(AND(Practices_SubPractices[CP]=5,Practices_SubPractices[Org]="Small"),SUMIFS(Practices_SubPractices[C],Practices_SubPractices[CP],"5",Practices_SubPractices[Org],"Small"),IF(AND(Practices_SubPractices[CP]=6,Practices_SubPractices[Org]="Small"),SUMIFS(Practices_SubPractices[C],Practices_SubPractices[CP],"6",Practices_SubPractices[Org],"Small"),IF(AND(Practices_SubPractices[CP]=7,Practices_SubPractices[Org] ="Small"),SUMIFS(Practices_SubPractices[C],Practices_SubPractices[CP],"7",Practices_SubPractices[Org],"Small"),IF(AND(Practices_SubPractices[CP]=8,Practices_SubPractices[Org] ="Small"),SUMIFS(Practices_SubPractices[C],Practices_SubPractices[CP],"8",Practices_SubPractices[Org],"Small"),IF(AND(Practices_SubPractices[CP]=9,Practices_SubPractices[Org] ="Small"),SUMIFS(Practices_SubPractices[C],Practices_SubPractices[CP],"9",Practices_SubPractices[Org],"Small"),IF(AND(Practices_SubPractices[CP]=10,Practices_SubPractices[Org] ="Small"),SUMIFS(Practices_SubPractices[C],Practices_SubPractices[CP],"10",Practices_SubPractices[Org],"Small"),IF(AND(Practices_SubPractices[CP]=1,Practices_SubPractices[Org]="Medium"),SUMIFS(Practices_SubPractices[C],Practices_SubPractices[CP],"1",Practices_SubPractices[Org],"Medium"),IF(AND(Practices_SubPractices[CP]=2,Practices_SubPractices[Org]="Medium"),SUMIFS(Practices_SubPractices[C],Practices_SubPractices[CP],"2",Practices_SubPractices[Org],"Medium"),IF(AND(Practices_SubPractices[CP]=3,Practices_SubPractices[Org]="Medium"),SUMIFS(Practices_SubPractices[C],Practices_SubPractices[CP],"3",Practices_SubPractices[Org],"Medium"),IF(AND(Practices_SubPractices[CP]=4,Practices_SubPractices[Org]="Medium"),SUMIFS(Practices_SubPractices[C],Practices_SubPractices[CP],"4",Practices_SubPractices[Org],"Medium"),IF(AND(Practices_SubPractices[CP]=5,Practices_SubPractices[Org]="Medium"),SUMIFS(Practices_SubPractices[C],Practices_SubPractices[CP],"5",Practices_SubPractices[Org],"Medium"),IF(AND(Practices_SubPractices[CP]=6,Practices_SubPractices[Org]="Medium"),SUMIFS(Practices_SubPractices[C],Practices_SubPractices[CP],"6",Practices_SubPractices[Org],"Medium"),IF(AND(Practices_SubPractices[CP]=7,Practices_SubPractices[Org] ="Medium"),SUMIFS(Practices_SubPractices[C],Practices_SubPractices[CP],"7",Practices_SubPractices[Org],"Medium"),IF(AND(Practices_SubPractices[CP]=8,Practices_SubPractices[Org] ="Medium"),SUMIFS(Practices_SubPractices[C],Practices_SubPractices[CP],"8",Practices_SubPractices[Org],"Medium"),IF(AND(Practices_SubPractices[CP]=9,Practices_SubPractices[Org] ="Medium"),SUMIFS(Practices_SubPractices[C],Practices_SubPractices[CP],"9",Practices_SubPractices[Org],"Medium"),IF(AND(Practices_SubPractices[CP]=10,Practices_SubPractices[Org] ="Medium"),SUMIFS(Practices_SubPractices[C],Practices_SubPractices[CP],"10",Practices_SubPractices[Org],"Medium"),IF(AND(Practices_SubPractices[CP]=1,Practices_SubPractices[Org]="Large"),SUMIFS(Practices_SubPractices[C],Practices_SubPractices[CP],"1",Practices_SubPractices[Org],"Large"),IF(AND(Practices_SubPractices[CP]=2,Practices_SubPractices[Org]="Large"),SUMIFS(Practices_SubPractices[C],Practices_SubPractices[CP],"2",Practices_SubPractices[Org],"Large"),IF(AND(Practices_SubPractices[CP]=3,Practices_SubPractices[Org]="Large"),SUMIFS(Practices_SubPractices[C],Practices_SubPractices[CP],"3",Practices_SubPractices[Org],"Large"),IF(AND(Practices_SubPractices[CP]=4,Practices_SubPractices[Org]="Large"),SUMIFS(Practices_SubPractices[C],Practices_SubPractices[CP],"4",Practices_SubPractices[Org],"Large"),IF(AND(Practices_SubPractices[CP]=5,Practices_SubPractices[Org]="Large"),SUMIFS(Practices_SubPractices[C],Practices_SubPractices[CP],"5",Practices_SubPractices[Org],"Large"),IF(AND(Practices_SubPractices[CP]=6,Practices_SubPractices[Org]="Large"),SUMIFS(Practices_SubPractices[C],Practices_SubPractices[CP],"6",Practices_SubPractices[Org],"Large"),IF(AND(Practices_SubPractices[CP]=7,Practices_SubPractices[Org] ="Large"),SUMIFS(Practices_SubPractices[C],Practices_SubPractices[CP],"7",Practices_SubPractices[Org],"Large"),IF(AND(Practices_SubPractices[CP]=8,Practices_SubPractices[Org] ="Large"),SUMIFS(Practices_SubPractices[C],Practices_SubPractices[CP],"8",Practices_SubPractices[Org],"Large"),IF(AND(Practices_SubPractices[CP]=9,Practices_SubPractices[Org] ="Large"),SUMIFS(Practices_SubPractices[C],Practices_SubPractices[CP],"9",Practices_SubPractices[Org],"Large"),IF(AND(Practices_SubPractices[CP]=10,Practices_SubPractices[Org] ="Large"),SUMIFS(Practices_SubPractices[C],Practices_SubPractices[CP],"10",Practices_SubPractices[Org],"Large"),"TBD"))))))))))))))))))))))))))))))</f>
        <v>8</v>
      </c>
      <c r="Q58" s="77">
        <f>IF(AND(Practices_SubPractices[CP]=1,Practices_SubPractices[Org]="Small"),SUMIFS(Practices_SubPractices[D],Practices_SubPractices[CP],"1",Practices_SubPractices[Org],"Small"),IF(AND(Practices_SubPractices[CP]=2,Practices_SubPractices[Org]="Small"),SUMIFS(Practices_SubPractices[D],Practices_SubPractices[CP],"2",Practices_SubPractices[Org],"Small"),IF(AND(Practices_SubPractices[CP]=3,Practices_SubPractices[Org]="Small"),SUMIFS(Practices_SubPractices[D],Practices_SubPractices[CP],"3",Practices_SubPractices[Org],"Small"),IF(AND(Practices_SubPractices[CP]=4,Practices_SubPractices[Org]="Small"),SUMIFS(Practices_SubPractices[D],Practices_SubPractices[CP],"4",Practices_SubPractices[Org],"Small"),IF(AND(Practices_SubPractices[CP]=5,Practices_SubPractices[Org]="Small"),SUMIFS(Practices_SubPractices[D],Practices_SubPractices[CP],"5",Practices_SubPractices[Org],"Small"),IF(AND(Practices_SubPractices[CP]=6,Practices_SubPractices[Org]="Small"),SUMIFS(Practices_SubPractices[D],Practices_SubPractices[CP],"6",Practices_SubPractices[Org],"Small"),IF(AND(Practices_SubPractices[CP]=7,Practices_SubPractices[Org] ="Small"),SUMIFS(Practices_SubPractices[D],Practices_SubPractices[CP],"7",Practices_SubPractices[Org],"Small"),IF(AND(Practices_SubPractices[CP]=8,Practices_SubPractices[Org] ="Small"),SUMIFS(Practices_SubPractices[D],Practices_SubPractices[CP],"8",Practices_SubPractices[Org],"Small"),IF(AND(Practices_SubPractices[CP]=9,Practices_SubPractices[Org] ="Small"),SUMIFS(Practices_SubPractices[D],Practices_SubPractices[CP],"9",Practices_SubPractices[Org],"Small"),IF(AND(Practices_SubPractices[CP]=10,Practices_SubPractices[Org] ="Small"),SUMIFS(Practices_SubPractices[D],Practices_SubPractices[CP],"10",Practices_SubPractices[Org],"Small"),IF(AND(Practices_SubPractices[CP]=1,Practices_SubPractices[Org]="Medium"),SUMIFS(Practices_SubPractices[D],Practices_SubPractices[CP],"1",Practices_SubPractices[Org],"Medium"),IF(AND(Practices_SubPractices[CP]=2,Practices_SubPractices[Org]="Medium"),SUMIFS(Practices_SubPractices[D],Practices_SubPractices[CP],"2",Practices_SubPractices[Org],"Medium"),IF(AND(Practices_SubPractices[CP]=3,Practices_SubPractices[Org]="Medium"),SUMIFS(Practices_SubPractices[D],Practices_SubPractices[CP],"3",Practices_SubPractices[Org],"Medium"),IF(AND(Practices_SubPractices[CP]=4,Practices_SubPractices[Org]="Medium"),SUMIFS(Practices_SubPractices[D],Practices_SubPractices[CP],"4",Practices_SubPractices[Org],"Medium"),IF(AND(Practices_SubPractices[CP]=5,Practices_SubPractices[Org]="Medium"),SUMIFS(Practices_SubPractices[D],Practices_SubPractices[CP],"5",Practices_SubPractices[Org],"Medium"),IF(AND(Practices_SubPractices[CP]=6,Practices_SubPractices[Org]="Medium"),SUMIFS(Practices_SubPractices[D],Practices_SubPractices[CP],"6",Practices_SubPractices[Org],"Medium"),IF(AND(Practices_SubPractices[CP]=7,Practices_SubPractices[Org] ="Medium"),SUMIFS(Practices_SubPractices[D],Practices_SubPractices[CP],"7",Practices_SubPractices[Org],"Medium"),IF(AND(Practices_SubPractices[CP]=8,Practices_SubPractices[Org] ="Medium"),SUMIFS(Practices_SubPractices[D],Practices_SubPractices[CP],"8",Practices_SubPractices[Org],"Medium"),IF(AND(Practices_SubPractices[CP]=9,Practices_SubPractices[Org] ="Medium"),SUMIFS(Practices_SubPractices[D],Practices_SubPractices[CP],"9",Practices_SubPractices[Org],"Medium"),IF(AND(Practices_SubPractices[CP]=10,Practices_SubPractices[Org] ="Medium"),SUMIFS(Practices_SubPractices[D],Practices_SubPractices[CP],"10",Practices_SubPractices[Org],"Medium"),IF(AND(Practices_SubPractices[CP]=1,Practices_SubPractices[Org]="Large"),SUMIFS(Practices_SubPractices[D],Practices_SubPractices[CP],"1",Practices_SubPractices[Org],"Large"),IF(AND(Practices_SubPractices[CP]=2,Practices_SubPractices[Org]="Large"),SUMIFS(Practices_SubPractices[D],Practices_SubPractices[CP],"2",Practices_SubPractices[Org],"Large"),IF(AND(Practices_SubPractices[CP]=3,Practices_SubPractices[Org]="Large"),SUMIFS(Practices_SubPractices[D],Practices_SubPractices[CP],"3",Practices_SubPractices[Org],"Large"),IF(AND(Practices_SubPractices[CP]=4,Practices_SubPractices[Org]="Large"),SUMIFS(Practices_SubPractices[D],Practices_SubPractices[CP],"4",Practices_SubPractices[Org],"Large"),IF(AND(Practices_SubPractices[CP]=5,Practices_SubPractices[Org]="Large"),SUMIFS(Practices_SubPractices[D],Practices_SubPractices[CP],"5",Practices_SubPractices[Org],"Large"),IF(AND(Practices_SubPractices[CP]=6,Practices_SubPractices[Org]="Large"),SUMIFS(Practices_SubPractices[D],Practices_SubPractices[CP],"6",Practices_SubPractices[Org],"Large"),IF(AND(Practices_SubPractices[CP]=7,Practices_SubPractices[Org] ="Large"),SUMIFS(Practices_SubPractices[D],Practices_SubPractices[CP],"7",Practices_SubPractices[Org],"Large"),IF(AND(Practices_SubPractices[CP]=8,Practices_SubPractices[Org] ="Large"),SUMIFS(Practices_SubPractices[D],Practices_SubPractices[CP],"8",Practices_SubPractices[Org],"Large"),IF(AND(Practices_SubPractices[CP]=9,Practices_SubPractices[Org] ="Large"),SUMIFS(Practices_SubPractices[D],Practices_SubPractices[CP],"9",Practices_SubPractices[Org],"Large"),IF(AND(Practices_SubPractices[CP]=10,Practices_SubPractices[Org] ="Large"),SUMIFS(Practices_SubPractices[D],Practices_SubPractices[CP],"10",Practices_SubPractices[Org],"Large"),"TBD"))))))))))))))))))))))))))))))</f>
        <v>7</v>
      </c>
      <c r="R58" s="77">
        <f>IF(AND(Practices_SubPractices[CP]=1,Practices_SubPractices[Org]="Small"),SUMIFS(Practices_SubPractices[E],Practices_SubPractices[CP],"1",Practices_SubPractices[Org],"Small"),IF(AND(Practices_SubPractices[CP]=2,Practices_SubPractices[Org]="Small"),SUMIFS(Practices_SubPractices[E],Practices_SubPractices[CP],"2",Practices_SubPractices[Org],"Small"),IF(AND(Practices_SubPractices[CP]=3,Practices_SubPractices[Org]="Small"),SUMIFS(Practices_SubPractices[E],Practices_SubPractices[CP],"3",Practices_SubPractices[Org],"Small"),IF(AND(Practices_SubPractices[CP]=4,Practices_SubPractices[Org]="Small"),SUMIFS(Practices_SubPractices[E],Practices_SubPractices[CP],"4",Practices_SubPractices[Org],"Small"),IF(AND(Practices_SubPractices[CP]=5,Practices_SubPractices[Org]="Small"),SUMIFS(Practices_SubPractices[E],Practices_SubPractices[CP],"5",Practices_SubPractices[Org],"Small"),IF(AND(Practices_SubPractices[CP]=6,Practices_SubPractices[Org]="Small"),SUMIFS(Practices_SubPractices[E],Practices_SubPractices[CP],"6",Practices_SubPractices[Org],"Small"),IF(AND(Practices_SubPractices[CP]=7,Practices_SubPractices[Org] ="Small"),SUMIFS(Practices_SubPractices[E],Practices_SubPractices[CP],"7",Practices_SubPractices[Org],"Small"),IF(AND(Practices_SubPractices[CP]=8,Practices_SubPractices[Org] ="Small"),SUMIFS(Practices_SubPractices[E],Practices_SubPractices[CP],"8",Practices_SubPractices[Org],"Small"),IF(AND(Practices_SubPractices[CP]=9,Practices_SubPractices[Org] ="Small"),SUMIFS(Practices_SubPractices[E],Practices_SubPractices[CP],"9",Practices_SubPractices[Org],"Small"),IF(AND(Practices_SubPractices[CP]=10,Practices_SubPractices[Org] ="Small"),SUMIFS(Practices_SubPractices[E],Practices_SubPractices[CP],"10",Practices_SubPractices[Org],"Small"),IF(AND(Practices_SubPractices[CP]=1,Practices_SubPractices[Org]="Medium"),SUMIFS(Practices_SubPractices[E],Practices_SubPractices[CP],"1",Practices_SubPractices[Org],"Medium"),IF(AND(Practices_SubPractices[CP]=2,Practices_SubPractices[Org]="Medium"),SUMIFS(Practices_SubPractices[E],Practices_SubPractices[CP],"2",Practices_SubPractices[Org],"Medium"),IF(AND(Practices_SubPractices[CP]=3,Practices_SubPractices[Org]="Medium"),SUMIFS(Practices_SubPractices[E],Practices_SubPractices[CP],"3",Practices_SubPractices[Org],"Medium"),IF(AND(Practices_SubPractices[CP]=4,Practices_SubPractices[Org]="Medium"),SUMIFS(Practices_SubPractices[E],Practices_SubPractices[CP],"4",Practices_SubPractices[Org],"Medium"),IF(AND(Practices_SubPractices[CP]=5,Practices_SubPractices[Org]="Medium"),SUMIFS(Practices_SubPractices[E],Practices_SubPractices[CP],"5",Practices_SubPractices[Org],"Medium"),IF(AND(Practices_SubPractices[CP]=6,Practices_SubPractices[Org]="Medium"),SUMIFS(Practices_SubPractices[E],Practices_SubPractices[CP],"6",Practices_SubPractices[Org],"Medium"),IF(AND(Practices_SubPractices[CP]=7,Practices_SubPractices[Org] ="Medium"),SUMIFS(Practices_SubPractices[E],Practices_SubPractices[CP],"7",Practices_SubPractices[Org],"Medium"),IF(AND(Practices_SubPractices[CP]=8,Practices_SubPractices[Org] ="Medium"),SUMIFS(Practices_SubPractices[E],Practices_SubPractices[CP],"8",Practices_SubPractices[Org],"Medium"),IF(AND(Practices_SubPractices[CP]=9,Practices_SubPractices[Org] ="Medium"),SUMIFS(Practices_SubPractices[E],Practices_SubPractices[CP],"9",Practices_SubPractices[Org],"Medium"),IF(AND(Practices_SubPractices[CP]=10,Practices_SubPractices[Org] ="Medium"),SUMIFS(Practices_SubPractices[E],Practices_SubPractices[CP],"10",Practices_SubPractices[Org],"Medium"),IF(AND(Practices_SubPractices[CP]=1,Practices_SubPractices[Org]="Large"),SUMIFS(Practices_SubPractices[E],Practices_SubPractices[CP],"1",Practices_SubPractices[Org],"Large"),IF(AND(Practices_SubPractices[CP]=2,Practices_SubPractices[Org]="Large"),SUMIFS(Practices_SubPractices[E],Practices_SubPractices[CP],"2",Practices_SubPractices[Org],"Large"),IF(AND(Practices_SubPractices[CP]=3,Practices_SubPractices[Org]="Large"),SUMIFS(Practices_SubPractices[E],Practices_SubPractices[CP],"3",Practices_SubPractices[Org],"Large"),IF(AND(Practices_SubPractices[CP]=4,Practices_SubPractices[Org]="Large"),SUMIFS(Practices_SubPractices[E],Practices_SubPractices[CP],"4",Practices_SubPractices[Org],"Large"),IF(AND(Practices_SubPractices[CP]=5,Practices_SubPractices[Org]="Large"),SUMIFS(Practices_SubPractices[E],Practices_SubPractices[CP],"5",Practices_SubPractices[Org],"Large"),IF(AND(Practices_SubPractices[CP]=6,Practices_SubPractices[Org]="Large"),SUMIFS(Practices_SubPractices[E],Practices_SubPractices[CP],"6",Practices_SubPractices[Org],"Large"),IF(AND(Practices_SubPractices[CP]=7,Practices_SubPractices[Org] ="Large"),SUMIFS(Practices_SubPractices[E],Practices_SubPractices[CP],"7",Practices_SubPractices[Org],"Large"),IF(AND(Practices_SubPractices[CP]=8,Practices_SubPractices[Org] ="Large"),SUMIFS(Practices_SubPractices[E],Practices_SubPractices[CP],"8",Practices_SubPractices[Org],"Large"),IF(AND(Practices_SubPractices[CP]=9,Practices_SubPractices[Org] ="Large"),SUMIFS(Practices_SubPractices[E],Practices_SubPractices[CP],"9",Practices_SubPractices[Org],"Large"),IF(AND(Practices_SubPractices[CP]=10,Practices_SubPractices[Org] ="Large"),SUMIFS(Practices_SubPractices[E],Practices_SubPractices[CP],"10",Practices_SubPractices[Org],"Large"),"TBD"))))))))))))))))))))))))))))))</f>
        <v>3</v>
      </c>
      <c r="S58" s="87" t="s">
        <v>394</v>
      </c>
    </row>
    <row r="59" spans="1:19" x14ac:dyDescent="0.35">
      <c r="A59" s="73">
        <v>49</v>
      </c>
      <c r="B59" s="73">
        <v>5</v>
      </c>
      <c r="C59" s="73" t="s">
        <v>12</v>
      </c>
      <c r="D59" s="73" t="str">
        <f>Practices_SubPractices[[#This Row],[CP]]&amp;LEFT(Practices_SubPractices[[#This Row],[Org]],1)</f>
        <v>5L</v>
      </c>
      <c r="E59" s="73" t="s">
        <v>265</v>
      </c>
      <c r="F59" s="74" t="s">
        <v>16</v>
      </c>
      <c r="G59" s="74" t="s">
        <v>109</v>
      </c>
      <c r="H59" s="74" t="s">
        <v>226</v>
      </c>
      <c r="I59" s="75">
        <v>0</v>
      </c>
      <c r="J59" s="75">
        <v>1</v>
      </c>
      <c r="K59" s="75">
        <v>2</v>
      </c>
      <c r="L59" s="75">
        <v>2</v>
      </c>
      <c r="M59" s="75">
        <v>0</v>
      </c>
      <c r="N59" s="76"/>
      <c r="O59" s="77">
        <f>IF(AND(Practices_SubPractices[CP]=1,Practices_SubPractices[Org]="Small"),SUMIFS(Practices_SubPractices[B],Practices_SubPractices[CP],"1",Practices_SubPractices[Org],"Small"),IF(AND(Practices_SubPractices[CP]=2,Practices_SubPractices[Org]="Small"),SUMIFS(Practices_SubPractices[B],Practices_SubPractices[CP],"2",Practices_SubPractices[Org],"Small"),IF(AND(Practices_SubPractices[CP]=3,Practices_SubPractices[Org]="Small"),SUMIFS(Practices_SubPractices[B],Practices_SubPractices[CP],"3",Practices_SubPractices[Org],"Small"),IF(AND(Practices_SubPractices[CP]=4,Practices_SubPractices[Org]="Small"),SUMIFS(Practices_SubPractices[B],Practices_SubPractices[CP],"4",Practices_SubPractices[Org],"Small"),IF(AND(Practices_SubPractices[CP]=5,Practices_SubPractices[Org]="Small"),SUMIFS(Practices_SubPractices[B],Practices_SubPractices[CP],"5",Practices_SubPractices[Org],"Small"),IF(AND(Practices_SubPractices[CP]=6,Practices_SubPractices[Org]="Small"),SUMIFS(Practices_SubPractices[B],Practices_SubPractices[CP],"6",Practices_SubPractices[Org],"Small"),IF(AND(Practices_SubPractices[CP]=7,Practices_SubPractices[Org] ="Small"),SUMIFS(Practices_SubPractices[B],Practices_SubPractices[CP],"7",Practices_SubPractices[Org],"Small"),IF(AND(Practices_SubPractices[CP]=8,Practices_SubPractices[Org] ="Small"),SUMIFS(Practices_SubPractices[B],Practices_SubPractices[CP],"8",Practices_SubPractices[Org],"Small"),IF(AND(Practices_SubPractices[CP]=9,Practices_SubPractices[Org] ="Small"),SUMIFS(Practices_SubPractices[B],Practices_SubPractices[CP],"9",Practices_SubPractices[Org],"Small"),IF(AND(Practices_SubPractices[CP]=10,Practices_SubPractices[Org] ="Small"),SUMIFS(Practices_SubPractices[B],Practices_SubPractices[CP],"10",Practices_SubPractices[Org],"Small"),IF(AND(Practices_SubPractices[CP]=1,Practices_SubPractices[Org]="Medium"),SUMIFS(Practices_SubPractices[B],Practices_SubPractices[CP],"1",Practices_SubPractices[Org],"Medium"),IF(AND(Practices_SubPractices[CP]=2,Practices_SubPractices[Org]="Medium"),SUMIFS(Practices_SubPractices[B],Practices_SubPractices[CP],"2",Practices_SubPractices[Org],"Medium"),IF(AND(Practices_SubPractices[CP]=3,Practices_SubPractices[Org]="Medium"),SUMIFS(Practices_SubPractices[B],Practices_SubPractices[CP],"3",Practices_SubPractices[Org],"Medium"),IF(AND(Practices_SubPractices[CP]=4,Practices_SubPractices[Org]="Medium"),SUMIFS(Practices_SubPractices[B],Practices_SubPractices[CP],"4",Practices_SubPractices[Org],"Medium"),IF(AND(Practices_SubPractices[CP]=5,Practices_SubPractices[Org]="Medium"),SUMIFS(Practices_SubPractices[B],Practices_SubPractices[CP],"5",Practices_SubPractices[Org],"Medium"),IF(AND(Practices_SubPractices[CP]=6,Practices_SubPractices[Org]="Medium"),SUMIFS(Practices_SubPractices[B],Practices_SubPractices[CP],"6",Practices_SubPractices[Org],"Medium"),IF(AND(Practices_SubPractices[CP]=7,Practices_SubPractices[Org] ="Medium"),SUMIFS(Practices_SubPractices[B],Practices_SubPractices[CP],"7",Practices_SubPractices[Org],"Medium"),IF(AND(Practices_SubPractices[CP]=8,Practices_SubPractices[Org] ="Medium"),SUMIFS(Practices_SubPractices[B],Practices_SubPractices[CP],"8",Practices_SubPractices[Org],"Medium"),IF(AND(Practices_SubPractices[CP]=9,Practices_SubPractices[Org] ="Medium"),SUMIFS(Practices_SubPractices[B],Practices_SubPractices[CP],"9",Practices_SubPractices[Org],"Medium"),IF(AND(Practices_SubPractices[CP]=10,Practices_SubPractices[Org] ="Medium"),SUMIFS(Practices_SubPractices[B],Practices_SubPractices[CP],"10",Practices_SubPractices[Org],"Medium"),IF(AND(Practices_SubPractices[CP]=1,Practices_SubPractices[Org]="Large"),SUMIFS(Practices_SubPractices[B],Practices_SubPractices[CP],"1",Practices_SubPractices[Org],"Large"),IF(AND(Practices_SubPractices[CP]=2,Practices_SubPractices[Org]="Large"),SUMIFS(Practices_SubPractices[B],Practices_SubPractices[CP],"2",Practices_SubPractices[Org],"Large"),IF(AND(Practices_SubPractices[CP]=3,Practices_SubPractices[Org]="Large"),SUMIFS(Practices_SubPractices[B],Practices_SubPractices[CP],"3",Practices_SubPractices[Org],"Large"),IF(AND(Practices_SubPractices[CP]=4,Practices_SubPractices[Org]="Large"),SUMIFS(Practices_SubPractices[B],Practices_SubPractices[CP],"4",Practices_SubPractices[Org],"Large"),IF(AND(Practices_SubPractices[CP]=5,Practices_SubPractices[Org]="Large"),SUMIFS(Practices_SubPractices[B],Practices_SubPractices[CP],"5",Practices_SubPractices[Org],"Large"),IF(AND(Practices_SubPractices[CP]=6,Practices_SubPractices[Org]="Large"),SUMIFS(Practices_SubPractices[B],Practices_SubPractices[CP],"6",Practices_SubPractices[Org],"Large"),IF(AND(Practices_SubPractices[CP]=7,Practices_SubPractices[Org] ="Large"),SUMIFS(Practices_SubPractices[B],Practices_SubPractices[CP],"7",Practices_SubPractices[Org],"Large"),IF(AND(Practices_SubPractices[CP]=8,Practices_SubPractices[Org] ="Large"),SUMIFS(Practices_SubPractices[B],Practices_SubPractices[CP],"8",Practices_SubPractices[Org],"Large"),IF(AND(Practices_SubPractices[CP]=9,Practices_SubPractices[Org] ="Large"),SUMIFS(Practices_SubPractices[B],Practices_SubPractices[CP],"9",Practices_SubPractices[Org],"Large"),IF(AND(Practices_SubPractices[CP]=10,Practices_SubPractices[Org] ="Large"),SUMIFS(Practices_SubPractices[B],Practices_SubPractices[CP],"10",Practices_SubPractices[Org],"Large"),"TBD"))))))))))))))))))))))))))))))</f>
        <v>6</v>
      </c>
      <c r="P59" s="77">
        <f>IF(AND(Practices_SubPractices[CP]=1,Practices_SubPractices[Org]="Small"),SUMIFS(Practices_SubPractices[C],Practices_SubPractices[CP],"1",Practices_SubPractices[Org],"Small"),IF(AND(Practices_SubPractices[CP]=2,Practices_SubPractices[Org]="Small"),SUMIFS(Practices_SubPractices[C],Practices_SubPractices[CP],"2",Practices_SubPractices[Org],"Small"),IF(AND(Practices_SubPractices[CP]=3,Practices_SubPractices[Org]="Small"),SUMIFS(Practices_SubPractices[C],Practices_SubPractices[CP],"3",Practices_SubPractices[Org],"Small"),IF(AND(Practices_SubPractices[CP]=4,Practices_SubPractices[Org]="Small"),SUMIFS(Practices_SubPractices[C],Practices_SubPractices[CP],"4",Practices_SubPractices[Org],"Small"),IF(AND(Practices_SubPractices[CP]=5,Practices_SubPractices[Org]="Small"),SUMIFS(Practices_SubPractices[C],Practices_SubPractices[CP],"5",Practices_SubPractices[Org],"Small"),IF(AND(Practices_SubPractices[CP]=6,Practices_SubPractices[Org]="Small"),SUMIFS(Practices_SubPractices[C],Practices_SubPractices[CP],"6",Practices_SubPractices[Org],"Small"),IF(AND(Practices_SubPractices[CP]=7,Practices_SubPractices[Org] ="Small"),SUMIFS(Practices_SubPractices[C],Practices_SubPractices[CP],"7",Practices_SubPractices[Org],"Small"),IF(AND(Practices_SubPractices[CP]=8,Practices_SubPractices[Org] ="Small"),SUMIFS(Practices_SubPractices[C],Practices_SubPractices[CP],"8",Practices_SubPractices[Org],"Small"),IF(AND(Practices_SubPractices[CP]=9,Practices_SubPractices[Org] ="Small"),SUMIFS(Practices_SubPractices[C],Practices_SubPractices[CP],"9",Practices_SubPractices[Org],"Small"),IF(AND(Practices_SubPractices[CP]=10,Practices_SubPractices[Org] ="Small"),SUMIFS(Practices_SubPractices[C],Practices_SubPractices[CP],"10",Practices_SubPractices[Org],"Small"),IF(AND(Practices_SubPractices[CP]=1,Practices_SubPractices[Org]="Medium"),SUMIFS(Practices_SubPractices[C],Practices_SubPractices[CP],"1",Practices_SubPractices[Org],"Medium"),IF(AND(Practices_SubPractices[CP]=2,Practices_SubPractices[Org]="Medium"),SUMIFS(Practices_SubPractices[C],Practices_SubPractices[CP],"2",Practices_SubPractices[Org],"Medium"),IF(AND(Practices_SubPractices[CP]=3,Practices_SubPractices[Org]="Medium"),SUMIFS(Practices_SubPractices[C],Practices_SubPractices[CP],"3",Practices_SubPractices[Org],"Medium"),IF(AND(Practices_SubPractices[CP]=4,Practices_SubPractices[Org]="Medium"),SUMIFS(Practices_SubPractices[C],Practices_SubPractices[CP],"4",Practices_SubPractices[Org],"Medium"),IF(AND(Practices_SubPractices[CP]=5,Practices_SubPractices[Org]="Medium"),SUMIFS(Practices_SubPractices[C],Practices_SubPractices[CP],"5",Practices_SubPractices[Org],"Medium"),IF(AND(Practices_SubPractices[CP]=6,Practices_SubPractices[Org]="Medium"),SUMIFS(Practices_SubPractices[C],Practices_SubPractices[CP],"6",Practices_SubPractices[Org],"Medium"),IF(AND(Practices_SubPractices[CP]=7,Practices_SubPractices[Org] ="Medium"),SUMIFS(Practices_SubPractices[C],Practices_SubPractices[CP],"7",Practices_SubPractices[Org],"Medium"),IF(AND(Practices_SubPractices[CP]=8,Practices_SubPractices[Org] ="Medium"),SUMIFS(Practices_SubPractices[C],Practices_SubPractices[CP],"8",Practices_SubPractices[Org],"Medium"),IF(AND(Practices_SubPractices[CP]=9,Practices_SubPractices[Org] ="Medium"),SUMIFS(Practices_SubPractices[C],Practices_SubPractices[CP],"9",Practices_SubPractices[Org],"Medium"),IF(AND(Practices_SubPractices[CP]=10,Practices_SubPractices[Org] ="Medium"),SUMIFS(Practices_SubPractices[C],Practices_SubPractices[CP],"10",Practices_SubPractices[Org],"Medium"),IF(AND(Practices_SubPractices[CP]=1,Practices_SubPractices[Org]="Large"),SUMIFS(Practices_SubPractices[C],Practices_SubPractices[CP],"1",Practices_SubPractices[Org],"Large"),IF(AND(Practices_SubPractices[CP]=2,Practices_SubPractices[Org]="Large"),SUMIFS(Practices_SubPractices[C],Practices_SubPractices[CP],"2",Practices_SubPractices[Org],"Large"),IF(AND(Practices_SubPractices[CP]=3,Practices_SubPractices[Org]="Large"),SUMIFS(Practices_SubPractices[C],Practices_SubPractices[CP],"3",Practices_SubPractices[Org],"Large"),IF(AND(Practices_SubPractices[CP]=4,Practices_SubPractices[Org]="Large"),SUMIFS(Practices_SubPractices[C],Practices_SubPractices[CP],"4",Practices_SubPractices[Org],"Large"),IF(AND(Practices_SubPractices[CP]=5,Practices_SubPractices[Org]="Large"),SUMIFS(Practices_SubPractices[C],Practices_SubPractices[CP],"5",Practices_SubPractices[Org],"Large"),IF(AND(Practices_SubPractices[CP]=6,Practices_SubPractices[Org]="Large"),SUMIFS(Practices_SubPractices[C],Practices_SubPractices[CP],"6",Practices_SubPractices[Org],"Large"),IF(AND(Practices_SubPractices[CP]=7,Practices_SubPractices[Org] ="Large"),SUMIFS(Practices_SubPractices[C],Practices_SubPractices[CP],"7",Practices_SubPractices[Org],"Large"),IF(AND(Practices_SubPractices[CP]=8,Practices_SubPractices[Org] ="Large"),SUMIFS(Practices_SubPractices[C],Practices_SubPractices[CP],"8",Practices_SubPractices[Org],"Large"),IF(AND(Practices_SubPractices[CP]=9,Practices_SubPractices[Org] ="Large"),SUMIFS(Practices_SubPractices[C],Practices_SubPractices[CP],"9",Practices_SubPractices[Org],"Large"),IF(AND(Practices_SubPractices[CP]=10,Practices_SubPractices[Org] ="Large"),SUMIFS(Practices_SubPractices[C],Practices_SubPractices[CP],"10",Practices_SubPractices[Org],"Large"),"TBD"))))))))))))))))))))))))))))))</f>
        <v>12</v>
      </c>
      <c r="Q59" s="77">
        <f>IF(AND(Practices_SubPractices[CP]=1,Practices_SubPractices[Org]="Small"),SUMIFS(Practices_SubPractices[D],Practices_SubPractices[CP],"1",Practices_SubPractices[Org],"Small"),IF(AND(Practices_SubPractices[CP]=2,Practices_SubPractices[Org]="Small"),SUMIFS(Practices_SubPractices[D],Practices_SubPractices[CP],"2",Practices_SubPractices[Org],"Small"),IF(AND(Practices_SubPractices[CP]=3,Practices_SubPractices[Org]="Small"),SUMIFS(Practices_SubPractices[D],Practices_SubPractices[CP],"3",Practices_SubPractices[Org],"Small"),IF(AND(Practices_SubPractices[CP]=4,Practices_SubPractices[Org]="Small"),SUMIFS(Practices_SubPractices[D],Practices_SubPractices[CP],"4",Practices_SubPractices[Org],"Small"),IF(AND(Practices_SubPractices[CP]=5,Practices_SubPractices[Org]="Small"),SUMIFS(Practices_SubPractices[D],Practices_SubPractices[CP],"5",Practices_SubPractices[Org],"Small"),IF(AND(Practices_SubPractices[CP]=6,Practices_SubPractices[Org]="Small"),SUMIFS(Practices_SubPractices[D],Practices_SubPractices[CP],"6",Practices_SubPractices[Org],"Small"),IF(AND(Practices_SubPractices[CP]=7,Practices_SubPractices[Org] ="Small"),SUMIFS(Practices_SubPractices[D],Practices_SubPractices[CP],"7",Practices_SubPractices[Org],"Small"),IF(AND(Practices_SubPractices[CP]=8,Practices_SubPractices[Org] ="Small"),SUMIFS(Practices_SubPractices[D],Practices_SubPractices[CP],"8",Practices_SubPractices[Org],"Small"),IF(AND(Practices_SubPractices[CP]=9,Practices_SubPractices[Org] ="Small"),SUMIFS(Practices_SubPractices[D],Practices_SubPractices[CP],"9",Practices_SubPractices[Org],"Small"),IF(AND(Practices_SubPractices[CP]=10,Practices_SubPractices[Org] ="Small"),SUMIFS(Practices_SubPractices[D],Practices_SubPractices[CP],"10",Practices_SubPractices[Org],"Small"),IF(AND(Practices_SubPractices[CP]=1,Practices_SubPractices[Org]="Medium"),SUMIFS(Practices_SubPractices[D],Practices_SubPractices[CP],"1",Practices_SubPractices[Org],"Medium"),IF(AND(Practices_SubPractices[CP]=2,Practices_SubPractices[Org]="Medium"),SUMIFS(Practices_SubPractices[D],Practices_SubPractices[CP],"2",Practices_SubPractices[Org],"Medium"),IF(AND(Practices_SubPractices[CP]=3,Practices_SubPractices[Org]="Medium"),SUMIFS(Practices_SubPractices[D],Practices_SubPractices[CP],"3",Practices_SubPractices[Org],"Medium"),IF(AND(Practices_SubPractices[CP]=4,Practices_SubPractices[Org]="Medium"),SUMIFS(Practices_SubPractices[D],Practices_SubPractices[CP],"4",Practices_SubPractices[Org],"Medium"),IF(AND(Practices_SubPractices[CP]=5,Practices_SubPractices[Org]="Medium"),SUMIFS(Practices_SubPractices[D],Practices_SubPractices[CP],"5",Practices_SubPractices[Org],"Medium"),IF(AND(Practices_SubPractices[CP]=6,Practices_SubPractices[Org]="Medium"),SUMIFS(Practices_SubPractices[D],Practices_SubPractices[CP],"6",Practices_SubPractices[Org],"Medium"),IF(AND(Practices_SubPractices[CP]=7,Practices_SubPractices[Org] ="Medium"),SUMIFS(Practices_SubPractices[D],Practices_SubPractices[CP],"7",Practices_SubPractices[Org],"Medium"),IF(AND(Practices_SubPractices[CP]=8,Practices_SubPractices[Org] ="Medium"),SUMIFS(Practices_SubPractices[D],Practices_SubPractices[CP],"8",Practices_SubPractices[Org],"Medium"),IF(AND(Practices_SubPractices[CP]=9,Practices_SubPractices[Org] ="Medium"),SUMIFS(Practices_SubPractices[D],Practices_SubPractices[CP],"9",Practices_SubPractices[Org],"Medium"),IF(AND(Practices_SubPractices[CP]=10,Practices_SubPractices[Org] ="Medium"),SUMIFS(Practices_SubPractices[D],Practices_SubPractices[CP],"10",Practices_SubPractices[Org],"Medium"),IF(AND(Practices_SubPractices[CP]=1,Practices_SubPractices[Org]="Large"),SUMIFS(Practices_SubPractices[D],Practices_SubPractices[CP],"1",Practices_SubPractices[Org],"Large"),IF(AND(Practices_SubPractices[CP]=2,Practices_SubPractices[Org]="Large"),SUMIFS(Practices_SubPractices[D],Practices_SubPractices[CP],"2",Practices_SubPractices[Org],"Large"),IF(AND(Practices_SubPractices[CP]=3,Practices_SubPractices[Org]="Large"),SUMIFS(Practices_SubPractices[D],Practices_SubPractices[CP],"3",Practices_SubPractices[Org],"Large"),IF(AND(Practices_SubPractices[CP]=4,Practices_SubPractices[Org]="Large"),SUMIFS(Practices_SubPractices[D],Practices_SubPractices[CP],"4",Practices_SubPractices[Org],"Large"),IF(AND(Practices_SubPractices[CP]=5,Practices_SubPractices[Org]="Large"),SUMIFS(Practices_SubPractices[D],Practices_SubPractices[CP],"5",Practices_SubPractices[Org],"Large"),IF(AND(Practices_SubPractices[CP]=6,Practices_SubPractices[Org]="Large"),SUMIFS(Practices_SubPractices[D],Practices_SubPractices[CP],"6",Practices_SubPractices[Org],"Large"),IF(AND(Practices_SubPractices[CP]=7,Practices_SubPractices[Org] ="Large"),SUMIFS(Practices_SubPractices[D],Practices_SubPractices[CP],"7",Practices_SubPractices[Org],"Large"),IF(AND(Practices_SubPractices[CP]=8,Practices_SubPractices[Org] ="Large"),SUMIFS(Practices_SubPractices[D],Practices_SubPractices[CP],"8",Practices_SubPractices[Org],"Large"),IF(AND(Practices_SubPractices[CP]=9,Practices_SubPractices[Org] ="Large"),SUMIFS(Practices_SubPractices[D],Practices_SubPractices[CP],"9",Practices_SubPractices[Org],"Large"),IF(AND(Practices_SubPractices[CP]=10,Practices_SubPractices[Org] ="Large"),SUMIFS(Practices_SubPractices[D],Practices_SubPractices[CP],"10",Practices_SubPractices[Org],"Large"),"TBD"))))))))))))))))))))))))))))))</f>
        <v>11</v>
      </c>
      <c r="R59" s="77">
        <f>IF(AND(Practices_SubPractices[CP]=1,Practices_SubPractices[Org]="Small"),SUMIFS(Practices_SubPractices[E],Practices_SubPractices[CP],"1",Practices_SubPractices[Org],"Small"),IF(AND(Practices_SubPractices[CP]=2,Practices_SubPractices[Org]="Small"),SUMIFS(Practices_SubPractices[E],Practices_SubPractices[CP],"2",Practices_SubPractices[Org],"Small"),IF(AND(Practices_SubPractices[CP]=3,Practices_SubPractices[Org]="Small"),SUMIFS(Practices_SubPractices[E],Practices_SubPractices[CP],"3",Practices_SubPractices[Org],"Small"),IF(AND(Practices_SubPractices[CP]=4,Practices_SubPractices[Org]="Small"),SUMIFS(Practices_SubPractices[E],Practices_SubPractices[CP],"4",Practices_SubPractices[Org],"Small"),IF(AND(Practices_SubPractices[CP]=5,Practices_SubPractices[Org]="Small"),SUMIFS(Practices_SubPractices[E],Practices_SubPractices[CP],"5",Practices_SubPractices[Org],"Small"),IF(AND(Practices_SubPractices[CP]=6,Practices_SubPractices[Org]="Small"),SUMIFS(Practices_SubPractices[E],Practices_SubPractices[CP],"6",Practices_SubPractices[Org],"Small"),IF(AND(Practices_SubPractices[CP]=7,Practices_SubPractices[Org] ="Small"),SUMIFS(Practices_SubPractices[E],Practices_SubPractices[CP],"7",Practices_SubPractices[Org],"Small"),IF(AND(Practices_SubPractices[CP]=8,Practices_SubPractices[Org] ="Small"),SUMIFS(Practices_SubPractices[E],Practices_SubPractices[CP],"8",Practices_SubPractices[Org],"Small"),IF(AND(Practices_SubPractices[CP]=9,Practices_SubPractices[Org] ="Small"),SUMIFS(Practices_SubPractices[E],Practices_SubPractices[CP],"9",Practices_SubPractices[Org],"Small"),IF(AND(Practices_SubPractices[CP]=10,Practices_SubPractices[Org] ="Small"),SUMIFS(Practices_SubPractices[E],Practices_SubPractices[CP],"10",Practices_SubPractices[Org],"Small"),IF(AND(Practices_SubPractices[CP]=1,Practices_SubPractices[Org]="Medium"),SUMIFS(Practices_SubPractices[E],Practices_SubPractices[CP],"1",Practices_SubPractices[Org],"Medium"),IF(AND(Practices_SubPractices[CP]=2,Practices_SubPractices[Org]="Medium"),SUMIFS(Practices_SubPractices[E],Practices_SubPractices[CP],"2",Practices_SubPractices[Org],"Medium"),IF(AND(Practices_SubPractices[CP]=3,Practices_SubPractices[Org]="Medium"),SUMIFS(Practices_SubPractices[E],Practices_SubPractices[CP],"3",Practices_SubPractices[Org],"Medium"),IF(AND(Practices_SubPractices[CP]=4,Practices_SubPractices[Org]="Medium"),SUMIFS(Practices_SubPractices[E],Practices_SubPractices[CP],"4",Practices_SubPractices[Org],"Medium"),IF(AND(Practices_SubPractices[CP]=5,Practices_SubPractices[Org]="Medium"),SUMIFS(Practices_SubPractices[E],Practices_SubPractices[CP],"5",Practices_SubPractices[Org],"Medium"),IF(AND(Practices_SubPractices[CP]=6,Practices_SubPractices[Org]="Medium"),SUMIFS(Practices_SubPractices[E],Practices_SubPractices[CP],"6",Practices_SubPractices[Org],"Medium"),IF(AND(Practices_SubPractices[CP]=7,Practices_SubPractices[Org] ="Medium"),SUMIFS(Practices_SubPractices[E],Practices_SubPractices[CP],"7",Practices_SubPractices[Org],"Medium"),IF(AND(Practices_SubPractices[CP]=8,Practices_SubPractices[Org] ="Medium"),SUMIFS(Practices_SubPractices[E],Practices_SubPractices[CP],"8",Practices_SubPractices[Org],"Medium"),IF(AND(Practices_SubPractices[CP]=9,Practices_SubPractices[Org] ="Medium"),SUMIFS(Practices_SubPractices[E],Practices_SubPractices[CP],"9",Practices_SubPractices[Org],"Medium"),IF(AND(Practices_SubPractices[CP]=10,Practices_SubPractices[Org] ="Medium"),SUMIFS(Practices_SubPractices[E],Practices_SubPractices[CP],"10",Practices_SubPractices[Org],"Medium"),IF(AND(Practices_SubPractices[CP]=1,Practices_SubPractices[Org]="Large"),SUMIFS(Practices_SubPractices[E],Practices_SubPractices[CP],"1",Practices_SubPractices[Org],"Large"),IF(AND(Practices_SubPractices[CP]=2,Practices_SubPractices[Org]="Large"),SUMIFS(Practices_SubPractices[E],Practices_SubPractices[CP],"2",Practices_SubPractices[Org],"Large"),IF(AND(Practices_SubPractices[CP]=3,Practices_SubPractices[Org]="Large"),SUMIFS(Practices_SubPractices[E],Practices_SubPractices[CP],"3",Practices_SubPractices[Org],"Large"),IF(AND(Practices_SubPractices[CP]=4,Practices_SubPractices[Org]="Large"),SUMIFS(Practices_SubPractices[E],Practices_SubPractices[CP],"4",Practices_SubPractices[Org],"Large"),IF(AND(Practices_SubPractices[CP]=5,Practices_SubPractices[Org]="Large"),SUMIFS(Practices_SubPractices[E],Practices_SubPractices[CP],"5",Practices_SubPractices[Org],"Large"),IF(AND(Practices_SubPractices[CP]=6,Practices_SubPractices[Org]="Large"),SUMIFS(Practices_SubPractices[E],Practices_SubPractices[CP],"6",Practices_SubPractices[Org],"Large"),IF(AND(Practices_SubPractices[CP]=7,Practices_SubPractices[Org] ="Large"),SUMIFS(Practices_SubPractices[E],Practices_SubPractices[CP],"7",Practices_SubPractices[Org],"Large"),IF(AND(Practices_SubPractices[CP]=8,Practices_SubPractices[Org] ="Large"),SUMIFS(Practices_SubPractices[E],Practices_SubPractices[CP],"8",Practices_SubPractices[Org],"Large"),IF(AND(Practices_SubPractices[CP]=9,Practices_SubPractices[Org] ="Large"),SUMIFS(Practices_SubPractices[E],Practices_SubPractices[CP],"9",Practices_SubPractices[Org],"Large"),IF(AND(Practices_SubPractices[CP]=10,Practices_SubPractices[Org] ="Large"),SUMIFS(Practices_SubPractices[E],Practices_SubPractices[CP],"10",Practices_SubPractices[Org],"Large"),"TBD"))))))))))))))))))))))))))))))</f>
        <v>5</v>
      </c>
      <c r="S59" s="87" t="s">
        <v>394</v>
      </c>
    </row>
    <row r="60" spans="1:19" x14ac:dyDescent="0.35">
      <c r="A60" s="73">
        <v>50</v>
      </c>
      <c r="B60" s="73">
        <v>5</v>
      </c>
      <c r="C60" s="73" t="s">
        <v>11</v>
      </c>
      <c r="D60" s="73" t="str">
        <f>Practices_SubPractices[[#This Row],[CP]]&amp;LEFT(Practices_SubPractices[[#This Row],[Org]],1)</f>
        <v>5M</v>
      </c>
      <c r="E60" s="73" t="s">
        <v>266</v>
      </c>
      <c r="F60" s="74" t="s">
        <v>106</v>
      </c>
      <c r="G60" s="74" t="s">
        <v>110</v>
      </c>
      <c r="H60" s="74" t="s">
        <v>227</v>
      </c>
      <c r="I60" s="75">
        <v>0</v>
      </c>
      <c r="J60" s="75">
        <v>1</v>
      </c>
      <c r="K60" s="75">
        <v>2</v>
      </c>
      <c r="L60" s="75">
        <v>2</v>
      </c>
      <c r="M60" s="75">
        <v>1</v>
      </c>
      <c r="N60" s="76"/>
      <c r="O60" s="77">
        <f>IF(AND(Practices_SubPractices[CP]=1,Practices_SubPractices[Org]="Small"),SUMIFS(Practices_SubPractices[B],Practices_SubPractices[CP],"1",Practices_SubPractices[Org],"Small"),IF(AND(Practices_SubPractices[CP]=2,Practices_SubPractices[Org]="Small"),SUMIFS(Practices_SubPractices[B],Practices_SubPractices[CP],"2",Practices_SubPractices[Org],"Small"),IF(AND(Practices_SubPractices[CP]=3,Practices_SubPractices[Org]="Small"),SUMIFS(Practices_SubPractices[B],Practices_SubPractices[CP],"3",Practices_SubPractices[Org],"Small"),IF(AND(Practices_SubPractices[CP]=4,Practices_SubPractices[Org]="Small"),SUMIFS(Practices_SubPractices[B],Practices_SubPractices[CP],"4",Practices_SubPractices[Org],"Small"),IF(AND(Practices_SubPractices[CP]=5,Practices_SubPractices[Org]="Small"),SUMIFS(Practices_SubPractices[B],Practices_SubPractices[CP],"5",Practices_SubPractices[Org],"Small"),IF(AND(Practices_SubPractices[CP]=6,Practices_SubPractices[Org]="Small"),SUMIFS(Practices_SubPractices[B],Practices_SubPractices[CP],"6",Practices_SubPractices[Org],"Small"),IF(AND(Practices_SubPractices[CP]=7,Practices_SubPractices[Org] ="Small"),SUMIFS(Practices_SubPractices[B],Practices_SubPractices[CP],"7",Practices_SubPractices[Org],"Small"),IF(AND(Practices_SubPractices[CP]=8,Practices_SubPractices[Org] ="Small"),SUMIFS(Practices_SubPractices[B],Practices_SubPractices[CP],"8",Practices_SubPractices[Org],"Small"),IF(AND(Practices_SubPractices[CP]=9,Practices_SubPractices[Org] ="Small"),SUMIFS(Practices_SubPractices[B],Practices_SubPractices[CP],"9",Practices_SubPractices[Org],"Small"),IF(AND(Practices_SubPractices[CP]=10,Practices_SubPractices[Org] ="Small"),SUMIFS(Practices_SubPractices[B],Practices_SubPractices[CP],"10",Practices_SubPractices[Org],"Small"),IF(AND(Practices_SubPractices[CP]=1,Practices_SubPractices[Org]="Medium"),SUMIFS(Practices_SubPractices[B],Practices_SubPractices[CP],"1",Practices_SubPractices[Org],"Medium"),IF(AND(Practices_SubPractices[CP]=2,Practices_SubPractices[Org]="Medium"),SUMIFS(Practices_SubPractices[B],Practices_SubPractices[CP],"2",Practices_SubPractices[Org],"Medium"),IF(AND(Practices_SubPractices[CP]=3,Practices_SubPractices[Org]="Medium"),SUMIFS(Practices_SubPractices[B],Practices_SubPractices[CP],"3",Practices_SubPractices[Org],"Medium"),IF(AND(Practices_SubPractices[CP]=4,Practices_SubPractices[Org]="Medium"),SUMIFS(Practices_SubPractices[B],Practices_SubPractices[CP],"4",Practices_SubPractices[Org],"Medium"),IF(AND(Practices_SubPractices[CP]=5,Practices_SubPractices[Org]="Medium"),SUMIFS(Practices_SubPractices[B],Practices_SubPractices[CP],"5",Practices_SubPractices[Org],"Medium"),IF(AND(Practices_SubPractices[CP]=6,Practices_SubPractices[Org]="Medium"),SUMIFS(Practices_SubPractices[B],Practices_SubPractices[CP],"6",Practices_SubPractices[Org],"Medium"),IF(AND(Practices_SubPractices[CP]=7,Practices_SubPractices[Org] ="Medium"),SUMIFS(Practices_SubPractices[B],Practices_SubPractices[CP],"7",Practices_SubPractices[Org],"Medium"),IF(AND(Practices_SubPractices[CP]=8,Practices_SubPractices[Org] ="Medium"),SUMIFS(Practices_SubPractices[B],Practices_SubPractices[CP],"8",Practices_SubPractices[Org],"Medium"),IF(AND(Practices_SubPractices[CP]=9,Practices_SubPractices[Org] ="Medium"),SUMIFS(Practices_SubPractices[B],Practices_SubPractices[CP],"9",Practices_SubPractices[Org],"Medium"),IF(AND(Practices_SubPractices[CP]=10,Practices_SubPractices[Org] ="Medium"),SUMIFS(Practices_SubPractices[B],Practices_SubPractices[CP],"10",Practices_SubPractices[Org],"Medium"),IF(AND(Practices_SubPractices[CP]=1,Practices_SubPractices[Org]="Large"),SUMIFS(Practices_SubPractices[B],Practices_SubPractices[CP],"1",Practices_SubPractices[Org],"Large"),IF(AND(Practices_SubPractices[CP]=2,Practices_SubPractices[Org]="Large"),SUMIFS(Practices_SubPractices[B],Practices_SubPractices[CP],"2",Practices_SubPractices[Org],"Large"),IF(AND(Practices_SubPractices[CP]=3,Practices_SubPractices[Org]="Large"),SUMIFS(Practices_SubPractices[B],Practices_SubPractices[CP],"3",Practices_SubPractices[Org],"Large"),IF(AND(Practices_SubPractices[CP]=4,Practices_SubPractices[Org]="Large"),SUMIFS(Practices_SubPractices[B],Practices_SubPractices[CP],"4",Practices_SubPractices[Org],"Large"),IF(AND(Practices_SubPractices[CP]=5,Practices_SubPractices[Org]="Large"),SUMIFS(Practices_SubPractices[B],Practices_SubPractices[CP],"5",Practices_SubPractices[Org],"Large"),IF(AND(Practices_SubPractices[CP]=6,Practices_SubPractices[Org]="Large"),SUMIFS(Practices_SubPractices[B],Practices_SubPractices[CP],"6",Practices_SubPractices[Org],"Large"),IF(AND(Practices_SubPractices[CP]=7,Practices_SubPractices[Org] ="Large"),SUMIFS(Practices_SubPractices[B],Practices_SubPractices[CP],"7",Practices_SubPractices[Org],"Large"),IF(AND(Practices_SubPractices[CP]=8,Practices_SubPractices[Org] ="Large"),SUMIFS(Practices_SubPractices[B],Practices_SubPractices[CP],"8",Practices_SubPractices[Org],"Large"),IF(AND(Practices_SubPractices[CP]=9,Practices_SubPractices[Org] ="Large"),SUMIFS(Practices_SubPractices[B],Practices_SubPractices[CP],"9",Practices_SubPractices[Org],"Large"),IF(AND(Practices_SubPractices[CP]=10,Practices_SubPractices[Org] ="Large"),SUMIFS(Practices_SubPractices[B],Practices_SubPractices[CP],"10",Practices_SubPractices[Org],"Large"),"TBD"))))))))))))))))))))))))))))))</f>
        <v>3</v>
      </c>
      <c r="P60" s="77">
        <f>IF(AND(Practices_SubPractices[CP]=1,Practices_SubPractices[Org]="Small"),SUMIFS(Practices_SubPractices[C],Practices_SubPractices[CP],"1",Practices_SubPractices[Org],"Small"),IF(AND(Practices_SubPractices[CP]=2,Practices_SubPractices[Org]="Small"),SUMIFS(Practices_SubPractices[C],Practices_SubPractices[CP],"2",Practices_SubPractices[Org],"Small"),IF(AND(Practices_SubPractices[CP]=3,Practices_SubPractices[Org]="Small"),SUMIFS(Practices_SubPractices[C],Practices_SubPractices[CP],"3",Practices_SubPractices[Org],"Small"),IF(AND(Practices_SubPractices[CP]=4,Practices_SubPractices[Org]="Small"),SUMIFS(Practices_SubPractices[C],Practices_SubPractices[CP],"4",Practices_SubPractices[Org],"Small"),IF(AND(Practices_SubPractices[CP]=5,Practices_SubPractices[Org]="Small"),SUMIFS(Practices_SubPractices[C],Practices_SubPractices[CP],"5",Practices_SubPractices[Org],"Small"),IF(AND(Practices_SubPractices[CP]=6,Practices_SubPractices[Org]="Small"),SUMIFS(Practices_SubPractices[C],Practices_SubPractices[CP],"6",Practices_SubPractices[Org],"Small"),IF(AND(Practices_SubPractices[CP]=7,Practices_SubPractices[Org] ="Small"),SUMIFS(Practices_SubPractices[C],Practices_SubPractices[CP],"7",Practices_SubPractices[Org],"Small"),IF(AND(Practices_SubPractices[CP]=8,Practices_SubPractices[Org] ="Small"),SUMIFS(Practices_SubPractices[C],Practices_SubPractices[CP],"8",Practices_SubPractices[Org],"Small"),IF(AND(Practices_SubPractices[CP]=9,Practices_SubPractices[Org] ="Small"),SUMIFS(Practices_SubPractices[C],Practices_SubPractices[CP],"9",Practices_SubPractices[Org],"Small"),IF(AND(Practices_SubPractices[CP]=10,Practices_SubPractices[Org] ="Small"),SUMIFS(Practices_SubPractices[C],Practices_SubPractices[CP],"10",Practices_SubPractices[Org],"Small"),IF(AND(Practices_SubPractices[CP]=1,Practices_SubPractices[Org]="Medium"),SUMIFS(Practices_SubPractices[C],Practices_SubPractices[CP],"1",Practices_SubPractices[Org],"Medium"),IF(AND(Practices_SubPractices[CP]=2,Practices_SubPractices[Org]="Medium"),SUMIFS(Practices_SubPractices[C],Practices_SubPractices[CP],"2",Practices_SubPractices[Org],"Medium"),IF(AND(Practices_SubPractices[CP]=3,Practices_SubPractices[Org]="Medium"),SUMIFS(Practices_SubPractices[C],Practices_SubPractices[CP],"3",Practices_SubPractices[Org],"Medium"),IF(AND(Practices_SubPractices[CP]=4,Practices_SubPractices[Org]="Medium"),SUMIFS(Practices_SubPractices[C],Practices_SubPractices[CP],"4",Practices_SubPractices[Org],"Medium"),IF(AND(Practices_SubPractices[CP]=5,Practices_SubPractices[Org]="Medium"),SUMIFS(Practices_SubPractices[C],Practices_SubPractices[CP],"5",Practices_SubPractices[Org],"Medium"),IF(AND(Practices_SubPractices[CP]=6,Practices_SubPractices[Org]="Medium"),SUMIFS(Practices_SubPractices[C],Practices_SubPractices[CP],"6",Practices_SubPractices[Org],"Medium"),IF(AND(Practices_SubPractices[CP]=7,Practices_SubPractices[Org] ="Medium"),SUMIFS(Practices_SubPractices[C],Practices_SubPractices[CP],"7",Practices_SubPractices[Org],"Medium"),IF(AND(Practices_SubPractices[CP]=8,Practices_SubPractices[Org] ="Medium"),SUMIFS(Practices_SubPractices[C],Practices_SubPractices[CP],"8",Practices_SubPractices[Org],"Medium"),IF(AND(Practices_SubPractices[CP]=9,Practices_SubPractices[Org] ="Medium"),SUMIFS(Practices_SubPractices[C],Practices_SubPractices[CP],"9",Practices_SubPractices[Org],"Medium"),IF(AND(Practices_SubPractices[CP]=10,Practices_SubPractices[Org] ="Medium"),SUMIFS(Practices_SubPractices[C],Practices_SubPractices[CP],"10",Practices_SubPractices[Org],"Medium"),IF(AND(Practices_SubPractices[CP]=1,Practices_SubPractices[Org]="Large"),SUMIFS(Practices_SubPractices[C],Practices_SubPractices[CP],"1",Practices_SubPractices[Org],"Large"),IF(AND(Practices_SubPractices[CP]=2,Practices_SubPractices[Org]="Large"),SUMIFS(Practices_SubPractices[C],Practices_SubPractices[CP],"2",Practices_SubPractices[Org],"Large"),IF(AND(Practices_SubPractices[CP]=3,Practices_SubPractices[Org]="Large"),SUMIFS(Practices_SubPractices[C],Practices_SubPractices[CP],"3",Practices_SubPractices[Org],"Large"),IF(AND(Practices_SubPractices[CP]=4,Practices_SubPractices[Org]="Large"),SUMIFS(Practices_SubPractices[C],Practices_SubPractices[CP],"4",Practices_SubPractices[Org],"Large"),IF(AND(Practices_SubPractices[CP]=5,Practices_SubPractices[Org]="Large"),SUMIFS(Practices_SubPractices[C],Practices_SubPractices[CP],"5",Practices_SubPractices[Org],"Large"),IF(AND(Practices_SubPractices[CP]=6,Practices_SubPractices[Org]="Large"),SUMIFS(Practices_SubPractices[C],Practices_SubPractices[CP],"6",Practices_SubPractices[Org],"Large"),IF(AND(Practices_SubPractices[CP]=7,Practices_SubPractices[Org] ="Large"),SUMIFS(Practices_SubPractices[C],Practices_SubPractices[CP],"7",Practices_SubPractices[Org],"Large"),IF(AND(Practices_SubPractices[CP]=8,Practices_SubPractices[Org] ="Large"),SUMIFS(Practices_SubPractices[C],Practices_SubPractices[CP],"8",Practices_SubPractices[Org],"Large"),IF(AND(Practices_SubPractices[CP]=9,Practices_SubPractices[Org] ="Large"),SUMIFS(Practices_SubPractices[C],Practices_SubPractices[CP],"9",Practices_SubPractices[Org],"Large"),IF(AND(Practices_SubPractices[CP]=10,Practices_SubPractices[Org] ="Large"),SUMIFS(Practices_SubPractices[C],Practices_SubPractices[CP],"10",Practices_SubPractices[Org],"Large"),"TBD"))))))))))))))))))))))))))))))</f>
        <v>8</v>
      </c>
      <c r="Q60" s="77">
        <f>IF(AND(Practices_SubPractices[CP]=1,Practices_SubPractices[Org]="Small"),SUMIFS(Practices_SubPractices[D],Practices_SubPractices[CP],"1",Practices_SubPractices[Org],"Small"),IF(AND(Practices_SubPractices[CP]=2,Practices_SubPractices[Org]="Small"),SUMIFS(Practices_SubPractices[D],Practices_SubPractices[CP],"2",Practices_SubPractices[Org],"Small"),IF(AND(Practices_SubPractices[CP]=3,Practices_SubPractices[Org]="Small"),SUMIFS(Practices_SubPractices[D],Practices_SubPractices[CP],"3",Practices_SubPractices[Org],"Small"),IF(AND(Practices_SubPractices[CP]=4,Practices_SubPractices[Org]="Small"),SUMIFS(Practices_SubPractices[D],Practices_SubPractices[CP],"4",Practices_SubPractices[Org],"Small"),IF(AND(Practices_SubPractices[CP]=5,Practices_SubPractices[Org]="Small"),SUMIFS(Practices_SubPractices[D],Practices_SubPractices[CP],"5",Practices_SubPractices[Org],"Small"),IF(AND(Practices_SubPractices[CP]=6,Practices_SubPractices[Org]="Small"),SUMIFS(Practices_SubPractices[D],Practices_SubPractices[CP],"6",Practices_SubPractices[Org],"Small"),IF(AND(Practices_SubPractices[CP]=7,Practices_SubPractices[Org] ="Small"),SUMIFS(Practices_SubPractices[D],Practices_SubPractices[CP],"7",Practices_SubPractices[Org],"Small"),IF(AND(Practices_SubPractices[CP]=8,Practices_SubPractices[Org] ="Small"),SUMIFS(Practices_SubPractices[D],Practices_SubPractices[CP],"8",Practices_SubPractices[Org],"Small"),IF(AND(Practices_SubPractices[CP]=9,Practices_SubPractices[Org] ="Small"),SUMIFS(Practices_SubPractices[D],Practices_SubPractices[CP],"9",Practices_SubPractices[Org],"Small"),IF(AND(Practices_SubPractices[CP]=10,Practices_SubPractices[Org] ="Small"),SUMIFS(Practices_SubPractices[D],Practices_SubPractices[CP],"10",Practices_SubPractices[Org],"Small"),IF(AND(Practices_SubPractices[CP]=1,Practices_SubPractices[Org]="Medium"),SUMIFS(Practices_SubPractices[D],Practices_SubPractices[CP],"1",Practices_SubPractices[Org],"Medium"),IF(AND(Practices_SubPractices[CP]=2,Practices_SubPractices[Org]="Medium"),SUMIFS(Practices_SubPractices[D],Practices_SubPractices[CP],"2",Practices_SubPractices[Org],"Medium"),IF(AND(Practices_SubPractices[CP]=3,Practices_SubPractices[Org]="Medium"),SUMIFS(Practices_SubPractices[D],Practices_SubPractices[CP],"3",Practices_SubPractices[Org],"Medium"),IF(AND(Practices_SubPractices[CP]=4,Practices_SubPractices[Org]="Medium"),SUMIFS(Practices_SubPractices[D],Practices_SubPractices[CP],"4",Practices_SubPractices[Org],"Medium"),IF(AND(Practices_SubPractices[CP]=5,Practices_SubPractices[Org]="Medium"),SUMIFS(Practices_SubPractices[D],Practices_SubPractices[CP],"5",Practices_SubPractices[Org],"Medium"),IF(AND(Practices_SubPractices[CP]=6,Practices_SubPractices[Org]="Medium"),SUMIFS(Practices_SubPractices[D],Practices_SubPractices[CP],"6",Practices_SubPractices[Org],"Medium"),IF(AND(Practices_SubPractices[CP]=7,Practices_SubPractices[Org] ="Medium"),SUMIFS(Practices_SubPractices[D],Practices_SubPractices[CP],"7",Practices_SubPractices[Org],"Medium"),IF(AND(Practices_SubPractices[CP]=8,Practices_SubPractices[Org] ="Medium"),SUMIFS(Practices_SubPractices[D],Practices_SubPractices[CP],"8",Practices_SubPractices[Org],"Medium"),IF(AND(Practices_SubPractices[CP]=9,Practices_SubPractices[Org] ="Medium"),SUMIFS(Practices_SubPractices[D],Practices_SubPractices[CP],"9",Practices_SubPractices[Org],"Medium"),IF(AND(Practices_SubPractices[CP]=10,Practices_SubPractices[Org] ="Medium"),SUMIFS(Practices_SubPractices[D],Practices_SubPractices[CP],"10",Practices_SubPractices[Org],"Medium"),IF(AND(Practices_SubPractices[CP]=1,Practices_SubPractices[Org]="Large"),SUMIFS(Practices_SubPractices[D],Practices_SubPractices[CP],"1",Practices_SubPractices[Org],"Large"),IF(AND(Practices_SubPractices[CP]=2,Practices_SubPractices[Org]="Large"),SUMIFS(Practices_SubPractices[D],Practices_SubPractices[CP],"2",Practices_SubPractices[Org],"Large"),IF(AND(Practices_SubPractices[CP]=3,Practices_SubPractices[Org]="Large"),SUMIFS(Practices_SubPractices[D],Practices_SubPractices[CP],"3",Practices_SubPractices[Org],"Large"),IF(AND(Practices_SubPractices[CP]=4,Practices_SubPractices[Org]="Large"),SUMIFS(Practices_SubPractices[D],Practices_SubPractices[CP],"4",Practices_SubPractices[Org],"Large"),IF(AND(Practices_SubPractices[CP]=5,Practices_SubPractices[Org]="Large"),SUMIFS(Practices_SubPractices[D],Practices_SubPractices[CP],"5",Practices_SubPractices[Org],"Large"),IF(AND(Practices_SubPractices[CP]=6,Practices_SubPractices[Org]="Large"),SUMIFS(Practices_SubPractices[D],Practices_SubPractices[CP],"6",Practices_SubPractices[Org],"Large"),IF(AND(Practices_SubPractices[CP]=7,Practices_SubPractices[Org] ="Large"),SUMIFS(Practices_SubPractices[D],Practices_SubPractices[CP],"7",Practices_SubPractices[Org],"Large"),IF(AND(Practices_SubPractices[CP]=8,Practices_SubPractices[Org] ="Large"),SUMIFS(Practices_SubPractices[D],Practices_SubPractices[CP],"8",Practices_SubPractices[Org],"Large"),IF(AND(Practices_SubPractices[CP]=9,Practices_SubPractices[Org] ="Large"),SUMIFS(Practices_SubPractices[D],Practices_SubPractices[CP],"9",Practices_SubPractices[Org],"Large"),IF(AND(Practices_SubPractices[CP]=10,Practices_SubPractices[Org] ="Large"),SUMIFS(Practices_SubPractices[D],Practices_SubPractices[CP],"10",Practices_SubPractices[Org],"Large"),"TBD"))))))))))))))))))))))))))))))</f>
        <v>7</v>
      </c>
      <c r="R60" s="77">
        <f>IF(AND(Practices_SubPractices[CP]=1,Practices_SubPractices[Org]="Small"),SUMIFS(Practices_SubPractices[E],Practices_SubPractices[CP],"1",Practices_SubPractices[Org],"Small"),IF(AND(Practices_SubPractices[CP]=2,Practices_SubPractices[Org]="Small"),SUMIFS(Practices_SubPractices[E],Practices_SubPractices[CP],"2",Practices_SubPractices[Org],"Small"),IF(AND(Practices_SubPractices[CP]=3,Practices_SubPractices[Org]="Small"),SUMIFS(Practices_SubPractices[E],Practices_SubPractices[CP],"3",Practices_SubPractices[Org],"Small"),IF(AND(Practices_SubPractices[CP]=4,Practices_SubPractices[Org]="Small"),SUMIFS(Practices_SubPractices[E],Practices_SubPractices[CP],"4",Practices_SubPractices[Org],"Small"),IF(AND(Practices_SubPractices[CP]=5,Practices_SubPractices[Org]="Small"),SUMIFS(Practices_SubPractices[E],Practices_SubPractices[CP],"5",Practices_SubPractices[Org],"Small"),IF(AND(Practices_SubPractices[CP]=6,Practices_SubPractices[Org]="Small"),SUMIFS(Practices_SubPractices[E],Practices_SubPractices[CP],"6",Practices_SubPractices[Org],"Small"),IF(AND(Practices_SubPractices[CP]=7,Practices_SubPractices[Org] ="Small"),SUMIFS(Practices_SubPractices[E],Practices_SubPractices[CP],"7",Practices_SubPractices[Org],"Small"),IF(AND(Practices_SubPractices[CP]=8,Practices_SubPractices[Org] ="Small"),SUMIFS(Practices_SubPractices[E],Practices_SubPractices[CP],"8",Practices_SubPractices[Org],"Small"),IF(AND(Practices_SubPractices[CP]=9,Practices_SubPractices[Org] ="Small"),SUMIFS(Practices_SubPractices[E],Practices_SubPractices[CP],"9",Practices_SubPractices[Org],"Small"),IF(AND(Practices_SubPractices[CP]=10,Practices_SubPractices[Org] ="Small"),SUMIFS(Practices_SubPractices[E],Practices_SubPractices[CP],"10",Practices_SubPractices[Org],"Small"),IF(AND(Practices_SubPractices[CP]=1,Practices_SubPractices[Org]="Medium"),SUMIFS(Practices_SubPractices[E],Practices_SubPractices[CP],"1",Practices_SubPractices[Org],"Medium"),IF(AND(Practices_SubPractices[CP]=2,Practices_SubPractices[Org]="Medium"),SUMIFS(Practices_SubPractices[E],Practices_SubPractices[CP],"2",Practices_SubPractices[Org],"Medium"),IF(AND(Practices_SubPractices[CP]=3,Practices_SubPractices[Org]="Medium"),SUMIFS(Practices_SubPractices[E],Practices_SubPractices[CP],"3",Practices_SubPractices[Org],"Medium"),IF(AND(Practices_SubPractices[CP]=4,Practices_SubPractices[Org]="Medium"),SUMIFS(Practices_SubPractices[E],Practices_SubPractices[CP],"4",Practices_SubPractices[Org],"Medium"),IF(AND(Practices_SubPractices[CP]=5,Practices_SubPractices[Org]="Medium"),SUMIFS(Practices_SubPractices[E],Practices_SubPractices[CP],"5",Practices_SubPractices[Org],"Medium"),IF(AND(Practices_SubPractices[CP]=6,Practices_SubPractices[Org]="Medium"),SUMIFS(Practices_SubPractices[E],Practices_SubPractices[CP],"6",Practices_SubPractices[Org],"Medium"),IF(AND(Practices_SubPractices[CP]=7,Practices_SubPractices[Org] ="Medium"),SUMIFS(Practices_SubPractices[E],Practices_SubPractices[CP],"7",Practices_SubPractices[Org],"Medium"),IF(AND(Practices_SubPractices[CP]=8,Practices_SubPractices[Org] ="Medium"),SUMIFS(Practices_SubPractices[E],Practices_SubPractices[CP],"8",Practices_SubPractices[Org],"Medium"),IF(AND(Practices_SubPractices[CP]=9,Practices_SubPractices[Org] ="Medium"),SUMIFS(Practices_SubPractices[E],Practices_SubPractices[CP],"9",Practices_SubPractices[Org],"Medium"),IF(AND(Practices_SubPractices[CP]=10,Practices_SubPractices[Org] ="Medium"),SUMIFS(Practices_SubPractices[E],Practices_SubPractices[CP],"10",Practices_SubPractices[Org],"Medium"),IF(AND(Practices_SubPractices[CP]=1,Practices_SubPractices[Org]="Large"),SUMIFS(Practices_SubPractices[E],Practices_SubPractices[CP],"1",Practices_SubPractices[Org],"Large"),IF(AND(Practices_SubPractices[CP]=2,Practices_SubPractices[Org]="Large"),SUMIFS(Practices_SubPractices[E],Practices_SubPractices[CP],"2",Practices_SubPractices[Org],"Large"),IF(AND(Practices_SubPractices[CP]=3,Practices_SubPractices[Org]="Large"),SUMIFS(Practices_SubPractices[E],Practices_SubPractices[CP],"3",Practices_SubPractices[Org],"Large"),IF(AND(Practices_SubPractices[CP]=4,Practices_SubPractices[Org]="Large"),SUMIFS(Practices_SubPractices[E],Practices_SubPractices[CP],"4",Practices_SubPractices[Org],"Large"),IF(AND(Practices_SubPractices[CP]=5,Practices_SubPractices[Org]="Large"),SUMIFS(Practices_SubPractices[E],Practices_SubPractices[CP],"5",Practices_SubPractices[Org],"Large"),IF(AND(Practices_SubPractices[CP]=6,Practices_SubPractices[Org]="Large"),SUMIFS(Practices_SubPractices[E],Practices_SubPractices[CP],"6",Practices_SubPractices[Org],"Large"),IF(AND(Practices_SubPractices[CP]=7,Practices_SubPractices[Org] ="Large"),SUMIFS(Practices_SubPractices[E],Practices_SubPractices[CP],"7",Practices_SubPractices[Org],"Large"),IF(AND(Practices_SubPractices[CP]=8,Practices_SubPractices[Org] ="Large"),SUMIFS(Practices_SubPractices[E],Practices_SubPractices[CP],"8",Practices_SubPractices[Org],"Large"),IF(AND(Practices_SubPractices[CP]=9,Practices_SubPractices[Org] ="Large"),SUMIFS(Practices_SubPractices[E],Practices_SubPractices[CP],"9",Practices_SubPractices[Org],"Large"),IF(AND(Practices_SubPractices[CP]=10,Practices_SubPractices[Org] ="Large"),SUMIFS(Practices_SubPractices[E],Practices_SubPractices[CP],"10",Practices_SubPractices[Org],"Large"),"TBD"))))))))))))))))))))))))))))))</f>
        <v>3</v>
      </c>
      <c r="S60" s="87" t="s">
        <v>417</v>
      </c>
    </row>
    <row r="61" spans="1:19" x14ac:dyDescent="0.35">
      <c r="A61" s="73">
        <v>51</v>
      </c>
      <c r="B61" s="73">
        <v>5</v>
      </c>
      <c r="C61" s="73" t="s">
        <v>12</v>
      </c>
      <c r="D61" s="73" t="str">
        <f>Practices_SubPractices[[#This Row],[CP]]&amp;LEFT(Practices_SubPractices[[#This Row],[Org]],1)</f>
        <v>5L</v>
      </c>
      <c r="E61" s="73" t="s">
        <v>266</v>
      </c>
      <c r="F61" s="74" t="s">
        <v>106</v>
      </c>
      <c r="G61" s="74" t="s">
        <v>110</v>
      </c>
      <c r="H61" s="74" t="s">
        <v>227</v>
      </c>
      <c r="I61" s="75">
        <v>0</v>
      </c>
      <c r="J61" s="75">
        <v>1</v>
      </c>
      <c r="K61" s="75">
        <v>2</v>
      </c>
      <c r="L61" s="75">
        <v>2</v>
      </c>
      <c r="M61" s="75">
        <v>1</v>
      </c>
      <c r="N61" s="76"/>
      <c r="O61" s="77">
        <f>IF(AND(Practices_SubPractices[CP]=1,Practices_SubPractices[Org]="Small"),SUMIFS(Practices_SubPractices[B],Practices_SubPractices[CP],"1",Practices_SubPractices[Org],"Small"),IF(AND(Practices_SubPractices[CP]=2,Practices_SubPractices[Org]="Small"),SUMIFS(Practices_SubPractices[B],Practices_SubPractices[CP],"2",Practices_SubPractices[Org],"Small"),IF(AND(Practices_SubPractices[CP]=3,Practices_SubPractices[Org]="Small"),SUMIFS(Practices_SubPractices[B],Practices_SubPractices[CP],"3",Practices_SubPractices[Org],"Small"),IF(AND(Practices_SubPractices[CP]=4,Practices_SubPractices[Org]="Small"),SUMIFS(Practices_SubPractices[B],Practices_SubPractices[CP],"4",Practices_SubPractices[Org],"Small"),IF(AND(Practices_SubPractices[CP]=5,Practices_SubPractices[Org]="Small"),SUMIFS(Practices_SubPractices[B],Practices_SubPractices[CP],"5",Practices_SubPractices[Org],"Small"),IF(AND(Practices_SubPractices[CP]=6,Practices_SubPractices[Org]="Small"),SUMIFS(Practices_SubPractices[B],Practices_SubPractices[CP],"6",Practices_SubPractices[Org],"Small"),IF(AND(Practices_SubPractices[CP]=7,Practices_SubPractices[Org] ="Small"),SUMIFS(Practices_SubPractices[B],Practices_SubPractices[CP],"7",Practices_SubPractices[Org],"Small"),IF(AND(Practices_SubPractices[CP]=8,Practices_SubPractices[Org] ="Small"),SUMIFS(Practices_SubPractices[B],Practices_SubPractices[CP],"8",Practices_SubPractices[Org],"Small"),IF(AND(Practices_SubPractices[CP]=9,Practices_SubPractices[Org] ="Small"),SUMIFS(Practices_SubPractices[B],Practices_SubPractices[CP],"9",Practices_SubPractices[Org],"Small"),IF(AND(Practices_SubPractices[CP]=10,Practices_SubPractices[Org] ="Small"),SUMIFS(Practices_SubPractices[B],Practices_SubPractices[CP],"10",Practices_SubPractices[Org],"Small"),IF(AND(Practices_SubPractices[CP]=1,Practices_SubPractices[Org]="Medium"),SUMIFS(Practices_SubPractices[B],Practices_SubPractices[CP],"1",Practices_SubPractices[Org],"Medium"),IF(AND(Practices_SubPractices[CP]=2,Practices_SubPractices[Org]="Medium"),SUMIFS(Practices_SubPractices[B],Practices_SubPractices[CP],"2",Practices_SubPractices[Org],"Medium"),IF(AND(Practices_SubPractices[CP]=3,Practices_SubPractices[Org]="Medium"),SUMIFS(Practices_SubPractices[B],Practices_SubPractices[CP],"3",Practices_SubPractices[Org],"Medium"),IF(AND(Practices_SubPractices[CP]=4,Practices_SubPractices[Org]="Medium"),SUMIFS(Practices_SubPractices[B],Practices_SubPractices[CP],"4",Practices_SubPractices[Org],"Medium"),IF(AND(Practices_SubPractices[CP]=5,Practices_SubPractices[Org]="Medium"),SUMIFS(Practices_SubPractices[B],Practices_SubPractices[CP],"5",Practices_SubPractices[Org],"Medium"),IF(AND(Practices_SubPractices[CP]=6,Practices_SubPractices[Org]="Medium"),SUMIFS(Practices_SubPractices[B],Practices_SubPractices[CP],"6",Practices_SubPractices[Org],"Medium"),IF(AND(Practices_SubPractices[CP]=7,Practices_SubPractices[Org] ="Medium"),SUMIFS(Practices_SubPractices[B],Practices_SubPractices[CP],"7",Practices_SubPractices[Org],"Medium"),IF(AND(Practices_SubPractices[CP]=8,Practices_SubPractices[Org] ="Medium"),SUMIFS(Practices_SubPractices[B],Practices_SubPractices[CP],"8",Practices_SubPractices[Org],"Medium"),IF(AND(Practices_SubPractices[CP]=9,Practices_SubPractices[Org] ="Medium"),SUMIFS(Practices_SubPractices[B],Practices_SubPractices[CP],"9",Practices_SubPractices[Org],"Medium"),IF(AND(Practices_SubPractices[CP]=10,Practices_SubPractices[Org] ="Medium"),SUMIFS(Practices_SubPractices[B],Practices_SubPractices[CP],"10",Practices_SubPractices[Org],"Medium"),IF(AND(Practices_SubPractices[CP]=1,Practices_SubPractices[Org]="Large"),SUMIFS(Practices_SubPractices[B],Practices_SubPractices[CP],"1",Practices_SubPractices[Org],"Large"),IF(AND(Practices_SubPractices[CP]=2,Practices_SubPractices[Org]="Large"),SUMIFS(Practices_SubPractices[B],Practices_SubPractices[CP],"2",Practices_SubPractices[Org],"Large"),IF(AND(Practices_SubPractices[CP]=3,Practices_SubPractices[Org]="Large"),SUMIFS(Practices_SubPractices[B],Practices_SubPractices[CP],"3",Practices_SubPractices[Org],"Large"),IF(AND(Practices_SubPractices[CP]=4,Practices_SubPractices[Org]="Large"),SUMIFS(Practices_SubPractices[B],Practices_SubPractices[CP],"4",Practices_SubPractices[Org],"Large"),IF(AND(Practices_SubPractices[CP]=5,Practices_SubPractices[Org]="Large"),SUMIFS(Practices_SubPractices[B],Practices_SubPractices[CP],"5",Practices_SubPractices[Org],"Large"),IF(AND(Practices_SubPractices[CP]=6,Practices_SubPractices[Org]="Large"),SUMIFS(Practices_SubPractices[B],Practices_SubPractices[CP],"6",Practices_SubPractices[Org],"Large"),IF(AND(Practices_SubPractices[CP]=7,Practices_SubPractices[Org] ="Large"),SUMIFS(Practices_SubPractices[B],Practices_SubPractices[CP],"7",Practices_SubPractices[Org],"Large"),IF(AND(Practices_SubPractices[CP]=8,Practices_SubPractices[Org] ="Large"),SUMIFS(Practices_SubPractices[B],Practices_SubPractices[CP],"8",Practices_SubPractices[Org],"Large"),IF(AND(Practices_SubPractices[CP]=9,Practices_SubPractices[Org] ="Large"),SUMIFS(Practices_SubPractices[B],Practices_SubPractices[CP],"9",Practices_SubPractices[Org],"Large"),IF(AND(Practices_SubPractices[CP]=10,Practices_SubPractices[Org] ="Large"),SUMIFS(Practices_SubPractices[B],Practices_SubPractices[CP],"10",Practices_SubPractices[Org],"Large"),"TBD"))))))))))))))))))))))))))))))</f>
        <v>6</v>
      </c>
      <c r="P61" s="77">
        <f>IF(AND(Practices_SubPractices[CP]=1,Practices_SubPractices[Org]="Small"),SUMIFS(Practices_SubPractices[C],Practices_SubPractices[CP],"1",Practices_SubPractices[Org],"Small"),IF(AND(Practices_SubPractices[CP]=2,Practices_SubPractices[Org]="Small"),SUMIFS(Practices_SubPractices[C],Practices_SubPractices[CP],"2",Practices_SubPractices[Org],"Small"),IF(AND(Practices_SubPractices[CP]=3,Practices_SubPractices[Org]="Small"),SUMIFS(Practices_SubPractices[C],Practices_SubPractices[CP],"3",Practices_SubPractices[Org],"Small"),IF(AND(Practices_SubPractices[CP]=4,Practices_SubPractices[Org]="Small"),SUMIFS(Practices_SubPractices[C],Practices_SubPractices[CP],"4",Practices_SubPractices[Org],"Small"),IF(AND(Practices_SubPractices[CP]=5,Practices_SubPractices[Org]="Small"),SUMIFS(Practices_SubPractices[C],Practices_SubPractices[CP],"5",Practices_SubPractices[Org],"Small"),IF(AND(Practices_SubPractices[CP]=6,Practices_SubPractices[Org]="Small"),SUMIFS(Practices_SubPractices[C],Practices_SubPractices[CP],"6",Practices_SubPractices[Org],"Small"),IF(AND(Practices_SubPractices[CP]=7,Practices_SubPractices[Org] ="Small"),SUMIFS(Practices_SubPractices[C],Practices_SubPractices[CP],"7",Practices_SubPractices[Org],"Small"),IF(AND(Practices_SubPractices[CP]=8,Practices_SubPractices[Org] ="Small"),SUMIFS(Practices_SubPractices[C],Practices_SubPractices[CP],"8",Practices_SubPractices[Org],"Small"),IF(AND(Practices_SubPractices[CP]=9,Practices_SubPractices[Org] ="Small"),SUMIFS(Practices_SubPractices[C],Practices_SubPractices[CP],"9",Practices_SubPractices[Org],"Small"),IF(AND(Practices_SubPractices[CP]=10,Practices_SubPractices[Org] ="Small"),SUMIFS(Practices_SubPractices[C],Practices_SubPractices[CP],"10",Practices_SubPractices[Org],"Small"),IF(AND(Practices_SubPractices[CP]=1,Practices_SubPractices[Org]="Medium"),SUMIFS(Practices_SubPractices[C],Practices_SubPractices[CP],"1",Practices_SubPractices[Org],"Medium"),IF(AND(Practices_SubPractices[CP]=2,Practices_SubPractices[Org]="Medium"),SUMIFS(Practices_SubPractices[C],Practices_SubPractices[CP],"2",Practices_SubPractices[Org],"Medium"),IF(AND(Practices_SubPractices[CP]=3,Practices_SubPractices[Org]="Medium"),SUMIFS(Practices_SubPractices[C],Practices_SubPractices[CP],"3",Practices_SubPractices[Org],"Medium"),IF(AND(Practices_SubPractices[CP]=4,Practices_SubPractices[Org]="Medium"),SUMIFS(Practices_SubPractices[C],Practices_SubPractices[CP],"4",Practices_SubPractices[Org],"Medium"),IF(AND(Practices_SubPractices[CP]=5,Practices_SubPractices[Org]="Medium"),SUMIFS(Practices_SubPractices[C],Practices_SubPractices[CP],"5",Practices_SubPractices[Org],"Medium"),IF(AND(Practices_SubPractices[CP]=6,Practices_SubPractices[Org]="Medium"),SUMIFS(Practices_SubPractices[C],Practices_SubPractices[CP],"6",Practices_SubPractices[Org],"Medium"),IF(AND(Practices_SubPractices[CP]=7,Practices_SubPractices[Org] ="Medium"),SUMIFS(Practices_SubPractices[C],Practices_SubPractices[CP],"7",Practices_SubPractices[Org],"Medium"),IF(AND(Practices_SubPractices[CP]=8,Practices_SubPractices[Org] ="Medium"),SUMIFS(Practices_SubPractices[C],Practices_SubPractices[CP],"8",Practices_SubPractices[Org],"Medium"),IF(AND(Practices_SubPractices[CP]=9,Practices_SubPractices[Org] ="Medium"),SUMIFS(Practices_SubPractices[C],Practices_SubPractices[CP],"9",Practices_SubPractices[Org],"Medium"),IF(AND(Practices_SubPractices[CP]=10,Practices_SubPractices[Org] ="Medium"),SUMIFS(Practices_SubPractices[C],Practices_SubPractices[CP],"10",Practices_SubPractices[Org],"Medium"),IF(AND(Practices_SubPractices[CP]=1,Practices_SubPractices[Org]="Large"),SUMIFS(Practices_SubPractices[C],Practices_SubPractices[CP],"1",Practices_SubPractices[Org],"Large"),IF(AND(Practices_SubPractices[CP]=2,Practices_SubPractices[Org]="Large"),SUMIFS(Practices_SubPractices[C],Practices_SubPractices[CP],"2",Practices_SubPractices[Org],"Large"),IF(AND(Practices_SubPractices[CP]=3,Practices_SubPractices[Org]="Large"),SUMIFS(Practices_SubPractices[C],Practices_SubPractices[CP],"3",Practices_SubPractices[Org],"Large"),IF(AND(Practices_SubPractices[CP]=4,Practices_SubPractices[Org]="Large"),SUMIFS(Practices_SubPractices[C],Practices_SubPractices[CP],"4",Practices_SubPractices[Org],"Large"),IF(AND(Practices_SubPractices[CP]=5,Practices_SubPractices[Org]="Large"),SUMIFS(Practices_SubPractices[C],Practices_SubPractices[CP],"5",Practices_SubPractices[Org],"Large"),IF(AND(Practices_SubPractices[CP]=6,Practices_SubPractices[Org]="Large"),SUMIFS(Practices_SubPractices[C],Practices_SubPractices[CP],"6",Practices_SubPractices[Org],"Large"),IF(AND(Practices_SubPractices[CP]=7,Practices_SubPractices[Org] ="Large"),SUMIFS(Practices_SubPractices[C],Practices_SubPractices[CP],"7",Practices_SubPractices[Org],"Large"),IF(AND(Practices_SubPractices[CP]=8,Practices_SubPractices[Org] ="Large"),SUMIFS(Practices_SubPractices[C],Practices_SubPractices[CP],"8",Practices_SubPractices[Org],"Large"),IF(AND(Practices_SubPractices[CP]=9,Practices_SubPractices[Org] ="Large"),SUMIFS(Practices_SubPractices[C],Practices_SubPractices[CP],"9",Practices_SubPractices[Org],"Large"),IF(AND(Practices_SubPractices[CP]=10,Practices_SubPractices[Org] ="Large"),SUMIFS(Practices_SubPractices[C],Practices_SubPractices[CP],"10",Practices_SubPractices[Org],"Large"),"TBD"))))))))))))))))))))))))))))))</f>
        <v>12</v>
      </c>
      <c r="Q61" s="77">
        <f>IF(AND(Practices_SubPractices[CP]=1,Practices_SubPractices[Org]="Small"),SUMIFS(Practices_SubPractices[D],Practices_SubPractices[CP],"1",Practices_SubPractices[Org],"Small"),IF(AND(Practices_SubPractices[CP]=2,Practices_SubPractices[Org]="Small"),SUMIFS(Practices_SubPractices[D],Practices_SubPractices[CP],"2",Practices_SubPractices[Org],"Small"),IF(AND(Practices_SubPractices[CP]=3,Practices_SubPractices[Org]="Small"),SUMIFS(Practices_SubPractices[D],Practices_SubPractices[CP],"3",Practices_SubPractices[Org],"Small"),IF(AND(Practices_SubPractices[CP]=4,Practices_SubPractices[Org]="Small"),SUMIFS(Practices_SubPractices[D],Practices_SubPractices[CP],"4",Practices_SubPractices[Org],"Small"),IF(AND(Practices_SubPractices[CP]=5,Practices_SubPractices[Org]="Small"),SUMIFS(Practices_SubPractices[D],Practices_SubPractices[CP],"5",Practices_SubPractices[Org],"Small"),IF(AND(Practices_SubPractices[CP]=6,Practices_SubPractices[Org]="Small"),SUMIFS(Practices_SubPractices[D],Practices_SubPractices[CP],"6",Practices_SubPractices[Org],"Small"),IF(AND(Practices_SubPractices[CP]=7,Practices_SubPractices[Org] ="Small"),SUMIFS(Practices_SubPractices[D],Practices_SubPractices[CP],"7",Practices_SubPractices[Org],"Small"),IF(AND(Practices_SubPractices[CP]=8,Practices_SubPractices[Org] ="Small"),SUMIFS(Practices_SubPractices[D],Practices_SubPractices[CP],"8",Practices_SubPractices[Org],"Small"),IF(AND(Practices_SubPractices[CP]=9,Practices_SubPractices[Org] ="Small"),SUMIFS(Practices_SubPractices[D],Practices_SubPractices[CP],"9",Practices_SubPractices[Org],"Small"),IF(AND(Practices_SubPractices[CP]=10,Practices_SubPractices[Org] ="Small"),SUMIFS(Practices_SubPractices[D],Practices_SubPractices[CP],"10",Practices_SubPractices[Org],"Small"),IF(AND(Practices_SubPractices[CP]=1,Practices_SubPractices[Org]="Medium"),SUMIFS(Practices_SubPractices[D],Practices_SubPractices[CP],"1",Practices_SubPractices[Org],"Medium"),IF(AND(Practices_SubPractices[CP]=2,Practices_SubPractices[Org]="Medium"),SUMIFS(Practices_SubPractices[D],Practices_SubPractices[CP],"2",Practices_SubPractices[Org],"Medium"),IF(AND(Practices_SubPractices[CP]=3,Practices_SubPractices[Org]="Medium"),SUMIFS(Practices_SubPractices[D],Practices_SubPractices[CP],"3",Practices_SubPractices[Org],"Medium"),IF(AND(Practices_SubPractices[CP]=4,Practices_SubPractices[Org]="Medium"),SUMIFS(Practices_SubPractices[D],Practices_SubPractices[CP],"4",Practices_SubPractices[Org],"Medium"),IF(AND(Practices_SubPractices[CP]=5,Practices_SubPractices[Org]="Medium"),SUMIFS(Practices_SubPractices[D],Practices_SubPractices[CP],"5",Practices_SubPractices[Org],"Medium"),IF(AND(Practices_SubPractices[CP]=6,Practices_SubPractices[Org]="Medium"),SUMIFS(Practices_SubPractices[D],Practices_SubPractices[CP],"6",Practices_SubPractices[Org],"Medium"),IF(AND(Practices_SubPractices[CP]=7,Practices_SubPractices[Org] ="Medium"),SUMIFS(Practices_SubPractices[D],Practices_SubPractices[CP],"7",Practices_SubPractices[Org],"Medium"),IF(AND(Practices_SubPractices[CP]=8,Practices_SubPractices[Org] ="Medium"),SUMIFS(Practices_SubPractices[D],Practices_SubPractices[CP],"8",Practices_SubPractices[Org],"Medium"),IF(AND(Practices_SubPractices[CP]=9,Practices_SubPractices[Org] ="Medium"),SUMIFS(Practices_SubPractices[D],Practices_SubPractices[CP],"9",Practices_SubPractices[Org],"Medium"),IF(AND(Practices_SubPractices[CP]=10,Practices_SubPractices[Org] ="Medium"),SUMIFS(Practices_SubPractices[D],Practices_SubPractices[CP],"10",Practices_SubPractices[Org],"Medium"),IF(AND(Practices_SubPractices[CP]=1,Practices_SubPractices[Org]="Large"),SUMIFS(Practices_SubPractices[D],Practices_SubPractices[CP],"1",Practices_SubPractices[Org],"Large"),IF(AND(Practices_SubPractices[CP]=2,Practices_SubPractices[Org]="Large"),SUMIFS(Practices_SubPractices[D],Practices_SubPractices[CP],"2",Practices_SubPractices[Org],"Large"),IF(AND(Practices_SubPractices[CP]=3,Practices_SubPractices[Org]="Large"),SUMIFS(Practices_SubPractices[D],Practices_SubPractices[CP],"3",Practices_SubPractices[Org],"Large"),IF(AND(Practices_SubPractices[CP]=4,Practices_SubPractices[Org]="Large"),SUMIFS(Practices_SubPractices[D],Practices_SubPractices[CP],"4",Practices_SubPractices[Org],"Large"),IF(AND(Practices_SubPractices[CP]=5,Practices_SubPractices[Org]="Large"),SUMIFS(Practices_SubPractices[D],Practices_SubPractices[CP],"5",Practices_SubPractices[Org],"Large"),IF(AND(Practices_SubPractices[CP]=6,Practices_SubPractices[Org]="Large"),SUMIFS(Practices_SubPractices[D],Practices_SubPractices[CP],"6",Practices_SubPractices[Org],"Large"),IF(AND(Practices_SubPractices[CP]=7,Practices_SubPractices[Org] ="Large"),SUMIFS(Practices_SubPractices[D],Practices_SubPractices[CP],"7",Practices_SubPractices[Org],"Large"),IF(AND(Practices_SubPractices[CP]=8,Practices_SubPractices[Org] ="Large"),SUMIFS(Practices_SubPractices[D],Practices_SubPractices[CP],"8",Practices_SubPractices[Org],"Large"),IF(AND(Practices_SubPractices[CP]=9,Practices_SubPractices[Org] ="Large"),SUMIFS(Practices_SubPractices[D],Practices_SubPractices[CP],"9",Practices_SubPractices[Org],"Large"),IF(AND(Practices_SubPractices[CP]=10,Practices_SubPractices[Org] ="Large"),SUMIFS(Practices_SubPractices[D],Practices_SubPractices[CP],"10",Practices_SubPractices[Org],"Large"),"TBD"))))))))))))))))))))))))))))))</f>
        <v>11</v>
      </c>
      <c r="R61" s="77">
        <f>IF(AND(Practices_SubPractices[CP]=1,Practices_SubPractices[Org]="Small"),SUMIFS(Practices_SubPractices[E],Practices_SubPractices[CP],"1",Practices_SubPractices[Org],"Small"),IF(AND(Practices_SubPractices[CP]=2,Practices_SubPractices[Org]="Small"),SUMIFS(Practices_SubPractices[E],Practices_SubPractices[CP],"2",Practices_SubPractices[Org],"Small"),IF(AND(Practices_SubPractices[CP]=3,Practices_SubPractices[Org]="Small"),SUMIFS(Practices_SubPractices[E],Practices_SubPractices[CP],"3",Practices_SubPractices[Org],"Small"),IF(AND(Practices_SubPractices[CP]=4,Practices_SubPractices[Org]="Small"),SUMIFS(Practices_SubPractices[E],Practices_SubPractices[CP],"4",Practices_SubPractices[Org],"Small"),IF(AND(Practices_SubPractices[CP]=5,Practices_SubPractices[Org]="Small"),SUMIFS(Practices_SubPractices[E],Practices_SubPractices[CP],"5",Practices_SubPractices[Org],"Small"),IF(AND(Practices_SubPractices[CP]=6,Practices_SubPractices[Org]="Small"),SUMIFS(Practices_SubPractices[E],Practices_SubPractices[CP],"6",Practices_SubPractices[Org],"Small"),IF(AND(Practices_SubPractices[CP]=7,Practices_SubPractices[Org] ="Small"),SUMIFS(Practices_SubPractices[E],Practices_SubPractices[CP],"7",Practices_SubPractices[Org],"Small"),IF(AND(Practices_SubPractices[CP]=8,Practices_SubPractices[Org] ="Small"),SUMIFS(Practices_SubPractices[E],Practices_SubPractices[CP],"8",Practices_SubPractices[Org],"Small"),IF(AND(Practices_SubPractices[CP]=9,Practices_SubPractices[Org] ="Small"),SUMIFS(Practices_SubPractices[E],Practices_SubPractices[CP],"9",Practices_SubPractices[Org],"Small"),IF(AND(Practices_SubPractices[CP]=10,Practices_SubPractices[Org] ="Small"),SUMIFS(Practices_SubPractices[E],Practices_SubPractices[CP],"10",Practices_SubPractices[Org],"Small"),IF(AND(Practices_SubPractices[CP]=1,Practices_SubPractices[Org]="Medium"),SUMIFS(Practices_SubPractices[E],Practices_SubPractices[CP],"1",Practices_SubPractices[Org],"Medium"),IF(AND(Practices_SubPractices[CP]=2,Practices_SubPractices[Org]="Medium"),SUMIFS(Practices_SubPractices[E],Practices_SubPractices[CP],"2",Practices_SubPractices[Org],"Medium"),IF(AND(Practices_SubPractices[CP]=3,Practices_SubPractices[Org]="Medium"),SUMIFS(Practices_SubPractices[E],Practices_SubPractices[CP],"3",Practices_SubPractices[Org],"Medium"),IF(AND(Practices_SubPractices[CP]=4,Practices_SubPractices[Org]="Medium"),SUMIFS(Practices_SubPractices[E],Practices_SubPractices[CP],"4",Practices_SubPractices[Org],"Medium"),IF(AND(Practices_SubPractices[CP]=5,Practices_SubPractices[Org]="Medium"),SUMIFS(Practices_SubPractices[E],Practices_SubPractices[CP],"5",Practices_SubPractices[Org],"Medium"),IF(AND(Practices_SubPractices[CP]=6,Practices_SubPractices[Org]="Medium"),SUMIFS(Practices_SubPractices[E],Practices_SubPractices[CP],"6",Practices_SubPractices[Org],"Medium"),IF(AND(Practices_SubPractices[CP]=7,Practices_SubPractices[Org] ="Medium"),SUMIFS(Practices_SubPractices[E],Practices_SubPractices[CP],"7",Practices_SubPractices[Org],"Medium"),IF(AND(Practices_SubPractices[CP]=8,Practices_SubPractices[Org] ="Medium"),SUMIFS(Practices_SubPractices[E],Practices_SubPractices[CP],"8",Practices_SubPractices[Org],"Medium"),IF(AND(Practices_SubPractices[CP]=9,Practices_SubPractices[Org] ="Medium"),SUMIFS(Practices_SubPractices[E],Practices_SubPractices[CP],"9",Practices_SubPractices[Org],"Medium"),IF(AND(Practices_SubPractices[CP]=10,Practices_SubPractices[Org] ="Medium"),SUMIFS(Practices_SubPractices[E],Practices_SubPractices[CP],"10",Practices_SubPractices[Org],"Medium"),IF(AND(Practices_SubPractices[CP]=1,Practices_SubPractices[Org]="Large"),SUMIFS(Practices_SubPractices[E],Practices_SubPractices[CP],"1",Practices_SubPractices[Org],"Large"),IF(AND(Practices_SubPractices[CP]=2,Practices_SubPractices[Org]="Large"),SUMIFS(Practices_SubPractices[E],Practices_SubPractices[CP],"2",Practices_SubPractices[Org],"Large"),IF(AND(Practices_SubPractices[CP]=3,Practices_SubPractices[Org]="Large"),SUMIFS(Practices_SubPractices[E],Practices_SubPractices[CP],"3",Practices_SubPractices[Org],"Large"),IF(AND(Practices_SubPractices[CP]=4,Practices_SubPractices[Org]="Large"),SUMIFS(Practices_SubPractices[E],Practices_SubPractices[CP],"4",Practices_SubPractices[Org],"Large"),IF(AND(Practices_SubPractices[CP]=5,Practices_SubPractices[Org]="Large"),SUMIFS(Practices_SubPractices[E],Practices_SubPractices[CP],"5",Practices_SubPractices[Org],"Large"),IF(AND(Practices_SubPractices[CP]=6,Practices_SubPractices[Org]="Large"),SUMIFS(Practices_SubPractices[E],Practices_SubPractices[CP],"6",Practices_SubPractices[Org],"Large"),IF(AND(Practices_SubPractices[CP]=7,Practices_SubPractices[Org] ="Large"),SUMIFS(Practices_SubPractices[E],Practices_SubPractices[CP],"7",Practices_SubPractices[Org],"Large"),IF(AND(Practices_SubPractices[CP]=8,Practices_SubPractices[Org] ="Large"),SUMIFS(Practices_SubPractices[E],Practices_SubPractices[CP],"8",Practices_SubPractices[Org],"Large"),IF(AND(Practices_SubPractices[CP]=9,Practices_SubPractices[Org] ="Large"),SUMIFS(Practices_SubPractices[E],Practices_SubPractices[CP],"9",Practices_SubPractices[Org],"Large"),IF(AND(Practices_SubPractices[CP]=10,Practices_SubPractices[Org] ="Large"),SUMIFS(Practices_SubPractices[E],Practices_SubPractices[CP],"10",Practices_SubPractices[Org],"Large"),"TBD"))))))))))))))))))))))))))))))</f>
        <v>5</v>
      </c>
      <c r="S61" s="87" t="s">
        <v>417</v>
      </c>
    </row>
    <row r="62" spans="1:19" x14ac:dyDescent="0.35">
      <c r="A62" s="73">
        <v>52</v>
      </c>
      <c r="B62" s="73">
        <v>5</v>
      </c>
      <c r="C62" s="73" t="s">
        <v>11</v>
      </c>
      <c r="D62" s="73" t="str">
        <f>Practices_SubPractices[[#This Row],[CP]]&amp;LEFT(Practices_SubPractices[[#This Row],[Org]],1)</f>
        <v>5M</v>
      </c>
      <c r="E62" s="73" t="s">
        <v>267</v>
      </c>
      <c r="F62" s="74" t="s">
        <v>107</v>
      </c>
      <c r="G62" s="74" t="s">
        <v>111</v>
      </c>
      <c r="H62" s="74" t="s">
        <v>228</v>
      </c>
      <c r="I62" s="75">
        <v>0</v>
      </c>
      <c r="J62" s="75">
        <v>0</v>
      </c>
      <c r="K62" s="75">
        <v>2</v>
      </c>
      <c r="L62" s="75">
        <v>1</v>
      </c>
      <c r="M62" s="75">
        <v>1</v>
      </c>
      <c r="N62" s="76"/>
      <c r="O62" s="77">
        <f>IF(AND(Practices_SubPractices[CP]=1,Practices_SubPractices[Org]="Small"),SUMIFS(Practices_SubPractices[B],Practices_SubPractices[CP],"1",Practices_SubPractices[Org],"Small"),IF(AND(Practices_SubPractices[CP]=2,Practices_SubPractices[Org]="Small"),SUMIFS(Practices_SubPractices[B],Practices_SubPractices[CP],"2",Practices_SubPractices[Org],"Small"),IF(AND(Practices_SubPractices[CP]=3,Practices_SubPractices[Org]="Small"),SUMIFS(Practices_SubPractices[B],Practices_SubPractices[CP],"3",Practices_SubPractices[Org],"Small"),IF(AND(Practices_SubPractices[CP]=4,Practices_SubPractices[Org]="Small"),SUMIFS(Practices_SubPractices[B],Practices_SubPractices[CP],"4",Practices_SubPractices[Org],"Small"),IF(AND(Practices_SubPractices[CP]=5,Practices_SubPractices[Org]="Small"),SUMIFS(Practices_SubPractices[B],Practices_SubPractices[CP],"5",Practices_SubPractices[Org],"Small"),IF(AND(Practices_SubPractices[CP]=6,Practices_SubPractices[Org]="Small"),SUMIFS(Practices_SubPractices[B],Practices_SubPractices[CP],"6",Practices_SubPractices[Org],"Small"),IF(AND(Practices_SubPractices[CP]=7,Practices_SubPractices[Org] ="Small"),SUMIFS(Practices_SubPractices[B],Practices_SubPractices[CP],"7",Practices_SubPractices[Org],"Small"),IF(AND(Practices_SubPractices[CP]=8,Practices_SubPractices[Org] ="Small"),SUMIFS(Practices_SubPractices[B],Practices_SubPractices[CP],"8",Practices_SubPractices[Org],"Small"),IF(AND(Practices_SubPractices[CP]=9,Practices_SubPractices[Org] ="Small"),SUMIFS(Practices_SubPractices[B],Practices_SubPractices[CP],"9",Practices_SubPractices[Org],"Small"),IF(AND(Practices_SubPractices[CP]=10,Practices_SubPractices[Org] ="Small"),SUMIFS(Practices_SubPractices[B],Practices_SubPractices[CP],"10",Practices_SubPractices[Org],"Small"),IF(AND(Practices_SubPractices[CP]=1,Practices_SubPractices[Org]="Medium"),SUMIFS(Practices_SubPractices[B],Practices_SubPractices[CP],"1",Practices_SubPractices[Org],"Medium"),IF(AND(Practices_SubPractices[CP]=2,Practices_SubPractices[Org]="Medium"),SUMIFS(Practices_SubPractices[B],Practices_SubPractices[CP],"2",Practices_SubPractices[Org],"Medium"),IF(AND(Practices_SubPractices[CP]=3,Practices_SubPractices[Org]="Medium"),SUMIFS(Practices_SubPractices[B],Practices_SubPractices[CP],"3",Practices_SubPractices[Org],"Medium"),IF(AND(Practices_SubPractices[CP]=4,Practices_SubPractices[Org]="Medium"),SUMIFS(Practices_SubPractices[B],Practices_SubPractices[CP],"4",Practices_SubPractices[Org],"Medium"),IF(AND(Practices_SubPractices[CP]=5,Practices_SubPractices[Org]="Medium"),SUMIFS(Practices_SubPractices[B],Practices_SubPractices[CP],"5",Practices_SubPractices[Org],"Medium"),IF(AND(Practices_SubPractices[CP]=6,Practices_SubPractices[Org]="Medium"),SUMIFS(Practices_SubPractices[B],Practices_SubPractices[CP],"6",Practices_SubPractices[Org],"Medium"),IF(AND(Practices_SubPractices[CP]=7,Practices_SubPractices[Org] ="Medium"),SUMIFS(Practices_SubPractices[B],Practices_SubPractices[CP],"7",Practices_SubPractices[Org],"Medium"),IF(AND(Practices_SubPractices[CP]=8,Practices_SubPractices[Org] ="Medium"),SUMIFS(Practices_SubPractices[B],Practices_SubPractices[CP],"8",Practices_SubPractices[Org],"Medium"),IF(AND(Practices_SubPractices[CP]=9,Practices_SubPractices[Org] ="Medium"),SUMIFS(Practices_SubPractices[B],Practices_SubPractices[CP],"9",Practices_SubPractices[Org],"Medium"),IF(AND(Practices_SubPractices[CP]=10,Practices_SubPractices[Org] ="Medium"),SUMIFS(Practices_SubPractices[B],Practices_SubPractices[CP],"10",Practices_SubPractices[Org],"Medium"),IF(AND(Practices_SubPractices[CP]=1,Practices_SubPractices[Org]="Large"),SUMIFS(Practices_SubPractices[B],Practices_SubPractices[CP],"1",Practices_SubPractices[Org],"Large"),IF(AND(Practices_SubPractices[CP]=2,Practices_SubPractices[Org]="Large"),SUMIFS(Practices_SubPractices[B],Practices_SubPractices[CP],"2",Practices_SubPractices[Org],"Large"),IF(AND(Practices_SubPractices[CP]=3,Practices_SubPractices[Org]="Large"),SUMIFS(Practices_SubPractices[B],Practices_SubPractices[CP],"3",Practices_SubPractices[Org],"Large"),IF(AND(Practices_SubPractices[CP]=4,Practices_SubPractices[Org]="Large"),SUMIFS(Practices_SubPractices[B],Practices_SubPractices[CP],"4",Practices_SubPractices[Org],"Large"),IF(AND(Practices_SubPractices[CP]=5,Practices_SubPractices[Org]="Large"),SUMIFS(Practices_SubPractices[B],Practices_SubPractices[CP],"5",Practices_SubPractices[Org],"Large"),IF(AND(Practices_SubPractices[CP]=6,Practices_SubPractices[Org]="Large"),SUMIFS(Practices_SubPractices[B],Practices_SubPractices[CP],"6",Practices_SubPractices[Org],"Large"),IF(AND(Practices_SubPractices[CP]=7,Practices_SubPractices[Org] ="Large"),SUMIFS(Practices_SubPractices[B],Practices_SubPractices[CP],"7",Practices_SubPractices[Org],"Large"),IF(AND(Practices_SubPractices[CP]=8,Practices_SubPractices[Org] ="Large"),SUMIFS(Practices_SubPractices[B],Practices_SubPractices[CP],"8",Practices_SubPractices[Org],"Large"),IF(AND(Practices_SubPractices[CP]=9,Practices_SubPractices[Org] ="Large"),SUMIFS(Practices_SubPractices[B],Practices_SubPractices[CP],"9",Practices_SubPractices[Org],"Large"),IF(AND(Practices_SubPractices[CP]=10,Practices_SubPractices[Org] ="Large"),SUMIFS(Practices_SubPractices[B],Practices_SubPractices[CP],"10",Practices_SubPractices[Org],"Large"),"TBD"))))))))))))))))))))))))))))))</f>
        <v>3</v>
      </c>
      <c r="P62" s="77">
        <f>IF(AND(Practices_SubPractices[CP]=1,Practices_SubPractices[Org]="Small"),SUMIFS(Practices_SubPractices[C],Practices_SubPractices[CP],"1",Practices_SubPractices[Org],"Small"),IF(AND(Practices_SubPractices[CP]=2,Practices_SubPractices[Org]="Small"),SUMIFS(Practices_SubPractices[C],Practices_SubPractices[CP],"2",Practices_SubPractices[Org],"Small"),IF(AND(Practices_SubPractices[CP]=3,Practices_SubPractices[Org]="Small"),SUMIFS(Practices_SubPractices[C],Practices_SubPractices[CP],"3",Practices_SubPractices[Org],"Small"),IF(AND(Practices_SubPractices[CP]=4,Practices_SubPractices[Org]="Small"),SUMIFS(Practices_SubPractices[C],Practices_SubPractices[CP],"4",Practices_SubPractices[Org],"Small"),IF(AND(Practices_SubPractices[CP]=5,Practices_SubPractices[Org]="Small"),SUMIFS(Practices_SubPractices[C],Practices_SubPractices[CP],"5",Practices_SubPractices[Org],"Small"),IF(AND(Practices_SubPractices[CP]=6,Practices_SubPractices[Org]="Small"),SUMIFS(Practices_SubPractices[C],Practices_SubPractices[CP],"6",Practices_SubPractices[Org],"Small"),IF(AND(Practices_SubPractices[CP]=7,Practices_SubPractices[Org] ="Small"),SUMIFS(Practices_SubPractices[C],Practices_SubPractices[CP],"7",Practices_SubPractices[Org],"Small"),IF(AND(Practices_SubPractices[CP]=8,Practices_SubPractices[Org] ="Small"),SUMIFS(Practices_SubPractices[C],Practices_SubPractices[CP],"8",Practices_SubPractices[Org],"Small"),IF(AND(Practices_SubPractices[CP]=9,Practices_SubPractices[Org] ="Small"),SUMIFS(Practices_SubPractices[C],Practices_SubPractices[CP],"9",Practices_SubPractices[Org],"Small"),IF(AND(Practices_SubPractices[CP]=10,Practices_SubPractices[Org] ="Small"),SUMIFS(Practices_SubPractices[C],Practices_SubPractices[CP],"10",Practices_SubPractices[Org],"Small"),IF(AND(Practices_SubPractices[CP]=1,Practices_SubPractices[Org]="Medium"),SUMIFS(Practices_SubPractices[C],Practices_SubPractices[CP],"1",Practices_SubPractices[Org],"Medium"),IF(AND(Practices_SubPractices[CP]=2,Practices_SubPractices[Org]="Medium"),SUMIFS(Practices_SubPractices[C],Practices_SubPractices[CP],"2",Practices_SubPractices[Org],"Medium"),IF(AND(Practices_SubPractices[CP]=3,Practices_SubPractices[Org]="Medium"),SUMIFS(Practices_SubPractices[C],Practices_SubPractices[CP],"3",Practices_SubPractices[Org],"Medium"),IF(AND(Practices_SubPractices[CP]=4,Practices_SubPractices[Org]="Medium"),SUMIFS(Practices_SubPractices[C],Practices_SubPractices[CP],"4",Practices_SubPractices[Org],"Medium"),IF(AND(Practices_SubPractices[CP]=5,Practices_SubPractices[Org]="Medium"),SUMIFS(Practices_SubPractices[C],Practices_SubPractices[CP],"5",Practices_SubPractices[Org],"Medium"),IF(AND(Practices_SubPractices[CP]=6,Practices_SubPractices[Org]="Medium"),SUMIFS(Practices_SubPractices[C],Practices_SubPractices[CP],"6",Practices_SubPractices[Org],"Medium"),IF(AND(Practices_SubPractices[CP]=7,Practices_SubPractices[Org] ="Medium"),SUMIFS(Practices_SubPractices[C],Practices_SubPractices[CP],"7",Practices_SubPractices[Org],"Medium"),IF(AND(Practices_SubPractices[CP]=8,Practices_SubPractices[Org] ="Medium"),SUMIFS(Practices_SubPractices[C],Practices_SubPractices[CP],"8",Practices_SubPractices[Org],"Medium"),IF(AND(Practices_SubPractices[CP]=9,Practices_SubPractices[Org] ="Medium"),SUMIFS(Practices_SubPractices[C],Practices_SubPractices[CP],"9",Practices_SubPractices[Org],"Medium"),IF(AND(Practices_SubPractices[CP]=10,Practices_SubPractices[Org] ="Medium"),SUMIFS(Practices_SubPractices[C],Practices_SubPractices[CP],"10",Practices_SubPractices[Org],"Medium"),IF(AND(Practices_SubPractices[CP]=1,Practices_SubPractices[Org]="Large"),SUMIFS(Practices_SubPractices[C],Practices_SubPractices[CP],"1",Practices_SubPractices[Org],"Large"),IF(AND(Practices_SubPractices[CP]=2,Practices_SubPractices[Org]="Large"),SUMIFS(Practices_SubPractices[C],Practices_SubPractices[CP],"2",Practices_SubPractices[Org],"Large"),IF(AND(Practices_SubPractices[CP]=3,Practices_SubPractices[Org]="Large"),SUMIFS(Practices_SubPractices[C],Practices_SubPractices[CP],"3",Practices_SubPractices[Org],"Large"),IF(AND(Practices_SubPractices[CP]=4,Practices_SubPractices[Org]="Large"),SUMIFS(Practices_SubPractices[C],Practices_SubPractices[CP],"4",Practices_SubPractices[Org],"Large"),IF(AND(Practices_SubPractices[CP]=5,Practices_SubPractices[Org]="Large"),SUMIFS(Practices_SubPractices[C],Practices_SubPractices[CP],"5",Practices_SubPractices[Org],"Large"),IF(AND(Practices_SubPractices[CP]=6,Practices_SubPractices[Org]="Large"),SUMIFS(Practices_SubPractices[C],Practices_SubPractices[CP],"6",Practices_SubPractices[Org],"Large"),IF(AND(Practices_SubPractices[CP]=7,Practices_SubPractices[Org] ="Large"),SUMIFS(Practices_SubPractices[C],Practices_SubPractices[CP],"7",Practices_SubPractices[Org],"Large"),IF(AND(Practices_SubPractices[CP]=8,Practices_SubPractices[Org] ="Large"),SUMIFS(Practices_SubPractices[C],Practices_SubPractices[CP],"8",Practices_SubPractices[Org],"Large"),IF(AND(Practices_SubPractices[CP]=9,Practices_SubPractices[Org] ="Large"),SUMIFS(Practices_SubPractices[C],Practices_SubPractices[CP],"9",Practices_SubPractices[Org],"Large"),IF(AND(Practices_SubPractices[CP]=10,Practices_SubPractices[Org] ="Large"),SUMIFS(Practices_SubPractices[C],Practices_SubPractices[CP],"10",Practices_SubPractices[Org],"Large"),"TBD"))))))))))))))))))))))))))))))</f>
        <v>8</v>
      </c>
      <c r="Q62" s="77">
        <f>IF(AND(Practices_SubPractices[CP]=1,Practices_SubPractices[Org]="Small"),SUMIFS(Practices_SubPractices[D],Practices_SubPractices[CP],"1",Practices_SubPractices[Org],"Small"),IF(AND(Practices_SubPractices[CP]=2,Practices_SubPractices[Org]="Small"),SUMIFS(Practices_SubPractices[D],Practices_SubPractices[CP],"2",Practices_SubPractices[Org],"Small"),IF(AND(Practices_SubPractices[CP]=3,Practices_SubPractices[Org]="Small"),SUMIFS(Practices_SubPractices[D],Practices_SubPractices[CP],"3",Practices_SubPractices[Org],"Small"),IF(AND(Practices_SubPractices[CP]=4,Practices_SubPractices[Org]="Small"),SUMIFS(Practices_SubPractices[D],Practices_SubPractices[CP],"4",Practices_SubPractices[Org],"Small"),IF(AND(Practices_SubPractices[CP]=5,Practices_SubPractices[Org]="Small"),SUMIFS(Practices_SubPractices[D],Practices_SubPractices[CP],"5",Practices_SubPractices[Org],"Small"),IF(AND(Practices_SubPractices[CP]=6,Practices_SubPractices[Org]="Small"),SUMIFS(Practices_SubPractices[D],Practices_SubPractices[CP],"6",Practices_SubPractices[Org],"Small"),IF(AND(Practices_SubPractices[CP]=7,Practices_SubPractices[Org] ="Small"),SUMIFS(Practices_SubPractices[D],Practices_SubPractices[CP],"7",Practices_SubPractices[Org],"Small"),IF(AND(Practices_SubPractices[CP]=8,Practices_SubPractices[Org] ="Small"),SUMIFS(Practices_SubPractices[D],Practices_SubPractices[CP],"8",Practices_SubPractices[Org],"Small"),IF(AND(Practices_SubPractices[CP]=9,Practices_SubPractices[Org] ="Small"),SUMIFS(Practices_SubPractices[D],Practices_SubPractices[CP],"9",Practices_SubPractices[Org],"Small"),IF(AND(Practices_SubPractices[CP]=10,Practices_SubPractices[Org] ="Small"),SUMIFS(Practices_SubPractices[D],Practices_SubPractices[CP],"10",Practices_SubPractices[Org],"Small"),IF(AND(Practices_SubPractices[CP]=1,Practices_SubPractices[Org]="Medium"),SUMIFS(Practices_SubPractices[D],Practices_SubPractices[CP],"1",Practices_SubPractices[Org],"Medium"),IF(AND(Practices_SubPractices[CP]=2,Practices_SubPractices[Org]="Medium"),SUMIFS(Practices_SubPractices[D],Practices_SubPractices[CP],"2",Practices_SubPractices[Org],"Medium"),IF(AND(Practices_SubPractices[CP]=3,Practices_SubPractices[Org]="Medium"),SUMIFS(Practices_SubPractices[D],Practices_SubPractices[CP],"3",Practices_SubPractices[Org],"Medium"),IF(AND(Practices_SubPractices[CP]=4,Practices_SubPractices[Org]="Medium"),SUMIFS(Practices_SubPractices[D],Practices_SubPractices[CP],"4",Practices_SubPractices[Org],"Medium"),IF(AND(Practices_SubPractices[CP]=5,Practices_SubPractices[Org]="Medium"),SUMIFS(Practices_SubPractices[D],Practices_SubPractices[CP],"5",Practices_SubPractices[Org],"Medium"),IF(AND(Practices_SubPractices[CP]=6,Practices_SubPractices[Org]="Medium"),SUMIFS(Practices_SubPractices[D],Practices_SubPractices[CP],"6",Practices_SubPractices[Org],"Medium"),IF(AND(Practices_SubPractices[CP]=7,Practices_SubPractices[Org] ="Medium"),SUMIFS(Practices_SubPractices[D],Practices_SubPractices[CP],"7",Practices_SubPractices[Org],"Medium"),IF(AND(Practices_SubPractices[CP]=8,Practices_SubPractices[Org] ="Medium"),SUMIFS(Practices_SubPractices[D],Practices_SubPractices[CP],"8",Practices_SubPractices[Org],"Medium"),IF(AND(Practices_SubPractices[CP]=9,Practices_SubPractices[Org] ="Medium"),SUMIFS(Practices_SubPractices[D],Practices_SubPractices[CP],"9",Practices_SubPractices[Org],"Medium"),IF(AND(Practices_SubPractices[CP]=10,Practices_SubPractices[Org] ="Medium"),SUMIFS(Practices_SubPractices[D],Practices_SubPractices[CP],"10",Practices_SubPractices[Org],"Medium"),IF(AND(Practices_SubPractices[CP]=1,Practices_SubPractices[Org]="Large"),SUMIFS(Practices_SubPractices[D],Practices_SubPractices[CP],"1",Practices_SubPractices[Org],"Large"),IF(AND(Practices_SubPractices[CP]=2,Practices_SubPractices[Org]="Large"),SUMIFS(Practices_SubPractices[D],Practices_SubPractices[CP],"2",Practices_SubPractices[Org],"Large"),IF(AND(Practices_SubPractices[CP]=3,Practices_SubPractices[Org]="Large"),SUMIFS(Practices_SubPractices[D],Practices_SubPractices[CP],"3",Practices_SubPractices[Org],"Large"),IF(AND(Practices_SubPractices[CP]=4,Practices_SubPractices[Org]="Large"),SUMIFS(Practices_SubPractices[D],Practices_SubPractices[CP],"4",Practices_SubPractices[Org],"Large"),IF(AND(Practices_SubPractices[CP]=5,Practices_SubPractices[Org]="Large"),SUMIFS(Practices_SubPractices[D],Practices_SubPractices[CP],"5",Practices_SubPractices[Org],"Large"),IF(AND(Practices_SubPractices[CP]=6,Practices_SubPractices[Org]="Large"),SUMIFS(Practices_SubPractices[D],Practices_SubPractices[CP],"6",Practices_SubPractices[Org],"Large"),IF(AND(Practices_SubPractices[CP]=7,Practices_SubPractices[Org] ="Large"),SUMIFS(Practices_SubPractices[D],Practices_SubPractices[CP],"7",Practices_SubPractices[Org],"Large"),IF(AND(Practices_SubPractices[CP]=8,Practices_SubPractices[Org] ="Large"),SUMIFS(Practices_SubPractices[D],Practices_SubPractices[CP],"8",Practices_SubPractices[Org],"Large"),IF(AND(Practices_SubPractices[CP]=9,Practices_SubPractices[Org] ="Large"),SUMIFS(Practices_SubPractices[D],Practices_SubPractices[CP],"9",Practices_SubPractices[Org],"Large"),IF(AND(Practices_SubPractices[CP]=10,Practices_SubPractices[Org] ="Large"),SUMIFS(Practices_SubPractices[D],Practices_SubPractices[CP],"10",Practices_SubPractices[Org],"Large"),"TBD"))))))))))))))))))))))))))))))</f>
        <v>7</v>
      </c>
      <c r="R62" s="77">
        <f>IF(AND(Practices_SubPractices[CP]=1,Practices_SubPractices[Org]="Small"),SUMIFS(Practices_SubPractices[E],Practices_SubPractices[CP],"1",Practices_SubPractices[Org],"Small"),IF(AND(Practices_SubPractices[CP]=2,Practices_SubPractices[Org]="Small"),SUMIFS(Practices_SubPractices[E],Practices_SubPractices[CP],"2",Practices_SubPractices[Org],"Small"),IF(AND(Practices_SubPractices[CP]=3,Practices_SubPractices[Org]="Small"),SUMIFS(Practices_SubPractices[E],Practices_SubPractices[CP],"3",Practices_SubPractices[Org],"Small"),IF(AND(Practices_SubPractices[CP]=4,Practices_SubPractices[Org]="Small"),SUMIFS(Practices_SubPractices[E],Practices_SubPractices[CP],"4",Practices_SubPractices[Org],"Small"),IF(AND(Practices_SubPractices[CP]=5,Practices_SubPractices[Org]="Small"),SUMIFS(Practices_SubPractices[E],Practices_SubPractices[CP],"5",Practices_SubPractices[Org],"Small"),IF(AND(Practices_SubPractices[CP]=6,Practices_SubPractices[Org]="Small"),SUMIFS(Practices_SubPractices[E],Practices_SubPractices[CP],"6",Practices_SubPractices[Org],"Small"),IF(AND(Practices_SubPractices[CP]=7,Practices_SubPractices[Org] ="Small"),SUMIFS(Practices_SubPractices[E],Practices_SubPractices[CP],"7",Practices_SubPractices[Org],"Small"),IF(AND(Practices_SubPractices[CP]=8,Practices_SubPractices[Org] ="Small"),SUMIFS(Practices_SubPractices[E],Practices_SubPractices[CP],"8",Practices_SubPractices[Org],"Small"),IF(AND(Practices_SubPractices[CP]=9,Practices_SubPractices[Org] ="Small"),SUMIFS(Practices_SubPractices[E],Practices_SubPractices[CP],"9",Practices_SubPractices[Org],"Small"),IF(AND(Practices_SubPractices[CP]=10,Practices_SubPractices[Org] ="Small"),SUMIFS(Practices_SubPractices[E],Practices_SubPractices[CP],"10",Practices_SubPractices[Org],"Small"),IF(AND(Practices_SubPractices[CP]=1,Practices_SubPractices[Org]="Medium"),SUMIFS(Practices_SubPractices[E],Practices_SubPractices[CP],"1",Practices_SubPractices[Org],"Medium"),IF(AND(Practices_SubPractices[CP]=2,Practices_SubPractices[Org]="Medium"),SUMIFS(Practices_SubPractices[E],Practices_SubPractices[CP],"2",Practices_SubPractices[Org],"Medium"),IF(AND(Practices_SubPractices[CP]=3,Practices_SubPractices[Org]="Medium"),SUMIFS(Practices_SubPractices[E],Practices_SubPractices[CP],"3",Practices_SubPractices[Org],"Medium"),IF(AND(Practices_SubPractices[CP]=4,Practices_SubPractices[Org]="Medium"),SUMIFS(Practices_SubPractices[E],Practices_SubPractices[CP],"4",Practices_SubPractices[Org],"Medium"),IF(AND(Practices_SubPractices[CP]=5,Practices_SubPractices[Org]="Medium"),SUMIFS(Practices_SubPractices[E],Practices_SubPractices[CP],"5",Practices_SubPractices[Org],"Medium"),IF(AND(Practices_SubPractices[CP]=6,Practices_SubPractices[Org]="Medium"),SUMIFS(Practices_SubPractices[E],Practices_SubPractices[CP],"6",Practices_SubPractices[Org],"Medium"),IF(AND(Practices_SubPractices[CP]=7,Practices_SubPractices[Org] ="Medium"),SUMIFS(Practices_SubPractices[E],Practices_SubPractices[CP],"7",Practices_SubPractices[Org],"Medium"),IF(AND(Practices_SubPractices[CP]=8,Practices_SubPractices[Org] ="Medium"),SUMIFS(Practices_SubPractices[E],Practices_SubPractices[CP],"8",Practices_SubPractices[Org],"Medium"),IF(AND(Practices_SubPractices[CP]=9,Practices_SubPractices[Org] ="Medium"),SUMIFS(Practices_SubPractices[E],Practices_SubPractices[CP],"9",Practices_SubPractices[Org],"Medium"),IF(AND(Practices_SubPractices[CP]=10,Practices_SubPractices[Org] ="Medium"),SUMIFS(Practices_SubPractices[E],Practices_SubPractices[CP],"10",Practices_SubPractices[Org],"Medium"),IF(AND(Practices_SubPractices[CP]=1,Practices_SubPractices[Org]="Large"),SUMIFS(Practices_SubPractices[E],Practices_SubPractices[CP],"1",Practices_SubPractices[Org],"Large"),IF(AND(Practices_SubPractices[CP]=2,Practices_SubPractices[Org]="Large"),SUMIFS(Practices_SubPractices[E],Practices_SubPractices[CP],"2",Practices_SubPractices[Org],"Large"),IF(AND(Practices_SubPractices[CP]=3,Practices_SubPractices[Org]="Large"),SUMIFS(Practices_SubPractices[E],Practices_SubPractices[CP],"3",Practices_SubPractices[Org],"Large"),IF(AND(Practices_SubPractices[CP]=4,Practices_SubPractices[Org]="Large"),SUMIFS(Practices_SubPractices[E],Practices_SubPractices[CP],"4",Practices_SubPractices[Org],"Large"),IF(AND(Practices_SubPractices[CP]=5,Practices_SubPractices[Org]="Large"),SUMIFS(Practices_SubPractices[E],Practices_SubPractices[CP],"5",Practices_SubPractices[Org],"Large"),IF(AND(Practices_SubPractices[CP]=6,Practices_SubPractices[Org]="Large"),SUMIFS(Practices_SubPractices[E],Practices_SubPractices[CP],"6",Practices_SubPractices[Org],"Large"),IF(AND(Practices_SubPractices[CP]=7,Practices_SubPractices[Org] ="Large"),SUMIFS(Practices_SubPractices[E],Practices_SubPractices[CP],"7",Practices_SubPractices[Org],"Large"),IF(AND(Practices_SubPractices[CP]=8,Practices_SubPractices[Org] ="Large"),SUMIFS(Practices_SubPractices[E],Practices_SubPractices[CP],"8",Practices_SubPractices[Org],"Large"),IF(AND(Practices_SubPractices[CP]=9,Practices_SubPractices[Org] ="Large"),SUMIFS(Practices_SubPractices[E],Practices_SubPractices[CP],"9",Practices_SubPractices[Org],"Large"),IF(AND(Practices_SubPractices[CP]=10,Practices_SubPractices[Org] ="Large"),SUMIFS(Practices_SubPractices[E],Practices_SubPractices[CP],"10",Practices_SubPractices[Org],"Large"),"TBD"))))))))))))))))))))))))))))))</f>
        <v>3</v>
      </c>
      <c r="S62" s="87" t="s">
        <v>418</v>
      </c>
    </row>
    <row r="63" spans="1:19" x14ac:dyDescent="0.35">
      <c r="A63" s="73">
        <v>53</v>
      </c>
      <c r="B63" s="73">
        <v>5</v>
      </c>
      <c r="C63" s="73" t="s">
        <v>12</v>
      </c>
      <c r="D63" s="73" t="str">
        <f>Practices_SubPractices[[#This Row],[CP]]&amp;LEFT(Practices_SubPractices[[#This Row],[Org]],1)</f>
        <v>5L</v>
      </c>
      <c r="E63" s="73" t="s">
        <v>267</v>
      </c>
      <c r="F63" s="74" t="s">
        <v>107</v>
      </c>
      <c r="G63" s="74" t="s">
        <v>111</v>
      </c>
      <c r="H63" s="74" t="s">
        <v>228</v>
      </c>
      <c r="I63" s="75">
        <v>0</v>
      </c>
      <c r="J63" s="75">
        <v>0</v>
      </c>
      <c r="K63" s="75">
        <v>2</v>
      </c>
      <c r="L63" s="75">
        <v>1</v>
      </c>
      <c r="M63" s="75">
        <v>1</v>
      </c>
      <c r="N63" s="76"/>
      <c r="O63" s="77">
        <f>IF(AND(Practices_SubPractices[CP]=1,Practices_SubPractices[Org]="Small"),SUMIFS(Practices_SubPractices[B],Practices_SubPractices[CP],"1",Practices_SubPractices[Org],"Small"),IF(AND(Practices_SubPractices[CP]=2,Practices_SubPractices[Org]="Small"),SUMIFS(Practices_SubPractices[B],Practices_SubPractices[CP],"2",Practices_SubPractices[Org],"Small"),IF(AND(Practices_SubPractices[CP]=3,Practices_SubPractices[Org]="Small"),SUMIFS(Practices_SubPractices[B],Practices_SubPractices[CP],"3",Practices_SubPractices[Org],"Small"),IF(AND(Practices_SubPractices[CP]=4,Practices_SubPractices[Org]="Small"),SUMIFS(Practices_SubPractices[B],Practices_SubPractices[CP],"4",Practices_SubPractices[Org],"Small"),IF(AND(Practices_SubPractices[CP]=5,Practices_SubPractices[Org]="Small"),SUMIFS(Practices_SubPractices[B],Practices_SubPractices[CP],"5",Practices_SubPractices[Org],"Small"),IF(AND(Practices_SubPractices[CP]=6,Practices_SubPractices[Org]="Small"),SUMIFS(Practices_SubPractices[B],Practices_SubPractices[CP],"6",Practices_SubPractices[Org],"Small"),IF(AND(Practices_SubPractices[CP]=7,Practices_SubPractices[Org] ="Small"),SUMIFS(Practices_SubPractices[B],Practices_SubPractices[CP],"7",Practices_SubPractices[Org],"Small"),IF(AND(Practices_SubPractices[CP]=8,Practices_SubPractices[Org] ="Small"),SUMIFS(Practices_SubPractices[B],Practices_SubPractices[CP],"8",Practices_SubPractices[Org],"Small"),IF(AND(Practices_SubPractices[CP]=9,Practices_SubPractices[Org] ="Small"),SUMIFS(Practices_SubPractices[B],Practices_SubPractices[CP],"9",Practices_SubPractices[Org],"Small"),IF(AND(Practices_SubPractices[CP]=10,Practices_SubPractices[Org] ="Small"),SUMIFS(Practices_SubPractices[B],Practices_SubPractices[CP],"10",Practices_SubPractices[Org],"Small"),IF(AND(Practices_SubPractices[CP]=1,Practices_SubPractices[Org]="Medium"),SUMIFS(Practices_SubPractices[B],Practices_SubPractices[CP],"1",Practices_SubPractices[Org],"Medium"),IF(AND(Practices_SubPractices[CP]=2,Practices_SubPractices[Org]="Medium"),SUMIFS(Practices_SubPractices[B],Practices_SubPractices[CP],"2",Practices_SubPractices[Org],"Medium"),IF(AND(Practices_SubPractices[CP]=3,Practices_SubPractices[Org]="Medium"),SUMIFS(Practices_SubPractices[B],Practices_SubPractices[CP],"3",Practices_SubPractices[Org],"Medium"),IF(AND(Practices_SubPractices[CP]=4,Practices_SubPractices[Org]="Medium"),SUMIFS(Practices_SubPractices[B],Practices_SubPractices[CP],"4",Practices_SubPractices[Org],"Medium"),IF(AND(Practices_SubPractices[CP]=5,Practices_SubPractices[Org]="Medium"),SUMIFS(Practices_SubPractices[B],Practices_SubPractices[CP],"5",Practices_SubPractices[Org],"Medium"),IF(AND(Practices_SubPractices[CP]=6,Practices_SubPractices[Org]="Medium"),SUMIFS(Practices_SubPractices[B],Practices_SubPractices[CP],"6",Practices_SubPractices[Org],"Medium"),IF(AND(Practices_SubPractices[CP]=7,Practices_SubPractices[Org] ="Medium"),SUMIFS(Practices_SubPractices[B],Practices_SubPractices[CP],"7",Practices_SubPractices[Org],"Medium"),IF(AND(Practices_SubPractices[CP]=8,Practices_SubPractices[Org] ="Medium"),SUMIFS(Practices_SubPractices[B],Practices_SubPractices[CP],"8",Practices_SubPractices[Org],"Medium"),IF(AND(Practices_SubPractices[CP]=9,Practices_SubPractices[Org] ="Medium"),SUMIFS(Practices_SubPractices[B],Practices_SubPractices[CP],"9",Practices_SubPractices[Org],"Medium"),IF(AND(Practices_SubPractices[CP]=10,Practices_SubPractices[Org] ="Medium"),SUMIFS(Practices_SubPractices[B],Practices_SubPractices[CP],"10",Practices_SubPractices[Org],"Medium"),IF(AND(Practices_SubPractices[CP]=1,Practices_SubPractices[Org]="Large"),SUMIFS(Practices_SubPractices[B],Practices_SubPractices[CP],"1",Practices_SubPractices[Org],"Large"),IF(AND(Practices_SubPractices[CP]=2,Practices_SubPractices[Org]="Large"),SUMIFS(Practices_SubPractices[B],Practices_SubPractices[CP],"2",Practices_SubPractices[Org],"Large"),IF(AND(Practices_SubPractices[CP]=3,Practices_SubPractices[Org]="Large"),SUMIFS(Practices_SubPractices[B],Practices_SubPractices[CP],"3",Practices_SubPractices[Org],"Large"),IF(AND(Practices_SubPractices[CP]=4,Practices_SubPractices[Org]="Large"),SUMIFS(Practices_SubPractices[B],Practices_SubPractices[CP],"4",Practices_SubPractices[Org],"Large"),IF(AND(Practices_SubPractices[CP]=5,Practices_SubPractices[Org]="Large"),SUMIFS(Practices_SubPractices[B],Practices_SubPractices[CP],"5",Practices_SubPractices[Org],"Large"),IF(AND(Practices_SubPractices[CP]=6,Practices_SubPractices[Org]="Large"),SUMIFS(Practices_SubPractices[B],Practices_SubPractices[CP],"6",Practices_SubPractices[Org],"Large"),IF(AND(Practices_SubPractices[CP]=7,Practices_SubPractices[Org] ="Large"),SUMIFS(Practices_SubPractices[B],Practices_SubPractices[CP],"7",Practices_SubPractices[Org],"Large"),IF(AND(Practices_SubPractices[CP]=8,Practices_SubPractices[Org] ="Large"),SUMIFS(Practices_SubPractices[B],Practices_SubPractices[CP],"8",Practices_SubPractices[Org],"Large"),IF(AND(Practices_SubPractices[CP]=9,Practices_SubPractices[Org] ="Large"),SUMIFS(Practices_SubPractices[B],Practices_SubPractices[CP],"9",Practices_SubPractices[Org],"Large"),IF(AND(Practices_SubPractices[CP]=10,Practices_SubPractices[Org] ="Large"),SUMIFS(Practices_SubPractices[B],Practices_SubPractices[CP],"10",Practices_SubPractices[Org],"Large"),"TBD"))))))))))))))))))))))))))))))</f>
        <v>6</v>
      </c>
      <c r="P63" s="77">
        <f>IF(AND(Practices_SubPractices[CP]=1,Practices_SubPractices[Org]="Small"),SUMIFS(Practices_SubPractices[C],Practices_SubPractices[CP],"1",Practices_SubPractices[Org],"Small"),IF(AND(Practices_SubPractices[CP]=2,Practices_SubPractices[Org]="Small"),SUMIFS(Practices_SubPractices[C],Practices_SubPractices[CP],"2",Practices_SubPractices[Org],"Small"),IF(AND(Practices_SubPractices[CP]=3,Practices_SubPractices[Org]="Small"),SUMIFS(Practices_SubPractices[C],Practices_SubPractices[CP],"3",Practices_SubPractices[Org],"Small"),IF(AND(Practices_SubPractices[CP]=4,Practices_SubPractices[Org]="Small"),SUMIFS(Practices_SubPractices[C],Practices_SubPractices[CP],"4",Practices_SubPractices[Org],"Small"),IF(AND(Practices_SubPractices[CP]=5,Practices_SubPractices[Org]="Small"),SUMIFS(Practices_SubPractices[C],Practices_SubPractices[CP],"5",Practices_SubPractices[Org],"Small"),IF(AND(Practices_SubPractices[CP]=6,Practices_SubPractices[Org]="Small"),SUMIFS(Practices_SubPractices[C],Practices_SubPractices[CP],"6",Practices_SubPractices[Org],"Small"),IF(AND(Practices_SubPractices[CP]=7,Practices_SubPractices[Org] ="Small"),SUMIFS(Practices_SubPractices[C],Practices_SubPractices[CP],"7",Practices_SubPractices[Org],"Small"),IF(AND(Practices_SubPractices[CP]=8,Practices_SubPractices[Org] ="Small"),SUMIFS(Practices_SubPractices[C],Practices_SubPractices[CP],"8",Practices_SubPractices[Org],"Small"),IF(AND(Practices_SubPractices[CP]=9,Practices_SubPractices[Org] ="Small"),SUMIFS(Practices_SubPractices[C],Practices_SubPractices[CP],"9",Practices_SubPractices[Org],"Small"),IF(AND(Practices_SubPractices[CP]=10,Practices_SubPractices[Org] ="Small"),SUMIFS(Practices_SubPractices[C],Practices_SubPractices[CP],"10",Practices_SubPractices[Org],"Small"),IF(AND(Practices_SubPractices[CP]=1,Practices_SubPractices[Org]="Medium"),SUMIFS(Practices_SubPractices[C],Practices_SubPractices[CP],"1",Practices_SubPractices[Org],"Medium"),IF(AND(Practices_SubPractices[CP]=2,Practices_SubPractices[Org]="Medium"),SUMIFS(Practices_SubPractices[C],Practices_SubPractices[CP],"2",Practices_SubPractices[Org],"Medium"),IF(AND(Practices_SubPractices[CP]=3,Practices_SubPractices[Org]="Medium"),SUMIFS(Practices_SubPractices[C],Practices_SubPractices[CP],"3",Practices_SubPractices[Org],"Medium"),IF(AND(Practices_SubPractices[CP]=4,Practices_SubPractices[Org]="Medium"),SUMIFS(Practices_SubPractices[C],Practices_SubPractices[CP],"4",Practices_SubPractices[Org],"Medium"),IF(AND(Practices_SubPractices[CP]=5,Practices_SubPractices[Org]="Medium"),SUMIFS(Practices_SubPractices[C],Practices_SubPractices[CP],"5",Practices_SubPractices[Org],"Medium"),IF(AND(Practices_SubPractices[CP]=6,Practices_SubPractices[Org]="Medium"),SUMIFS(Practices_SubPractices[C],Practices_SubPractices[CP],"6",Practices_SubPractices[Org],"Medium"),IF(AND(Practices_SubPractices[CP]=7,Practices_SubPractices[Org] ="Medium"),SUMIFS(Practices_SubPractices[C],Practices_SubPractices[CP],"7",Practices_SubPractices[Org],"Medium"),IF(AND(Practices_SubPractices[CP]=8,Practices_SubPractices[Org] ="Medium"),SUMIFS(Practices_SubPractices[C],Practices_SubPractices[CP],"8",Practices_SubPractices[Org],"Medium"),IF(AND(Practices_SubPractices[CP]=9,Practices_SubPractices[Org] ="Medium"),SUMIFS(Practices_SubPractices[C],Practices_SubPractices[CP],"9",Practices_SubPractices[Org],"Medium"),IF(AND(Practices_SubPractices[CP]=10,Practices_SubPractices[Org] ="Medium"),SUMIFS(Practices_SubPractices[C],Practices_SubPractices[CP],"10",Practices_SubPractices[Org],"Medium"),IF(AND(Practices_SubPractices[CP]=1,Practices_SubPractices[Org]="Large"),SUMIFS(Practices_SubPractices[C],Practices_SubPractices[CP],"1",Practices_SubPractices[Org],"Large"),IF(AND(Practices_SubPractices[CP]=2,Practices_SubPractices[Org]="Large"),SUMIFS(Practices_SubPractices[C],Practices_SubPractices[CP],"2",Practices_SubPractices[Org],"Large"),IF(AND(Practices_SubPractices[CP]=3,Practices_SubPractices[Org]="Large"),SUMIFS(Practices_SubPractices[C],Practices_SubPractices[CP],"3",Practices_SubPractices[Org],"Large"),IF(AND(Practices_SubPractices[CP]=4,Practices_SubPractices[Org]="Large"),SUMIFS(Practices_SubPractices[C],Practices_SubPractices[CP],"4",Practices_SubPractices[Org],"Large"),IF(AND(Practices_SubPractices[CP]=5,Practices_SubPractices[Org]="Large"),SUMIFS(Practices_SubPractices[C],Practices_SubPractices[CP],"5",Practices_SubPractices[Org],"Large"),IF(AND(Practices_SubPractices[CP]=6,Practices_SubPractices[Org]="Large"),SUMIFS(Practices_SubPractices[C],Practices_SubPractices[CP],"6",Practices_SubPractices[Org],"Large"),IF(AND(Practices_SubPractices[CP]=7,Practices_SubPractices[Org] ="Large"),SUMIFS(Practices_SubPractices[C],Practices_SubPractices[CP],"7",Practices_SubPractices[Org],"Large"),IF(AND(Practices_SubPractices[CP]=8,Practices_SubPractices[Org] ="Large"),SUMIFS(Practices_SubPractices[C],Practices_SubPractices[CP],"8",Practices_SubPractices[Org],"Large"),IF(AND(Practices_SubPractices[CP]=9,Practices_SubPractices[Org] ="Large"),SUMIFS(Practices_SubPractices[C],Practices_SubPractices[CP],"9",Practices_SubPractices[Org],"Large"),IF(AND(Practices_SubPractices[CP]=10,Practices_SubPractices[Org] ="Large"),SUMIFS(Practices_SubPractices[C],Practices_SubPractices[CP],"10",Practices_SubPractices[Org],"Large"),"TBD"))))))))))))))))))))))))))))))</f>
        <v>12</v>
      </c>
      <c r="Q63" s="77">
        <f>IF(AND(Practices_SubPractices[CP]=1,Practices_SubPractices[Org]="Small"),SUMIFS(Practices_SubPractices[D],Practices_SubPractices[CP],"1",Practices_SubPractices[Org],"Small"),IF(AND(Practices_SubPractices[CP]=2,Practices_SubPractices[Org]="Small"),SUMIFS(Practices_SubPractices[D],Practices_SubPractices[CP],"2",Practices_SubPractices[Org],"Small"),IF(AND(Practices_SubPractices[CP]=3,Practices_SubPractices[Org]="Small"),SUMIFS(Practices_SubPractices[D],Practices_SubPractices[CP],"3",Practices_SubPractices[Org],"Small"),IF(AND(Practices_SubPractices[CP]=4,Practices_SubPractices[Org]="Small"),SUMIFS(Practices_SubPractices[D],Practices_SubPractices[CP],"4",Practices_SubPractices[Org],"Small"),IF(AND(Practices_SubPractices[CP]=5,Practices_SubPractices[Org]="Small"),SUMIFS(Practices_SubPractices[D],Practices_SubPractices[CP],"5",Practices_SubPractices[Org],"Small"),IF(AND(Practices_SubPractices[CP]=6,Practices_SubPractices[Org]="Small"),SUMIFS(Practices_SubPractices[D],Practices_SubPractices[CP],"6",Practices_SubPractices[Org],"Small"),IF(AND(Practices_SubPractices[CP]=7,Practices_SubPractices[Org] ="Small"),SUMIFS(Practices_SubPractices[D],Practices_SubPractices[CP],"7",Practices_SubPractices[Org],"Small"),IF(AND(Practices_SubPractices[CP]=8,Practices_SubPractices[Org] ="Small"),SUMIFS(Practices_SubPractices[D],Practices_SubPractices[CP],"8",Practices_SubPractices[Org],"Small"),IF(AND(Practices_SubPractices[CP]=9,Practices_SubPractices[Org] ="Small"),SUMIFS(Practices_SubPractices[D],Practices_SubPractices[CP],"9",Practices_SubPractices[Org],"Small"),IF(AND(Practices_SubPractices[CP]=10,Practices_SubPractices[Org] ="Small"),SUMIFS(Practices_SubPractices[D],Practices_SubPractices[CP],"10",Practices_SubPractices[Org],"Small"),IF(AND(Practices_SubPractices[CP]=1,Practices_SubPractices[Org]="Medium"),SUMIFS(Practices_SubPractices[D],Practices_SubPractices[CP],"1",Practices_SubPractices[Org],"Medium"),IF(AND(Practices_SubPractices[CP]=2,Practices_SubPractices[Org]="Medium"),SUMIFS(Practices_SubPractices[D],Practices_SubPractices[CP],"2",Practices_SubPractices[Org],"Medium"),IF(AND(Practices_SubPractices[CP]=3,Practices_SubPractices[Org]="Medium"),SUMIFS(Practices_SubPractices[D],Practices_SubPractices[CP],"3",Practices_SubPractices[Org],"Medium"),IF(AND(Practices_SubPractices[CP]=4,Practices_SubPractices[Org]="Medium"),SUMIFS(Practices_SubPractices[D],Practices_SubPractices[CP],"4",Practices_SubPractices[Org],"Medium"),IF(AND(Practices_SubPractices[CP]=5,Practices_SubPractices[Org]="Medium"),SUMIFS(Practices_SubPractices[D],Practices_SubPractices[CP],"5",Practices_SubPractices[Org],"Medium"),IF(AND(Practices_SubPractices[CP]=6,Practices_SubPractices[Org]="Medium"),SUMIFS(Practices_SubPractices[D],Practices_SubPractices[CP],"6",Practices_SubPractices[Org],"Medium"),IF(AND(Practices_SubPractices[CP]=7,Practices_SubPractices[Org] ="Medium"),SUMIFS(Practices_SubPractices[D],Practices_SubPractices[CP],"7",Practices_SubPractices[Org],"Medium"),IF(AND(Practices_SubPractices[CP]=8,Practices_SubPractices[Org] ="Medium"),SUMIFS(Practices_SubPractices[D],Practices_SubPractices[CP],"8",Practices_SubPractices[Org],"Medium"),IF(AND(Practices_SubPractices[CP]=9,Practices_SubPractices[Org] ="Medium"),SUMIFS(Practices_SubPractices[D],Practices_SubPractices[CP],"9",Practices_SubPractices[Org],"Medium"),IF(AND(Practices_SubPractices[CP]=10,Practices_SubPractices[Org] ="Medium"),SUMIFS(Practices_SubPractices[D],Practices_SubPractices[CP],"10",Practices_SubPractices[Org],"Medium"),IF(AND(Practices_SubPractices[CP]=1,Practices_SubPractices[Org]="Large"),SUMIFS(Practices_SubPractices[D],Practices_SubPractices[CP],"1",Practices_SubPractices[Org],"Large"),IF(AND(Practices_SubPractices[CP]=2,Practices_SubPractices[Org]="Large"),SUMIFS(Practices_SubPractices[D],Practices_SubPractices[CP],"2",Practices_SubPractices[Org],"Large"),IF(AND(Practices_SubPractices[CP]=3,Practices_SubPractices[Org]="Large"),SUMIFS(Practices_SubPractices[D],Practices_SubPractices[CP],"3",Practices_SubPractices[Org],"Large"),IF(AND(Practices_SubPractices[CP]=4,Practices_SubPractices[Org]="Large"),SUMIFS(Practices_SubPractices[D],Practices_SubPractices[CP],"4",Practices_SubPractices[Org],"Large"),IF(AND(Practices_SubPractices[CP]=5,Practices_SubPractices[Org]="Large"),SUMIFS(Practices_SubPractices[D],Practices_SubPractices[CP],"5",Practices_SubPractices[Org],"Large"),IF(AND(Practices_SubPractices[CP]=6,Practices_SubPractices[Org]="Large"),SUMIFS(Practices_SubPractices[D],Practices_SubPractices[CP],"6",Practices_SubPractices[Org],"Large"),IF(AND(Practices_SubPractices[CP]=7,Practices_SubPractices[Org] ="Large"),SUMIFS(Practices_SubPractices[D],Practices_SubPractices[CP],"7",Practices_SubPractices[Org],"Large"),IF(AND(Practices_SubPractices[CP]=8,Practices_SubPractices[Org] ="Large"),SUMIFS(Practices_SubPractices[D],Practices_SubPractices[CP],"8",Practices_SubPractices[Org],"Large"),IF(AND(Practices_SubPractices[CP]=9,Practices_SubPractices[Org] ="Large"),SUMIFS(Practices_SubPractices[D],Practices_SubPractices[CP],"9",Practices_SubPractices[Org],"Large"),IF(AND(Practices_SubPractices[CP]=10,Practices_SubPractices[Org] ="Large"),SUMIFS(Practices_SubPractices[D],Practices_SubPractices[CP],"10",Practices_SubPractices[Org],"Large"),"TBD"))))))))))))))))))))))))))))))</f>
        <v>11</v>
      </c>
      <c r="R63" s="77">
        <f>IF(AND(Practices_SubPractices[CP]=1,Practices_SubPractices[Org]="Small"),SUMIFS(Practices_SubPractices[E],Practices_SubPractices[CP],"1",Practices_SubPractices[Org],"Small"),IF(AND(Practices_SubPractices[CP]=2,Practices_SubPractices[Org]="Small"),SUMIFS(Practices_SubPractices[E],Practices_SubPractices[CP],"2",Practices_SubPractices[Org],"Small"),IF(AND(Practices_SubPractices[CP]=3,Practices_SubPractices[Org]="Small"),SUMIFS(Practices_SubPractices[E],Practices_SubPractices[CP],"3",Practices_SubPractices[Org],"Small"),IF(AND(Practices_SubPractices[CP]=4,Practices_SubPractices[Org]="Small"),SUMIFS(Practices_SubPractices[E],Practices_SubPractices[CP],"4",Practices_SubPractices[Org],"Small"),IF(AND(Practices_SubPractices[CP]=5,Practices_SubPractices[Org]="Small"),SUMIFS(Practices_SubPractices[E],Practices_SubPractices[CP],"5",Practices_SubPractices[Org],"Small"),IF(AND(Practices_SubPractices[CP]=6,Practices_SubPractices[Org]="Small"),SUMIFS(Practices_SubPractices[E],Practices_SubPractices[CP],"6",Practices_SubPractices[Org],"Small"),IF(AND(Practices_SubPractices[CP]=7,Practices_SubPractices[Org] ="Small"),SUMIFS(Practices_SubPractices[E],Practices_SubPractices[CP],"7",Practices_SubPractices[Org],"Small"),IF(AND(Practices_SubPractices[CP]=8,Practices_SubPractices[Org] ="Small"),SUMIFS(Practices_SubPractices[E],Practices_SubPractices[CP],"8",Practices_SubPractices[Org],"Small"),IF(AND(Practices_SubPractices[CP]=9,Practices_SubPractices[Org] ="Small"),SUMIFS(Practices_SubPractices[E],Practices_SubPractices[CP],"9",Practices_SubPractices[Org],"Small"),IF(AND(Practices_SubPractices[CP]=10,Practices_SubPractices[Org] ="Small"),SUMIFS(Practices_SubPractices[E],Practices_SubPractices[CP],"10",Practices_SubPractices[Org],"Small"),IF(AND(Practices_SubPractices[CP]=1,Practices_SubPractices[Org]="Medium"),SUMIFS(Practices_SubPractices[E],Practices_SubPractices[CP],"1",Practices_SubPractices[Org],"Medium"),IF(AND(Practices_SubPractices[CP]=2,Practices_SubPractices[Org]="Medium"),SUMIFS(Practices_SubPractices[E],Practices_SubPractices[CP],"2",Practices_SubPractices[Org],"Medium"),IF(AND(Practices_SubPractices[CP]=3,Practices_SubPractices[Org]="Medium"),SUMIFS(Practices_SubPractices[E],Practices_SubPractices[CP],"3",Practices_SubPractices[Org],"Medium"),IF(AND(Practices_SubPractices[CP]=4,Practices_SubPractices[Org]="Medium"),SUMIFS(Practices_SubPractices[E],Practices_SubPractices[CP],"4",Practices_SubPractices[Org],"Medium"),IF(AND(Practices_SubPractices[CP]=5,Practices_SubPractices[Org]="Medium"),SUMIFS(Practices_SubPractices[E],Practices_SubPractices[CP],"5",Practices_SubPractices[Org],"Medium"),IF(AND(Practices_SubPractices[CP]=6,Practices_SubPractices[Org]="Medium"),SUMIFS(Practices_SubPractices[E],Practices_SubPractices[CP],"6",Practices_SubPractices[Org],"Medium"),IF(AND(Practices_SubPractices[CP]=7,Practices_SubPractices[Org] ="Medium"),SUMIFS(Practices_SubPractices[E],Practices_SubPractices[CP],"7",Practices_SubPractices[Org],"Medium"),IF(AND(Practices_SubPractices[CP]=8,Practices_SubPractices[Org] ="Medium"),SUMIFS(Practices_SubPractices[E],Practices_SubPractices[CP],"8",Practices_SubPractices[Org],"Medium"),IF(AND(Practices_SubPractices[CP]=9,Practices_SubPractices[Org] ="Medium"),SUMIFS(Practices_SubPractices[E],Practices_SubPractices[CP],"9",Practices_SubPractices[Org],"Medium"),IF(AND(Practices_SubPractices[CP]=10,Practices_SubPractices[Org] ="Medium"),SUMIFS(Practices_SubPractices[E],Practices_SubPractices[CP],"10",Practices_SubPractices[Org],"Medium"),IF(AND(Practices_SubPractices[CP]=1,Practices_SubPractices[Org]="Large"),SUMIFS(Practices_SubPractices[E],Practices_SubPractices[CP],"1",Practices_SubPractices[Org],"Large"),IF(AND(Practices_SubPractices[CP]=2,Practices_SubPractices[Org]="Large"),SUMIFS(Practices_SubPractices[E],Practices_SubPractices[CP],"2",Practices_SubPractices[Org],"Large"),IF(AND(Practices_SubPractices[CP]=3,Practices_SubPractices[Org]="Large"),SUMIFS(Practices_SubPractices[E],Practices_SubPractices[CP],"3",Practices_SubPractices[Org],"Large"),IF(AND(Practices_SubPractices[CP]=4,Practices_SubPractices[Org]="Large"),SUMIFS(Practices_SubPractices[E],Practices_SubPractices[CP],"4",Practices_SubPractices[Org],"Large"),IF(AND(Practices_SubPractices[CP]=5,Practices_SubPractices[Org]="Large"),SUMIFS(Practices_SubPractices[E],Practices_SubPractices[CP],"5",Practices_SubPractices[Org],"Large"),IF(AND(Practices_SubPractices[CP]=6,Practices_SubPractices[Org]="Large"),SUMIFS(Practices_SubPractices[E],Practices_SubPractices[CP],"6",Practices_SubPractices[Org],"Large"),IF(AND(Practices_SubPractices[CP]=7,Practices_SubPractices[Org] ="Large"),SUMIFS(Practices_SubPractices[E],Practices_SubPractices[CP],"7",Practices_SubPractices[Org],"Large"),IF(AND(Practices_SubPractices[CP]=8,Practices_SubPractices[Org] ="Large"),SUMIFS(Practices_SubPractices[E],Practices_SubPractices[CP],"8",Practices_SubPractices[Org],"Large"),IF(AND(Practices_SubPractices[CP]=9,Practices_SubPractices[Org] ="Large"),SUMIFS(Practices_SubPractices[E],Practices_SubPractices[CP],"9",Practices_SubPractices[Org],"Large"),IF(AND(Practices_SubPractices[CP]=10,Practices_SubPractices[Org] ="Large"),SUMIFS(Practices_SubPractices[E],Practices_SubPractices[CP],"10",Practices_SubPractices[Org],"Large"),"TBD"))))))))))))))))))))))))))))))</f>
        <v>5</v>
      </c>
      <c r="S63" s="87" t="s">
        <v>418</v>
      </c>
    </row>
    <row r="64" spans="1:19" x14ac:dyDescent="0.35">
      <c r="A64" s="73">
        <v>54</v>
      </c>
      <c r="B64" s="73">
        <v>5</v>
      </c>
      <c r="C64" s="73" t="s">
        <v>11</v>
      </c>
      <c r="D64" s="73" t="str">
        <f>Practices_SubPractices[[#This Row],[CP]]&amp;LEFT(Practices_SubPractices[[#This Row],[Org]],1)</f>
        <v>5M</v>
      </c>
      <c r="E64" s="73" t="s">
        <v>268</v>
      </c>
      <c r="F64" s="74" t="s">
        <v>108</v>
      </c>
      <c r="G64" s="74" t="s">
        <v>112</v>
      </c>
      <c r="H64" s="74" t="s">
        <v>229</v>
      </c>
      <c r="I64" s="75">
        <v>0</v>
      </c>
      <c r="J64" s="75">
        <v>1</v>
      </c>
      <c r="K64" s="75">
        <v>2</v>
      </c>
      <c r="L64" s="75">
        <v>2</v>
      </c>
      <c r="M64" s="75">
        <v>1</v>
      </c>
      <c r="N64" s="76"/>
      <c r="O64" s="77">
        <f>IF(AND(Practices_SubPractices[CP]=1,Practices_SubPractices[Org]="Small"),SUMIFS(Practices_SubPractices[B],Practices_SubPractices[CP],"1",Practices_SubPractices[Org],"Small"),IF(AND(Practices_SubPractices[CP]=2,Practices_SubPractices[Org]="Small"),SUMIFS(Practices_SubPractices[B],Practices_SubPractices[CP],"2",Practices_SubPractices[Org],"Small"),IF(AND(Practices_SubPractices[CP]=3,Practices_SubPractices[Org]="Small"),SUMIFS(Practices_SubPractices[B],Practices_SubPractices[CP],"3",Practices_SubPractices[Org],"Small"),IF(AND(Practices_SubPractices[CP]=4,Practices_SubPractices[Org]="Small"),SUMIFS(Practices_SubPractices[B],Practices_SubPractices[CP],"4",Practices_SubPractices[Org],"Small"),IF(AND(Practices_SubPractices[CP]=5,Practices_SubPractices[Org]="Small"),SUMIFS(Practices_SubPractices[B],Practices_SubPractices[CP],"5",Practices_SubPractices[Org],"Small"),IF(AND(Practices_SubPractices[CP]=6,Practices_SubPractices[Org]="Small"),SUMIFS(Practices_SubPractices[B],Practices_SubPractices[CP],"6",Practices_SubPractices[Org],"Small"),IF(AND(Practices_SubPractices[CP]=7,Practices_SubPractices[Org] ="Small"),SUMIFS(Practices_SubPractices[B],Practices_SubPractices[CP],"7",Practices_SubPractices[Org],"Small"),IF(AND(Practices_SubPractices[CP]=8,Practices_SubPractices[Org] ="Small"),SUMIFS(Practices_SubPractices[B],Practices_SubPractices[CP],"8",Practices_SubPractices[Org],"Small"),IF(AND(Practices_SubPractices[CP]=9,Practices_SubPractices[Org] ="Small"),SUMIFS(Practices_SubPractices[B],Practices_SubPractices[CP],"9",Practices_SubPractices[Org],"Small"),IF(AND(Practices_SubPractices[CP]=10,Practices_SubPractices[Org] ="Small"),SUMIFS(Practices_SubPractices[B],Practices_SubPractices[CP],"10",Practices_SubPractices[Org],"Small"),IF(AND(Practices_SubPractices[CP]=1,Practices_SubPractices[Org]="Medium"),SUMIFS(Practices_SubPractices[B],Practices_SubPractices[CP],"1",Practices_SubPractices[Org],"Medium"),IF(AND(Practices_SubPractices[CP]=2,Practices_SubPractices[Org]="Medium"),SUMIFS(Practices_SubPractices[B],Practices_SubPractices[CP],"2",Practices_SubPractices[Org],"Medium"),IF(AND(Practices_SubPractices[CP]=3,Practices_SubPractices[Org]="Medium"),SUMIFS(Practices_SubPractices[B],Practices_SubPractices[CP],"3",Practices_SubPractices[Org],"Medium"),IF(AND(Practices_SubPractices[CP]=4,Practices_SubPractices[Org]="Medium"),SUMIFS(Practices_SubPractices[B],Practices_SubPractices[CP],"4",Practices_SubPractices[Org],"Medium"),IF(AND(Practices_SubPractices[CP]=5,Practices_SubPractices[Org]="Medium"),SUMIFS(Practices_SubPractices[B],Practices_SubPractices[CP],"5",Practices_SubPractices[Org],"Medium"),IF(AND(Practices_SubPractices[CP]=6,Practices_SubPractices[Org]="Medium"),SUMIFS(Practices_SubPractices[B],Practices_SubPractices[CP],"6",Practices_SubPractices[Org],"Medium"),IF(AND(Practices_SubPractices[CP]=7,Practices_SubPractices[Org] ="Medium"),SUMIFS(Practices_SubPractices[B],Practices_SubPractices[CP],"7",Practices_SubPractices[Org],"Medium"),IF(AND(Practices_SubPractices[CP]=8,Practices_SubPractices[Org] ="Medium"),SUMIFS(Practices_SubPractices[B],Practices_SubPractices[CP],"8",Practices_SubPractices[Org],"Medium"),IF(AND(Practices_SubPractices[CP]=9,Practices_SubPractices[Org] ="Medium"),SUMIFS(Practices_SubPractices[B],Practices_SubPractices[CP],"9",Practices_SubPractices[Org],"Medium"),IF(AND(Practices_SubPractices[CP]=10,Practices_SubPractices[Org] ="Medium"),SUMIFS(Practices_SubPractices[B],Practices_SubPractices[CP],"10",Practices_SubPractices[Org],"Medium"),IF(AND(Practices_SubPractices[CP]=1,Practices_SubPractices[Org]="Large"),SUMIFS(Practices_SubPractices[B],Practices_SubPractices[CP],"1",Practices_SubPractices[Org],"Large"),IF(AND(Practices_SubPractices[CP]=2,Practices_SubPractices[Org]="Large"),SUMIFS(Practices_SubPractices[B],Practices_SubPractices[CP],"2",Practices_SubPractices[Org],"Large"),IF(AND(Practices_SubPractices[CP]=3,Practices_SubPractices[Org]="Large"),SUMIFS(Practices_SubPractices[B],Practices_SubPractices[CP],"3",Practices_SubPractices[Org],"Large"),IF(AND(Practices_SubPractices[CP]=4,Practices_SubPractices[Org]="Large"),SUMIFS(Practices_SubPractices[B],Practices_SubPractices[CP],"4",Practices_SubPractices[Org],"Large"),IF(AND(Practices_SubPractices[CP]=5,Practices_SubPractices[Org]="Large"),SUMIFS(Practices_SubPractices[B],Practices_SubPractices[CP],"5",Practices_SubPractices[Org],"Large"),IF(AND(Practices_SubPractices[CP]=6,Practices_SubPractices[Org]="Large"),SUMIFS(Practices_SubPractices[B],Practices_SubPractices[CP],"6",Practices_SubPractices[Org],"Large"),IF(AND(Practices_SubPractices[CP]=7,Practices_SubPractices[Org] ="Large"),SUMIFS(Practices_SubPractices[B],Practices_SubPractices[CP],"7",Practices_SubPractices[Org],"Large"),IF(AND(Practices_SubPractices[CP]=8,Practices_SubPractices[Org] ="Large"),SUMIFS(Practices_SubPractices[B],Practices_SubPractices[CP],"8",Practices_SubPractices[Org],"Large"),IF(AND(Practices_SubPractices[CP]=9,Practices_SubPractices[Org] ="Large"),SUMIFS(Practices_SubPractices[B],Practices_SubPractices[CP],"9",Practices_SubPractices[Org],"Large"),IF(AND(Practices_SubPractices[CP]=10,Practices_SubPractices[Org] ="Large"),SUMIFS(Practices_SubPractices[B],Practices_SubPractices[CP],"10",Practices_SubPractices[Org],"Large"),"TBD"))))))))))))))))))))))))))))))</f>
        <v>3</v>
      </c>
      <c r="P64" s="77">
        <f>IF(AND(Practices_SubPractices[CP]=1,Practices_SubPractices[Org]="Small"),SUMIFS(Practices_SubPractices[C],Practices_SubPractices[CP],"1",Practices_SubPractices[Org],"Small"),IF(AND(Practices_SubPractices[CP]=2,Practices_SubPractices[Org]="Small"),SUMIFS(Practices_SubPractices[C],Practices_SubPractices[CP],"2",Practices_SubPractices[Org],"Small"),IF(AND(Practices_SubPractices[CP]=3,Practices_SubPractices[Org]="Small"),SUMIFS(Practices_SubPractices[C],Practices_SubPractices[CP],"3",Practices_SubPractices[Org],"Small"),IF(AND(Practices_SubPractices[CP]=4,Practices_SubPractices[Org]="Small"),SUMIFS(Practices_SubPractices[C],Practices_SubPractices[CP],"4",Practices_SubPractices[Org],"Small"),IF(AND(Practices_SubPractices[CP]=5,Practices_SubPractices[Org]="Small"),SUMIFS(Practices_SubPractices[C],Practices_SubPractices[CP],"5",Practices_SubPractices[Org],"Small"),IF(AND(Practices_SubPractices[CP]=6,Practices_SubPractices[Org]="Small"),SUMIFS(Practices_SubPractices[C],Practices_SubPractices[CP],"6",Practices_SubPractices[Org],"Small"),IF(AND(Practices_SubPractices[CP]=7,Practices_SubPractices[Org] ="Small"),SUMIFS(Practices_SubPractices[C],Practices_SubPractices[CP],"7",Practices_SubPractices[Org],"Small"),IF(AND(Practices_SubPractices[CP]=8,Practices_SubPractices[Org] ="Small"),SUMIFS(Practices_SubPractices[C],Practices_SubPractices[CP],"8",Practices_SubPractices[Org],"Small"),IF(AND(Practices_SubPractices[CP]=9,Practices_SubPractices[Org] ="Small"),SUMIFS(Practices_SubPractices[C],Practices_SubPractices[CP],"9",Practices_SubPractices[Org],"Small"),IF(AND(Practices_SubPractices[CP]=10,Practices_SubPractices[Org] ="Small"),SUMIFS(Practices_SubPractices[C],Practices_SubPractices[CP],"10",Practices_SubPractices[Org],"Small"),IF(AND(Practices_SubPractices[CP]=1,Practices_SubPractices[Org]="Medium"),SUMIFS(Practices_SubPractices[C],Practices_SubPractices[CP],"1",Practices_SubPractices[Org],"Medium"),IF(AND(Practices_SubPractices[CP]=2,Practices_SubPractices[Org]="Medium"),SUMIFS(Practices_SubPractices[C],Practices_SubPractices[CP],"2",Practices_SubPractices[Org],"Medium"),IF(AND(Practices_SubPractices[CP]=3,Practices_SubPractices[Org]="Medium"),SUMIFS(Practices_SubPractices[C],Practices_SubPractices[CP],"3",Practices_SubPractices[Org],"Medium"),IF(AND(Practices_SubPractices[CP]=4,Practices_SubPractices[Org]="Medium"),SUMIFS(Practices_SubPractices[C],Practices_SubPractices[CP],"4",Practices_SubPractices[Org],"Medium"),IF(AND(Practices_SubPractices[CP]=5,Practices_SubPractices[Org]="Medium"),SUMIFS(Practices_SubPractices[C],Practices_SubPractices[CP],"5",Practices_SubPractices[Org],"Medium"),IF(AND(Practices_SubPractices[CP]=6,Practices_SubPractices[Org]="Medium"),SUMIFS(Practices_SubPractices[C],Practices_SubPractices[CP],"6",Practices_SubPractices[Org],"Medium"),IF(AND(Practices_SubPractices[CP]=7,Practices_SubPractices[Org] ="Medium"),SUMIFS(Practices_SubPractices[C],Practices_SubPractices[CP],"7",Practices_SubPractices[Org],"Medium"),IF(AND(Practices_SubPractices[CP]=8,Practices_SubPractices[Org] ="Medium"),SUMIFS(Practices_SubPractices[C],Practices_SubPractices[CP],"8",Practices_SubPractices[Org],"Medium"),IF(AND(Practices_SubPractices[CP]=9,Practices_SubPractices[Org] ="Medium"),SUMIFS(Practices_SubPractices[C],Practices_SubPractices[CP],"9",Practices_SubPractices[Org],"Medium"),IF(AND(Practices_SubPractices[CP]=10,Practices_SubPractices[Org] ="Medium"),SUMIFS(Practices_SubPractices[C],Practices_SubPractices[CP],"10",Practices_SubPractices[Org],"Medium"),IF(AND(Practices_SubPractices[CP]=1,Practices_SubPractices[Org]="Large"),SUMIFS(Practices_SubPractices[C],Practices_SubPractices[CP],"1",Practices_SubPractices[Org],"Large"),IF(AND(Practices_SubPractices[CP]=2,Practices_SubPractices[Org]="Large"),SUMIFS(Practices_SubPractices[C],Practices_SubPractices[CP],"2",Practices_SubPractices[Org],"Large"),IF(AND(Practices_SubPractices[CP]=3,Practices_SubPractices[Org]="Large"),SUMIFS(Practices_SubPractices[C],Practices_SubPractices[CP],"3",Practices_SubPractices[Org],"Large"),IF(AND(Practices_SubPractices[CP]=4,Practices_SubPractices[Org]="Large"),SUMIFS(Practices_SubPractices[C],Practices_SubPractices[CP],"4",Practices_SubPractices[Org],"Large"),IF(AND(Practices_SubPractices[CP]=5,Practices_SubPractices[Org]="Large"),SUMIFS(Practices_SubPractices[C],Practices_SubPractices[CP],"5",Practices_SubPractices[Org],"Large"),IF(AND(Practices_SubPractices[CP]=6,Practices_SubPractices[Org]="Large"),SUMIFS(Practices_SubPractices[C],Practices_SubPractices[CP],"6",Practices_SubPractices[Org],"Large"),IF(AND(Practices_SubPractices[CP]=7,Practices_SubPractices[Org] ="Large"),SUMIFS(Practices_SubPractices[C],Practices_SubPractices[CP],"7",Practices_SubPractices[Org],"Large"),IF(AND(Practices_SubPractices[CP]=8,Practices_SubPractices[Org] ="Large"),SUMIFS(Practices_SubPractices[C],Practices_SubPractices[CP],"8",Practices_SubPractices[Org],"Large"),IF(AND(Practices_SubPractices[CP]=9,Practices_SubPractices[Org] ="Large"),SUMIFS(Practices_SubPractices[C],Practices_SubPractices[CP],"9",Practices_SubPractices[Org],"Large"),IF(AND(Practices_SubPractices[CP]=10,Practices_SubPractices[Org] ="Large"),SUMIFS(Practices_SubPractices[C],Practices_SubPractices[CP],"10",Practices_SubPractices[Org],"Large"),"TBD"))))))))))))))))))))))))))))))</f>
        <v>8</v>
      </c>
      <c r="Q64" s="77">
        <f>IF(AND(Practices_SubPractices[CP]=1,Practices_SubPractices[Org]="Small"),SUMIFS(Practices_SubPractices[D],Practices_SubPractices[CP],"1",Practices_SubPractices[Org],"Small"),IF(AND(Practices_SubPractices[CP]=2,Practices_SubPractices[Org]="Small"),SUMIFS(Practices_SubPractices[D],Practices_SubPractices[CP],"2",Practices_SubPractices[Org],"Small"),IF(AND(Practices_SubPractices[CP]=3,Practices_SubPractices[Org]="Small"),SUMIFS(Practices_SubPractices[D],Practices_SubPractices[CP],"3",Practices_SubPractices[Org],"Small"),IF(AND(Practices_SubPractices[CP]=4,Practices_SubPractices[Org]="Small"),SUMIFS(Practices_SubPractices[D],Practices_SubPractices[CP],"4",Practices_SubPractices[Org],"Small"),IF(AND(Practices_SubPractices[CP]=5,Practices_SubPractices[Org]="Small"),SUMIFS(Practices_SubPractices[D],Practices_SubPractices[CP],"5",Practices_SubPractices[Org],"Small"),IF(AND(Practices_SubPractices[CP]=6,Practices_SubPractices[Org]="Small"),SUMIFS(Practices_SubPractices[D],Practices_SubPractices[CP],"6",Practices_SubPractices[Org],"Small"),IF(AND(Practices_SubPractices[CP]=7,Practices_SubPractices[Org] ="Small"),SUMIFS(Practices_SubPractices[D],Practices_SubPractices[CP],"7",Practices_SubPractices[Org],"Small"),IF(AND(Practices_SubPractices[CP]=8,Practices_SubPractices[Org] ="Small"),SUMIFS(Practices_SubPractices[D],Practices_SubPractices[CP],"8",Practices_SubPractices[Org],"Small"),IF(AND(Practices_SubPractices[CP]=9,Practices_SubPractices[Org] ="Small"),SUMIFS(Practices_SubPractices[D],Practices_SubPractices[CP],"9",Practices_SubPractices[Org],"Small"),IF(AND(Practices_SubPractices[CP]=10,Practices_SubPractices[Org] ="Small"),SUMIFS(Practices_SubPractices[D],Practices_SubPractices[CP],"10",Practices_SubPractices[Org],"Small"),IF(AND(Practices_SubPractices[CP]=1,Practices_SubPractices[Org]="Medium"),SUMIFS(Practices_SubPractices[D],Practices_SubPractices[CP],"1",Practices_SubPractices[Org],"Medium"),IF(AND(Practices_SubPractices[CP]=2,Practices_SubPractices[Org]="Medium"),SUMIFS(Practices_SubPractices[D],Practices_SubPractices[CP],"2",Practices_SubPractices[Org],"Medium"),IF(AND(Practices_SubPractices[CP]=3,Practices_SubPractices[Org]="Medium"),SUMIFS(Practices_SubPractices[D],Practices_SubPractices[CP],"3",Practices_SubPractices[Org],"Medium"),IF(AND(Practices_SubPractices[CP]=4,Practices_SubPractices[Org]="Medium"),SUMIFS(Practices_SubPractices[D],Practices_SubPractices[CP],"4",Practices_SubPractices[Org],"Medium"),IF(AND(Practices_SubPractices[CP]=5,Practices_SubPractices[Org]="Medium"),SUMIFS(Practices_SubPractices[D],Practices_SubPractices[CP],"5",Practices_SubPractices[Org],"Medium"),IF(AND(Practices_SubPractices[CP]=6,Practices_SubPractices[Org]="Medium"),SUMIFS(Practices_SubPractices[D],Practices_SubPractices[CP],"6",Practices_SubPractices[Org],"Medium"),IF(AND(Practices_SubPractices[CP]=7,Practices_SubPractices[Org] ="Medium"),SUMIFS(Practices_SubPractices[D],Practices_SubPractices[CP],"7",Practices_SubPractices[Org],"Medium"),IF(AND(Practices_SubPractices[CP]=8,Practices_SubPractices[Org] ="Medium"),SUMIFS(Practices_SubPractices[D],Practices_SubPractices[CP],"8",Practices_SubPractices[Org],"Medium"),IF(AND(Practices_SubPractices[CP]=9,Practices_SubPractices[Org] ="Medium"),SUMIFS(Practices_SubPractices[D],Practices_SubPractices[CP],"9",Practices_SubPractices[Org],"Medium"),IF(AND(Practices_SubPractices[CP]=10,Practices_SubPractices[Org] ="Medium"),SUMIFS(Practices_SubPractices[D],Practices_SubPractices[CP],"10",Practices_SubPractices[Org],"Medium"),IF(AND(Practices_SubPractices[CP]=1,Practices_SubPractices[Org]="Large"),SUMIFS(Practices_SubPractices[D],Practices_SubPractices[CP],"1",Practices_SubPractices[Org],"Large"),IF(AND(Practices_SubPractices[CP]=2,Practices_SubPractices[Org]="Large"),SUMIFS(Practices_SubPractices[D],Practices_SubPractices[CP],"2",Practices_SubPractices[Org],"Large"),IF(AND(Practices_SubPractices[CP]=3,Practices_SubPractices[Org]="Large"),SUMIFS(Practices_SubPractices[D],Practices_SubPractices[CP],"3",Practices_SubPractices[Org],"Large"),IF(AND(Practices_SubPractices[CP]=4,Practices_SubPractices[Org]="Large"),SUMIFS(Practices_SubPractices[D],Practices_SubPractices[CP],"4",Practices_SubPractices[Org],"Large"),IF(AND(Practices_SubPractices[CP]=5,Practices_SubPractices[Org]="Large"),SUMIFS(Practices_SubPractices[D],Practices_SubPractices[CP],"5",Practices_SubPractices[Org],"Large"),IF(AND(Practices_SubPractices[CP]=6,Practices_SubPractices[Org]="Large"),SUMIFS(Practices_SubPractices[D],Practices_SubPractices[CP],"6",Practices_SubPractices[Org],"Large"),IF(AND(Practices_SubPractices[CP]=7,Practices_SubPractices[Org] ="Large"),SUMIFS(Practices_SubPractices[D],Practices_SubPractices[CP],"7",Practices_SubPractices[Org],"Large"),IF(AND(Practices_SubPractices[CP]=8,Practices_SubPractices[Org] ="Large"),SUMIFS(Practices_SubPractices[D],Practices_SubPractices[CP],"8",Practices_SubPractices[Org],"Large"),IF(AND(Practices_SubPractices[CP]=9,Practices_SubPractices[Org] ="Large"),SUMIFS(Practices_SubPractices[D],Practices_SubPractices[CP],"9",Practices_SubPractices[Org],"Large"),IF(AND(Practices_SubPractices[CP]=10,Practices_SubPractices[Org] ="Large"),SUMIFS(Practices_SubPractices[D],Practices_SubPractices[CP],"10",Practices_SubPractices[Org],"Large"),"TBD"))))))))))))))))))))))))))))))</f>
        <v>7</v>
      </c>
      <c r="R64" s="77">
        <f>IF(AND(Practices_SubPractices[CP]=1,Practices_SubPractices[Org]="Small"),SUMIFS(Practices_SubPractices[E],Practices_SubPractices[CP],"1",Practices_SubPractices[Org],"Small"),IF(AND(Practices_SubPractices[CP]=2,Practices_SubPractices[Org]="Small"),SUMIFS(Practices_SubPractices[E],Practices_SubPractices[CP],"2",Practices_SubPractices[Org],"Small"),IF(AND(Practices_SubPractices[CP]=3,Practices_SubPractices[Org]="Small"),SUMIFS(Practices_SubPractices[E],Practices_SubPractices[CP],"3",Practices_SubPractices[Org],"Small"),IF(AND(Practices_SubPractices[CP]=4,Practices_SubPractices[Org]="Small"),SUMIFS(Practices_SubPractices[E],Practices_SubPractices[CP],"4",Practices_SubPractices[Org],"Small"),IF(AND(Practices_SubPractices[CP]=5,Practices_SubPractices[Org]="Small"),SUMIFS(Practices_SubPractices[E],Practices_SubPractices[CP],"5",Practices_SubPractices[Org],"Small"),IF(AND(Practices_SubPractices[CP]=6,Practices_SubPractices[Org]="Small"),SUMIFS(Practices_SubPractices[E],Practices_SubPractices[CP],"6",Practices_SubPractices[Org],"Small"),IF(AND(Practices_SubPractices[CP]=7,Practices_SubPractices[Org] ="Small"),SUMIFS(Practices_SubPractices[E],Practices_SubPractices[CP],"7",Practices_SubPractices[Org],"Small"),IF(AND(Practices_SubPractices[CP]=8,Practices_SubPractices[Org] ="Small"),SUMIFS(Practices_SubPractices[E],Practices_SubPractices[CP],"8",Practices_SubPractices[Org],"Small"),IF(AND(Practices_SubPractices[CP]=9,Practices_SubPractices[Org] ="Small"),SUMIFS(Practices_SubPractices[E],Practices_SubPractices[CP],"9",Practices_SubPractices[Org],"Small"),IF(AND(Practices_SubPractices[CP]=10,Practices_SubPractices[Org] ="Small"),SUMIFS(Practices_SubPractices[E],Practices_SubPractices[CP],"10",Practices_SubPractices[Org],"Small"),IF(AND(Practices_SubPractices[CP]=1,Practices_SubPractices[Org]="Medium"),SUMIFS(Practices_SubPractices[E],Practices_SubPractices[CP],"1",Practices_SubPractices[Org],"Medium"),IF(AND(Practices_SubPractices[CP]=2,Practices_SubPractices[Org]="Medium"),SUMIFS(Practices_SubPractices[E],Practices_SubPractices[CP],"2",Practices_SubPractices[Org],"Medium"),IF(AND(Practices_SubPractices[CP]=3,Practices_SubPractices[Org]="Medium"),SUMIFS(Practices_SubPractices[E],Practices_SubPractices[CP],"3",Practices_SubPractices[Org],"Medium"),IF(AND(Practices_SubPractices[CP]=4,Practices_SubPractices[Org]="Medium"),SUMIFS(Practices_SubPractices[E],Practices_SubPractices[CP],"4",Practices_SubPractices[Org],"Medium"),IF(AND(Practices_SubPractices[CP]=5,Practices_SubPractices[Org]="Medium"),SUMIFS(Practices_SubPractices[E],Practices_SubPractices[CP],"5",Practices_SubPractices[Org],"Medium"),IF(AND(Practices_SubPractices[CP]=6,Practices_SubPractices[Org]="Medium"),SUMIFS(Practices_SubPractices[E],Practices_SubPractices[CP],"6",Practices_SubPractices[Org],"Medium"),IF(AND(Practices_SubPractices[CP]=7,Practices_SubPractices[Org] ="Medium"),SUMIFS(Practices_SubPractices[E],Practices_SubPractices[CP],"7",Practices_SubPractices[Org],"Medium"),IF(AND(Practices_SubPractices[CP]=8,Practices_SubPractices[Org] ="Medium"),SUMIFS(Practices_SubPractices[E],Practices_SubPractices[CP],"8",Practices_SubPractices[Org],"Medium"),IF(AND(Practices_SubPractices[CP]=9,Practices_SubPractices[Org] ="Medium"),SUMIFS(Practices_SubPractices[E],Practices_SubPractices[CP],"9",Practices_SubPractices[Org],"Medium"),IF(AND(Practices_SubPractices[CP]=10,Practices_SubPractices[Org] ="Medium"),SUMIFS(Practices_SubPractices[E],Practices_SubPractices[CP],"10",Practices_SubPractices[Org],"Medium"),IF(AND(Practices_SubPractices[CP]=1,Practices_SubPractices[Org]="Large"),SUMIFS(Practices_SubPractices[E],Practices_SubPractices[CP],"1",Practices_SubPractices[Org],"Large"),IF(AND(Practices_SubPractices[CP]=2,Practices_SubPractices[Org]="Large"),SUMIFS(Practices_SubPractices[E],Practices_SubPractices[CP],"2",Practices_SubPractices[Org],"Large"),IF(AND(Practices_SubPractices[CP]=3,Practices_SubPractices[Org]="Large"),SUMIFS(Practices_SubPractices[E],Practices_SubPractices[CP],"3",Practices_SubPractices[Org],"Large"),IF(AND(Practices_SubPractices[CP]=4,Practices_SubPractices[Org]="Large"),SUMIFS(Practices_SubPractices[E],Practices_SubPractices[CP],"4",Practices_SubPractices[Org],"Large"),IF(AND(Practices_SubPractices[CP]=5,Practices_SubPractices[Org]="Large"),SUMIFS(Practices_SubPractices[E],Practices_SubPractices[CP],"5",Practices_SubPractices[Org],"Large"),IF(AND(Practices_SubPractices[CP]=6,Practices_SubPractices[Org]="Large"),SUMIFS(Practices_SubPractices[E],Practices_SubPractices[CP],"6",Practices_SubPractices[Org],"Large"),IF(AND(Practices_SubPractices[CP]=7,Practices_SubPractices[Org] ="Large"),SUMIFS(Practices_SubPractices[E],Practices_SubPractices[CP],"7",Practices_SubPractices[Org],"Large"),IF(AND(Practices_SubPractices[CP]=8,Practices_SubPractices[Org] ="Large"),SUMIFS(Practices_SubPractices[E],Practices_SubPractices[CP],"8",Practices_SubPractices[Org],"Large"),IF(AND(Practices_SubPractices[CP]=9,Practices_SubPractices[Org] ="Large"),SUMIFS(Practices_SubPractices[E],Practices_SubPractices[CP],"9",Practices_SubPractices[Org],"Large"),IF(AND(Practices_SubPractices[CP]=10,Practices_SubPractices[Org] ="Large"),SUMIFS(Practices_SubPractices[E],Practices_SubPractices[CP],"10",Practices_SubPractices[Org],"Large"),"TBD"))))))))))))))))))))))))))))))</f>
        <v>3</v>
      </c>
      <c r="S64" s="87" t="s">
        <v>396</v>
      </c>
    </row>
    <row r="65" spans="1:19" x14ac:dyDescent="0.35">
      <c r="A65" s="73">
        <v>55</v>
      </c>
      <c r="B65" s="73">
        <v>5</v>
      </c>
      <c r="C65" s="73" t="s">
        <v>12</v>
      </c>
      <c r="D65" s="73" t="str">
        <f>Practices_SubPractices[[#This Row],[CP]]&amp;LEFT(Practices_SubPractices[[#This Row],[Org]],1)</f>
        <v>5L</v>
      </c>
      <c r="E65" s="73" t="s">
        <v>268</v>
      </c>
      <c r="F65" s="74" t="s">
        <v>108</v>
      </c>
      <c r="G65" s="74" t="s">
        <v>112</v>
      </c>
      <c r="H65" s="74" t="s">
        <v>229</v>
      </c>
      <c r="I65" s="75">
        <v>0</v>
      </c>
      <c r="J65" s="75">
        <v>1</v>
      </c>
      <c r="K65" s="75">
        <v>2</v>
      </c>
      <c r="L65" s="75">
        <v>2</v>
      </c>
      <c r="M65" s="75">
        <v>1</v>
      </c>
      <c r="N65" s="76"/>
      <c r="O65" s="77">
        <f>IF(AND(Practices_SubPractices[CP]=1,Practices_SubPractices[Org]="Small"),SUMIFS(Practices_SubPractices[B],Practices_SubPractices[CP],"1",Practices_SubPractices[Org],"Small"),IF(AND(Practices_SubPractices[CP]=2,Practices_SubPractices[Org]="Small"),SUMIFS(Practices_SubPractices[B],Practices_SubPractices[CP],"2",Practices_SubPractices[Org],"Small"),IF(AND(Practices_SubPractices[CP]=3,Practices_SubPractices[Org]="Small"),SUMIFS(Practices_SubPractices[B],Practices_SubPractices[CP],"3",Practices_SubPractices[Org],"Small"),IF(AND(Practices_SubPractices[CP]=4,Practices_SubPractices[Org]="Small"),SUMIFS(Practices_SubPractices[B],Practices_SubPractices[CP],"4",Practices_SubPractices[Org],"Small"),IF(AND(Practices_SubPractices[CP]=5,Practices_SubPractices[Org]="Small"),SUMIFS(Practices_SubPractices[B],Practices_SubPractices[CP],"5",Practices_SubPractices[Org],"Small"),IF(AND(Practices_SubPractices[CP]=6,Practices_SubPractices[Org]="Small"),SUMIFS(Practices_SubPractices[B],Practices_SubPractices[CP],"6",Practices_SubPractices[Org],"Small"),IF(AND(Practices_SubPractices[CP]=7,Practices_SubPractices[Org] ="Small"),SUMIFS(Practices_SubPractices[B],Practices_SubPractices[CP],"7",Practices_SubPractices[Org],"Small"),IF(AND(Practices_SubPractices[CP]=8,Practices_SubPractices[Org] ="Small"),SUMIFS(Practices_SubPractices[B],Practices_SubPractices[CP],"8",Practices_SubPractices[Org],"Small"),IF(AND(Practices_SubPractices[CP]=9,Practices_SubPractices[Org] ="Small"),SUMIFS(Practices_SubPractices[B],Practices_SubPractices[CP],"9",Practices_SubPractices[Org],"Small"),IF(AND(Practices_SubPractices[CP]=10,Practices_SubPractices[Org] ="Small"),SUMIFS(Practices_SubPractices[B],Practices_SubPractices[CP],"10",Practices_SubPractices[Org],"Small"),IF(AND(Practices_SubPractices[CP]=1,Practices_SubPractices[Org]="Medium"),SUMIFS(Practices_SubPractices[B],Practices_SubPractices[CP],"1",Practices_SubPractices[Org],"Medium"),IF(AND(Practices_SubPractices[CP]=2,Practices_SubPractices[Org]="Medium"),SUMIFS(Practices_SubPractices[B],Practices_SubPractices[CP],"2",Practices_SubPractices[Org],"Medium"),IF(AND(Practices_SubPractices[CP]=3,Practices_SubPractices[Org]="Medium"),SUMIFS(Practices_SubPractices[B],Practices_SubPractices[CP],"3",Practices_SubPractices[Org],"Medium"),IF(AND(Practices_SubPractices[CP]=4,Practices_SubPractices[Org]="Medium"),SUMIFS(Practices_SubPractices[B],Practices_SubPractices[CP],"4",Practices_SubPractices[Org],"Medium"),IF(AND(Practices_SubPractices[CP]=5,Practices_SubPractices[Org]="Medium"),SUMIFS(Practices_SubPractices[B],Practices_SubPractices[CP],"5",Practices_SubPractices[Org],"Medium"),IF(AND(Practices_SubPractices[CP]=6,Practices_SubPractices[Org]="Medium"),SUMIFS(Practices_SubPractices[B],Practices_SubPractices[CP],"6",Practices_SubPractices[Org],"Medium"),IF(AND(Practices_SubPractices[CP]=7,Practices_SubPractices[Org] ="Medium"),SUMIFS(Practices_SubPractices[B],Practices_SubPractices[CP],"7",Practices_SubPractices[Org],"Medium"),IF(AND(Practices_SubPractices[CP]=8,Practices_SubPractices[Org] ="Medium"),SUMIFS(Practices_SubPractices[B],Practices_SubPractices[CP],"8",Practices_SubPractices[Org],"Medium"),IF(AND(Practices_SubPractices[CP]=9,Practices_SubPractices[Org] ="Medium"),SUMIFS(Practices_SubPractices[B],Practices_SubPractices[CP],"9",Practices_SubPractices[Org],"Medium"),IF(AND(Practices_SubPractices[CP]=10,Practices_SubPractices[Org] ="Medium"),SUMIFS(Practices_SubPractices[B],Practices_SubPractices[CP],"10",Practices_SubPractices[Org],"Medium"),IF(AND(Practices_SubPractices[CP]=1,Practices_SubPractices[Org]="Large"),SUMIFS(Practices_SubPractices[B],Practices_SubPractices[CP],"1",Practices_SubPractices[Org],"Large"),IF(AND(Practices_SubPractices[CP]=2,Practices_SubPractices[Org]="Large"),SUMIFS(Practices_SubPractices[B],Practices_SubPractices[CP],"2",Practices_SubPractices[Org],"Large"),IF(AND(Practices_SubPractices[CP]=3,Practices_SubPractices[Org]="Large"),SUMIFS(Practices_SubPractices[B],Practices_SubPractices[CP],"3",Practices_SubPractices[Org],"Large"),IF(AND(Practices_SubPractices[CP]=4,Practices_SubPractices[Org]="Large"),SUMIFS(Practices_SubPractices[B],Practices_SubPractices[CP],"4",Practices_SubPractices[Org],"Large"),IF(AND(Practices_SubPractices[CP]=5,Practices_SubPractices[Org]="Large"),SUMIFS(Practices_SubPractices[B],Practices_SubPractices[CP],"5",Practices_SubPractices[Org],"Large"),IF(AND(Practices_SubPractices[CP]=6,Practices_SubPractices[Org]="Large"),SUMIFS(Practices_SubPractices[B],Practices_SubPractices[CP],"6",Practices_SubPractices[Org],"Large"),IF(AND(Practices_SubPractices[CP]=7,Practices_SubPractices[Org] ="Large"),SUMIFS(Practices_SubPractices[B],Practices_SubPractices[CP],"7",Practices_SubPractices[Org],"Large"),IF(AND(Practices_SubPractices[CP]=8,Practices_SubPractices[Org] ="Large"),SUMIFS(Practices_SubPractices[B],Practices_SubPractices[CP],"8",Practices_SubPractices[Org],"Large"),IF(AND(Practices_SubPractices[CP]=9,Practices_SubPractices[Org] ="Large"),SUMIFS(Practices_SubPractices[B],Practices_SubPractices[CP],"9",Practices_SubPractices[Org],"Large"),IF(AND(Practices_SubPractices[CP]=10,Practices_SubPractices[Org] ="Large"),SUMIFS(Practices_SubPractices[B],Practices_SubPractices[CP],"10",Practices_SubPractices[Org],"Large"),"TBD"))))))))))))))))))))))))))))))</f>
        <v>6</v>
      </c>
      <c r="P65" s="77">
        <f>IF(AND(Practices_SubPractices[CP]=1,Practices_SubPractices[Org]="Small"),SUMIFS(Practices_SubPractices[C],Practices_SubPractices[CP],"1",Practices_SubPractices[Org],"Small"),IF(AND(Practices_SubPractices[CP]=2,Practices_SubPractices[Org]="Small"),SUMIFS(Practices_SubPractices[C],Practices_SubPractices[CP],"2",Practices_SubPractices[Org],"Small"),IF(AND(Practices_SubPractices[CP]=3,Practices_SubPractices[Org]="Small"),SUMIFS(Practices_SubPractices[C],Practices_SubPractices[CP],"3",Practices_SubPractices[Org],"Small"),IF(AND(Practices_SubPractices[CP]=4,Practices_SubPractices[Org]="Small"),SUMIFS(Practices_SubPractices[C],Practices_SubPractices[CP],"4",Practices_SubPractices[Org],"Small"),IF(AND(Practices_SubPractices[CP]=5,Practices_SubPractices[Org]="Small"),SUMIFS(Practices_SubPractices[C],Practices_SubPractices[CP],"5",Practices_SubPractices[Org],"Small"),IF(AND(Practices_SubPractices[CP]=6,Practices_SubPractices[Org]="Small"),SUMIFS(Practices_SubPractices[C],Practices_SubPractices[CP],"6",Practices_SubPractices[Org],"Small"),IF(AND(Practices_SubPractices[CP]=7,Practices_SubPractices[Org] ="Small"),SUMIFS(Practices_SubPractices[C],Practices_SubPractices[CP],"7",Practices_SubPractices[Org],"Small"),IF(AND(Practices_SubPractices[CP]=8,Practices_SubPractices[Org] ="Small"),SUMIFS(Practices_SubPractices[C],Practices_SubPractices[CP],"8",Practices_SubPractices[Org],"Small"),IF(AND(Practices_SubPractices[CP]=9,Practices_SubPractices[Org] ="Small"),SUMIFS(Practices_SubPractices[C],Practices_SubPractices[CP],"9",Practices_SubPractices[Org],"Small"),IF(AND(Practices_SubPractices[CP]=10,Practices_SubPractices[Org] ="Small"),SUMIFS(Practices_SubPractices[C],Practices_SubPractices[CP],"10",Practices_SubPractices[Org],"Small"),IF(AND(Practices_SubPractices[CP]=1,Practices_SubPractices[Org]="Medium"),SUMIFS(Practices_SubPractices[C],Practices_SubPractices[CP],"1",Practices_SubPractices[Org],"Medium"),IF(AND(Practices_SubPractices[CP]=2,Practices_SubPractices[Org]="Medium"),SUMIFS(Practices_SubPractices[C],Practices_SubPractices[CP],"2",Practices_SubPractices[Org],"Medium"),IF(AND(Practices_SubPractices[CP]=3,Practices_SubPractices[Org]="Medium"),SUMIFS(Practices_SubPractices[C],Practices_SubPractices[CP],"3",Practices_SubPractices[Org],"Medium"),IF(AND(Practices_SubPractices[CP]=4,Practices_SubPractices[Org]="Medium"),SUMIFS(Practices_SubPractices[C],Practices_SubPractices[CP],"4",Practices_SubPractices[Org],"Medium"),IF(AND(Practices_SubPractices[CP]=5,Practices_SubPractices[Org]="Medium"),SUMIFS(Practices_SubPractices[C],Practices_SubPractices[CP],"5",Practices_SubPractices[Org],"Medium"),IF(AND(Practices_SubPractices[CP]=6,Practices_SubPractices[Org]="Medium"),SUMIFS(Practices_SubPractices[C],Practices_SubPractices[CP],"6",Practices_SubPractices[Org],"Medium"),IF(AND(Practices_SubPractices[CP]=7,Practices_SubPractices[Org] ="Medium"),SUMIFS(Practices_SubPractices[C],Practices_SubPractices[CP],"7",Practices_SubPractices[Org],"Medium"),IF(AND(Practices_SubPractices[CP]=8,Practices_SubPractices[Org] ="Medium"),SUMIFS(Practices_SubPractices[C],Practices_SubPractices[CP],"8",Practices_SubPractices[Org],"Medium"),IF(AND(Practices_SubPractices[CP]=9,Practices_SubPractices[Org] ="Medium"),SUMIFS(Practices_SubPractices[C],Practices_SubPractices[CP],"9",Practices_SubPractices[Org],"Medium"),IF(AND(Practices_SubPractices[CP]=10,Practices_SubPractices[Org] ="Medium"),SUMIFS(Practices_SubPractices[C],Practices_SubPractices[CP],"10",Practices_SubPractices[Org],"Medium"),IF(AND(Practices_SubPractices[CP]=1,Practices_SubPractices[Org]="Large"),SUMIFS(Practices_SubPractices[C],Practices_SubPractices[CP],"1",Practices_SubPractices[Org],"Large"),IF(AND(Practices_SubPractices[CP]=2,Practices_SubPractices[Org]="Large"),SUMIFS(Practices_SubPractices[C],Practices_SubPractices[CP],"2",Practices_SubPractices[Org],"Large"),IF(AND(Practices_SubPractices[CP]=3,Practices_SubPractices[Org]="Large"),SUMIFS(Practices_SubPractices[C],Practices_SubPractices[CP],"3",Practices_SubPractices[Org],"Large"),IF(AND(Practices_SubPractices[CP]=4,Practices_SubPractices[Org]="Large"),SUMIFS(Practices_SubPractices[C],Practices_SubPractices[CP],"4",Practices_SubPractices[Org],"Large"),IF(AND(Practices_SubPractices[CP]=5,Practices_SubPractices[Org]="Large"),SUMIFS(Practices_SubPractices[C],Practices_SubPractices[CP],"5",Practices_SubPractices[Org],"Large"),IF(AND(Practices_SubPractices[CP]=6,Practices_SubPractices[Org]="Large"),SUMIFS(Practices_SubPractices[C],Practices_SubPractices[CP],"6",Practices_SubPractices[Org],"Large"),IF(AND(Practices_SubPractices[CP]=7,Practices_SubPractices[Org] ="Large"),SUMIFS(Practices_SubPractices[C],Practices_SubPractices[CP],"7",Practices_SubPractices[Org],"Large"),IF(AND(Practices_SubPractices[CP]=8,Practices_SubPractices[Org] ="Large"),SUMIFS(Practices_SubPractices[C],Practices_SubPractices[CP],"8",Practices_SubPractices[Org],"Large"),IF(AND(Practices_SubPractices[CP]=9,Practices_SubPractices[Org] ="Large"),SUMIFS(Practices_SubPractices[C],Practices_SubPractices[CP],"9",Practices_SubPractices[Org],"Large"),IF(AND(Practices_SubPractices[CP]=10,Practices_SubPractices[Org] ="Large"),SUMIFS(Practices_SubPractices[C],Practices_SubPractices[CP],"10",Practices_SubPractices[Org],"Large"),"TBD"))))))))))))))))))))))))))))))</f>
        <v>12</v>
      </c>
      <c r="Q65" s="77">
        <f>IF(AND(Practices_SubPractices[CP]=1,Practices_SubPractices[Org]="Small"),SUMIFS(Practices_SubPractices[D],Practices_SubPractices[CP],"1",Practices_SubPractices[Org],"Small"),IF(AND(Practices_SubPractices[CP]=2,Practices_SubPractices[Org]="Small"),SUMIFS(Practices_SubPractices[D],Practices_SubPractices[CP],"2",Practices_SubPractices[Org],"Small"),IF(AND(Practices_SubPractices[CP]=3,Practices_SubPractices[Org]="Small"),SUMIFS(Practices_SubPractices[D],Practices_SubPractices[CP],"3",Practices_SubPractices[Org],"Small"),IF(AND(Practices_SubPractices[CP]=4,Practices_SubPractices[Org]="Small"),SUMIFS(Practices_SubPractices[D],Practices_SubPractices[CP],"4",Practices_SubPractices[Org],"Small"),IF(AND(Practices_SubPractices[CP]=5,Practices_SubPractices[Org]="Small"),SUMIFS(Practices_SubPractices[D],Practices_SubPractices[CP],"5",Practices_SubPractices[Org],"Small"),IF(AND(Practices_SubPractices[CP]=6,Practices_SubPractices[Org]="Small"),SUMIFS(Practices_SubPractices[D],Practices_SubPractices[CP],"6",Practices_SubPractices[Org],"Small"),IF(AND(Practices_SubPractices[CP]=7,Practices_SubPractices[Org] ="Small"),SUMIFS(Practices_SubPractices[D],Practices_SubPractices[CP],"7",Practices_SubPractices[Org],"Small"),IF(AND(Practices_SubPractices[CP]=8,Practices_SubPractices[Org] ="Small"),SUMIFS(Practices_SubPractices[D],Practices_SubPractices[CP],"8",Practices_SubPractices[Org],"Small"),IF(AND(Practices_SubPractices[CP]=9,Practices_SubPractices[Org] ="Small"),SUMIFS(Practices_SubPractices[D],Practices_SubPractices[CP],"9",Practices_SubPractices[Org],"Small"),IF(AND(Practices_SubPractices[CP]=10,Practices_SubPractices[Org] ="Small"),SUMIFS(Practices_SubPractices[D],Practices_SubPractices[CP],"10",Practices_SubPractices[Org],"Small"),IF(AND(Practices_SubPractices[CP]=1,Practices_SubPractices[Org]="Medium"),SUMIFS(Practices_SubPractices[D],Practices_SubPractices[CP],"1",Practices_SubPractices[Org],"Medium"),IF(AND(Practices_SubPractices[CP]=2,Practices_SubPractices[Org]="Medium"),SUMIFS(Practices_SubPractices[D],Practices_SubPractices[CP],"2",Practices_SubPractices[Org],"Medium"),IF(AND(Practices_SubPractices[CP]=3,Practices_SubPractices[Org]="Medium"),SUMIFS(Practices_SubPractices[D],Practices_SubPractices[CP],"3",Practices_SubPractices[Org],"Medium"),IF(AND(Practices_SubPractices[CP]=4,Practices_SubPractices[Org]="Medium"),SUMIFS(Practices_SubPractices[D],Practices_SubPractices[CP],"4",Practices_SubPractices[Org],"Medium"),IF(AND(Practices_SubPractices[CP]=5,Practices_SubPractices[Org]="Medium"),SUMIFS(Practices_SubPractices[D],Practices_SubPractices[CP],"5",Practices_SubPractices[Org],"Medium"),IF(AND(Practices_SubPractices[CP]=6,Practices_SubPractices[Org]="Medium"),SUMIFS(Practices_SubPractices[D],Practices_SubPractices[CP],"6",Practices_SubPractices[Org],"Medium"),IF(AND(Practices_SubPractices[CP]=7,Practices_SubPractices[Org] ="Medium"),SUMIFS(Practices_SubPractices[D],Practices_SubPractices[CP],"7",Practices_SubPractices[Org],"Medium"),IF(AND(Practices_SubPractices[CP]=8,Practices_SubPractices[Org] ="Medium"),SUMIFS(Practices_SubPractices[D],Practices_SubPractices[CP],"8",Practices_SubPractices[Org],"Medium"),IF(AND(Practices_SubPractices[CP]=9,Practices_SubPractices[Org] ="Medium"),SUMIFS(Practices_SubPractices[D],Practices_SubPractices[CP],"9",Practices_SubPractices[Org],"Medium"),IF(AND(Practices_SubPractices[CP]=10,Practices_SubPractices[Org] ="Medium"),SUMIFS(Practices_SubPractices[D],Practices_SubPractices[CP],"10",Practices_SubPractices[Org],"Medium"),IF(AND(Practices_SubPractices[CP]=1,Practices_SubPractices[Org]="Large"),SUMIFS(Practices_SubPractices[D],Practices_SubPractices[CP],"1",Practices_SubPractices[Org],"Large"),IF(AND(Practices_SubPractices[CP]=2,Practices_SubPractices[Org]="Large"),SUMIFS(Practices_SubPractices[D],Practices_SubPractices[CP],"2",Practices_SubPractices[Org],"Large"),IF(AND(Practices_SubPractices[CP]=3,Practices_SubPractices[Org]="Large"),SUMIFS(Practices_SubPractices[D],Practices_SubPractices[CP],"3",Practices_SubPractices[Org],"Large"),IF(AND(Practices_SubPractices[CP]=4,Practices_SubPractices[Org]="Large"),SUMIFS(Practices_SubPractices[D],Practices_SubPractices[CP],"4",Practices_SubPractices[Org],"Large"),IF(AND(Practices_SubPractices[CP]=5,Practices_SubPractices[Org]="Large"),SUMIFS(Practices_SubPractices[D],Practices_SubPractices[CP],"5",Practices_SubPractices[Org],"Large"),IF(AND(Practices_SubPractices[CP]=6,Practices_SubPractices[Org]="Large"),SUMIFS(Practices_SubPractices[D],Practices_SubPractices[CP],"6",Practices_SubPractices[Org],"Large"),IF(AND(Practices_SubPractices[CP]=7,Practices_SubPractices[Org] ="Large"),SUMIFS(Practices_SubPractices[D],Practices_SubPractices[CP],"7",Practices_SubPractices[Org],"Large"),IF(AND(Practices_SubPractices[CP]=8,Practices_SubPractices[Org] ="Large"),SUMIFS(Practices_SubPractices[D],Practices_SubPractices[CP],"8",Practices_SubPractices[Org],"Large"),IF(AND(Practices_SubPractices[CP]=9,Practices_SubPractices[Org] ="Large"),SUMIFS(Practices_SubPractices[D],Practices_SubPractices[CP],"9",Practices_SubPractices[Org],"Large"),IF(AND(Practices_SubPractices[CP]=10,Practices_SubPractices[Org] ="Large"),SUMIFS(Practices_SubPractices[D],Practices_SubPractices[CP],"10",Practices_SubPractices[Org],"Large"),"TBD"))))))))))))))))))))))))))))))</f>
        <v>11</v>
      </c>
      <c r="R65" s="77">
        <f>IF(AND(Practices_SubPractices[CP]=1,Practices_SubPractices[Org]="Small"),SUMIFS(Practices_SubPractices[E],Practices_SubPractices[CP],"1",Practices_SubPractices[Org],"Small"),IF(AND(Practices_SubPractices[CP]=2,Practices_SubPractices[Org]="Small"),SUMIFS(Practices_SubPractices[E],Practices_SubPractices[CP],"2",Practices_SubPractices[Org],"Small"),IF(AND(Practices_SubPractices[CP]=3,Practices_SubPractices[Org]="Small"),SUMIFS(Practices_SubPractices[E],Practices_SubPractices[CP],"3",Practices_SubPractices[Org],"Small"),IF(AND(Practices_SubPractices[CP]=4,Practices_SubPractices[Org]="Small"),SUMIFS(Practices_SubPractices[E],Practices_SubPractices[CP],"4",Practices_SubPractices[Org],"Small"),IF(AND(Practices_SubPractices[CP]=5,Practices_SubPractices[Org]="Small"),SUMIFS(Practices_SubPractices[E],Practices_SubPractices[CP],"5",Practices_SubPractices[Org],"Small"),IF(AND(Practices_SubPractices[CP]=6,Practices_SubPractices[Org]="Small"),SUMIFS(Practices_SubPractices[E],Practices_SubPractices[CP],"6",Practices_SubPractices[Org],"Small"),IF(AND(Practices_SubPractices[CP]=7,Practices_SubPractices[Org] ="Small"),SUMIFS(Practices_SubPractices[E],Practices_SubPractices[CP],"7",Practices_SubPractices[Org],"Small"),IF(AND(Practices_SubPractices[CP]=8,Practices_SubPractices[Org] ="Small"),SUMIFS(Practices_SubPractices[E],Practices_SubPractices[CP],"8",Practices_SubPractices[Org],"Small"),IF(AND(Practices_SubPractices[CP]=9,Practices_SubPractices[Org] ="Small"),SUMIFS(Practices_SubPractices[E],Practices_SubPractices[CP],"9",Practices_SubPractices[Org],"Small"),IF(AND(Practices_SubPractices[CP]=10,Practices_SubPractices[Org] ="Small"),SUMIFS(Practices_SubPractices[E],Practices_SubPractices[CP],"10",Practices_SubPractices[Org],"Small"),IF(AND(Practices_SubPractices[CP]=1,Practices_SubPractices[Org]="Medium"),SUMIFS(Practices_SubPractices[E],Practices_SubPractices[CP],"1",Practices_SubPractices[Org],"Medium"),IF(AND(Practices_SubPractices[CP]=2,Practices_SubPractices[Org]="Medium"),SUMIFS(Practices_SubPractices[E],Practices_SubPractices[CP],"2",Practices_SubPractices[Org],"Medium"),IF(AND(Practices_SubPractices[CP]=3,Practices_SubPractices[Org]="Medium"),SUMIFS(Practices_SubPractices[E],Practices_SubPractices[CP],"3",Practices_SubPractices[Org],"Medium"),IF(AND(Practices_SubPractices[CP]=4,Practices_SubPractices[Org]="Medium"),SUMIFS(Practices_SubPractices[E],Practices_SubPractices[CP],"4",Practices_SubPractices[Org],"Medium"),IF(AND(Practices_SubPractices[CP]=5,Practices_SubPractices[Org]="Medium"),SUMIFS(Practices_SubPractices[E],Practices_SubPractices[CP],"5",Practices_SubPractices[Org],"Medium"),IF(AND(Practices_SubPractices[CP]=6,Practices_SubPractices[Org]="Medium"),SUMIFS(Practices_SubPractices[E],Practices_SubPractices[CP],"6",Practices_SubPractices[Org],"Medium"),IF(AND(Practices_SubPractices[CP]=7,Practices_SubPractices[Org] ="Medium"),SUMIFS(Practices_SubPractices[E],Practices_SubPractices[CP],"7",Practices_SubPractices[Org],"Medium"),IF(AND(Practices_SubPractices[CP]=8,Practices_SubPractices[Org] ="Medium"),SUMIFS(Practices_SubPractices[E],Practices_SubPractices[CP],"8",Practices_SubPractices[Org],"Medium"),IF(AND(Practices_SubPractices[CP]=9,Practices_SubPractices[Org] ="Medium"),SUMIFS(Practices_SubPractices[E],Practices_SubPractices[CP],"9",Practices_SubPractices[Org],"Medium"),IF(AND(Practices_SubPractices[CP]=10,Practices_SubPractices[Org] ="Medium"),SUMIFS(Practices_SubPractices[E],Practices_SubPractices[CP],"10",Practices_SubPractices[Org],"Medium"),IF(AND(Practices_SubPractices[CP]=1,Practices_SubPractices[Org]="Large"),SUMIFS(Practices_SubPractices[E],Practices_SubPractices[CP],"1",Practices_SubPractices[Org],"Large"),IF(AND(Practices_SubPractices[CP]=2,Practices_SubPractices[Org]="Large"),SUMIFS(Practices_SubPractices[E],Practices_SubPractices[CP],"2",Practices_SubPractices[Org],"Large"),IF(AND(Practices_SubPractices[CP]=3,Practices_SubPractices[Org]="Large"),SUMIFS(Practices_SubPractices[E],Practices_SubPractices[CP],"3",Practices_SubPractices[Org],"Large"),IF(AND(Practices_SubPractices[CP]=4,Practices_SubPractices[Org]="Large"),SUMIFS(Practices_SubPractices[E],Practices_SubPractices[CP],"4",Practices_SubPractices[Org],"Large"),IF(AND(Practices_SubPractices[CP]=5,Practices_SubPractices[Org]="Large"),SUMIFS(Practices_SubPractices[E],Practices_SubPractices[CP],"5",Practices_SubPractices[Org],"Large"),IF(AND(Practices_SubPractices[CP]=6,Practices_SubPractices[Org]="Large"),SUMIFS(Practices_SubPractices[E],Practices_SubPractices[CP],"6",Practices_SubPractices[Org],"Large"),IF(AND(Practices_SubPractices[CP]=7,Practices_SubPractices[Org] ="Large"),SUMIFS(Practices_SubPractices[E],Practices_SubPractices[CP],"7",Practices_SubPractices[Org],"Large"),IF(AND(Practices_SubPractices[CP]=8,Practices_SubPractices[Org] ="Large"),SUMIFS(Practices_SubPractices[E],Practices_SubPractices[CP],"8",Practices_SubPractices[Org],"Large"),IF(AND(Practices_SubPractices[CP]=9,Practices_SubPractices[Org] ="Large"),SUMIFS(Practices_SubPractices[E],Practices_SubPractices[CP],"9",Practices_SubPractices[Org],"Large"),IF(AND(Practices_SubPractices[CP]=10,Practices_SubPractices[Org] ="Large"),SUMIFS(Practices_SubPractices[E],Practices_SubPractices[CP],"10",Practices_SubPractices[Org],"Large"),"TBD"))))))))))))))))))))))))))))))</f>
        <v>5</v>
      </c>
      <c r="S65" s="87" t="s">
        <v>396</v>
      </c>
    </row>
    <row r="66" spans="1:19" x14ac:dyDescent="0.35">
      <c r="A66" s="73">
        <v>56</v>
      </c>
      <c r="B66" s="73">
        <v>6</v>
      </c>
      <c r="C66" s="73" t="s">
        <v>11</v>
      </c>
      <c r="D66" s="73" t="str">
        <f>Practices_SubPractices[[#This Row],[CP]]&amp;LEFT(Practices_SubPractices[[#This Row],[Org]],1)</f>
        <v>6M</v>
      </c>
      <c r="E66" s="73" t="s">
        <v>265</v>
      </c>
      <c r="F66" s="74" t="s">
        <v>17</v>
      </c>
      <c r="G66" s="74" t="s">
        <v>120</v>
      </c>
      <c r="H66" s="74" t="s">
        <v>232</v>
      </c>
      <c r="I66" s="75">
        <v>1</v>
      </c>
      <c r="J66" s="75">
        <v>2</v>
      </c>
      <c r="K66" s="75">
        <v>0</v>
      </c>
      <c r="L66" s="75">
        <v>1</v>
      </c>
      <c r="M66" s="75">
        <v>2</v>
      </c>
      <c r="N66" s="76"/>
      <c r="O66" s="77">
        <f>IF(AND(Practices_SubPractices[CP]=1,Practices_SubPractices[Org]="Small"),SUMIFS(Practices_SubPractices[B],Practices_SubPractices[CP],"1",Practices_SubPractices[Org],"Small"),IF(AND(Practices_SubPractices[CP]=2,Practices_SubPractices[Org]="Small"),SUMIFS(Practices_SubPractices[B],Practices_SubPractices[CP],"2",Practices_SubPractices[Org],"Small"),IF(AND(Practices_SubPractices[CP]=3,Practices_SubPractices[Org]="Small"),SUMIFS(Practices_SubPractices[B],Practices_SubPractices[CP],"3",Practices_SubPractices[Org],"Small"),IF(AND(Practices_SubPractices[CP]=4,Practices_SubPractices[Org]="Small"),SUMIFS(Practices_SubPractices[B],Practices_SubPractices[CP],"4",Practices_SubPractices[Org],"Small"),IF(AND(Practices_SubPractices[CP]=5,Practices_SubPractices[Org]="Small"),SUMIFS(Practices_SubPractices[B],Practices_SubPractices[CP],"5",Practices_SubPractices[Org],"Small"),IF(AND(Practices_SubPractices[CP]=6,Practices_SubPractices[Org]="Small"),SUMIFS(Practices_SubPractices[B],Practices_SubPractices[CP],"6",Practices_SubPractices[Org],"Small"),IF(AND(Practices_SubPractices[CP]=7,Practices_SubPractices[Org] ="Small"),SUMIFS(Practices_SubPractices[B],Practices_SubPractices[CP],"7",Practices_SubPractices[Org],"Small"),IF(AND(Practices_SubPractices[CP]=8,Practices_SubPractices[Org] ="Small"),SUMIFS(Practices_SubPractices[B],Practices_SubPractices[CP],"8",Practices_SubPractices[Org],"Small"),IF(AND(Practices_SubPractices[CP]=9,Practices_SubPractices[Org] ="Small"),SUMIFS(Practices_SubPractices[B],Practices_SubPractices[CP],"9",Practices_SubPractices[Org],"Small"),IF(AND(Practices_SubPractices[CP]=10,Practices_SubPractices[Org] ="Small"),SUMIFS(Practices_SubPractices[B],Practices_SubPractices[CP],"10",Practices_SubPractices[Org],"Small"),IF(AND(Practices_SubPractices[CP]=1,Practices_SubPractices[Org]="Medium"),SUMIFS(Practices_SubPractices[B],Practices_SubPractices[CP],"1",Practices_SubPractices[Org],"Medium"),IF(AND(Practices_SubPractices[CP]=2,Practices_SubPractices[Org]="Medium"),SUMIFS(Practices_SubPractices[B],Practices_SubPractices[CP],"2",Practices_SubPractices[Org],"Medium"),IF(AND(Practices_SubPractices[CP]=3,Practices_SubPractices[Org]="Medium"),SUMIFS(Practices_SubPractices[B],Practices_SubPractices[CP],"3",Practices_SubPractices[Org],"Medium"),IF(AND(Practices_SubPractices[CP]=4,Practices_SubPractices[Org]="Medium"),SUMIFS(Practices_SubPractices[B],Practices_SubPractices[CP],"4",Practices_SubPractices[Org],"Medium"),IF(AND(Practices_SubPractices[CP]=5,Practices_SubPractices[Org]="Medium"),SUMIFS(Practices_SubPractices[B],Practices_SubPractices[CP],"5",Practices_SubPractices[Org],"Medium"),IF(AND(Practices_SubPractices[CP]=6,Practices_SubPractices[Org]="Medium"),SUMIFS(Practices_SubPractices[B],Practices_SubPractices[CP],"6",Practices_SubPractices[Org],"Medium"),IF(AND(Practices_SubPractices[CP]=7,Practices_SubPractices[Org] ="Medium"),SUMIFS(Practices_SubPractices[B],Practices_SubPractices[CP],"7",Practices_SubPractices[Org],"Medium"),IF(AND(Practices_SubPractices[CP]=8,Practices_SubPractices[Org] ="Medium"),SUMIFS(Practices_SubPractices[B],Practices_SubPractices[CP],"8",Practices_SubPractices[Org],"Medium"),IF(AND(Practices_SubPractices[CP]=9,Practices_SubPractices[Org] ="Medium"),SUMIFS(Practices_SubPractices[B],Practices_SubPractices[CP],"9",Practices_SubPractices[Org],"Medium"),IF(AND(Practices_SubPractices[CP]=10,Practices_SubPractices[Org] ="Medium"),SUMIFS(Practices_SubPractices[B],Practices_SubPractices[CP],"10",Practices_SubPractices[Org],"Medium"),IF(AND(Practices_SubPractices[CP]=1,Practices_SubPractices[Org]="Large"),SUMIFS(Practices_SubPractices[B],Practices_SubPractices[CP],"1",Practices_SubPractices[Org],"Large"),IF(AND(Practices_SubPractices[CP]=2,Practices_SubPractices[Org]="Large"),SUMIFS(Practices_SubPractices[B],Practices_SubPractices[CP],"2",Practices_SubPractices[Org],"Large"),IF(AND(Practices_SubPractices[CP]=3,Practices_SubPractices[Org]="Large"),SUMIFS(Practices_SubPractices[B],Practices_SubPractices[CP],"3",Practices_SubPractices[Org],"Large"),IF(AND(Practices_SubPractices[CP]=4,Practices_SubPractices[Org]="Large"),SUMIFS(Practices_SubPractices[B],Practices_SubPractices[CP],"4",Practices_SubPractices[Org],"Large"),IF(AND(Practices_SubPractices[CP]=5,Practices_SubPractices[Org]="Large"),SUMIFS(Practices_SubPractices[B],Practices_SubPractices[CP],"5",Practices_SubPractices[Org],"Large"),IF(AND(Practices_SubPractices[CP]=6,Practices_SubPractices[Org]="Large"),SUMIFS(Practices_SubPractices[B],Practices_SubPractices[CP],"6",Practices_SubPractices[Org],"Large"),IF(AND(Practices_SubPractices[CP]=7,Practices_SubPractices[Org] ="Large"),SUMIFS(Practices_SubPractices[B],Practices_SubPractices[CP],"7",Practices_SubPractices[Org],"Large"),IF(AND(Practices_SubPractices[CP]=8,Practices_SubPractices[Org] ="Large"),SUMIFS(Practices_SubPractices[B],Practices_SubPractices[CP],"8",Practices_SubPractices[Org],"Large"),IF(AND(Practices_SubPractices[CP]=9,Practices_SubPractices[Org] ="Large"),SUMIFS(Practices_SubPractices[B],Practices_SubPractices[CP],"9",Practices_SubPractices[Org],"Large"),IF(AND(Practices_SubPractices[CP]=10,Practices_SubPractices[Org] ="Large"),SUMIFS(Practices_SubPractices[B],Practices_SubPractices[CP],"10",Practices_SubPractices[Org],"Large"),"TBD"))))))))))))))))))))))))))))))</f>
        <v>7</v>
      </c>
      <c r="P66" s="77">
        <f>IF(AND(Practices_SubPractices[CP]=1,Practices_SubPractices[Org]="Small"),SUMIFS(Practices_SubPractices[C],Practices_SubPractices[CP],"1",Practices_SubPractices[Org],"Small"),IF(AND(Practices_SubPractices[CP]=2,Practices_SubPractices[Org]="Small"),SUMIFS(Practices_SubPractices[C],Practices_SubPractices[CP],"2",Practices_SubPractices[Org],"Small"),IF(AND(Practices_SubPractices[CP]=3,Practices_SubPractices[Org]="Small"),SUMIFS(Practices_SubPractices[C],Practices_SubPractices[CP],"3",Practices_SubPractices[Org],"Small"),IF(AND(Practices_SubPractices[CP]=4,Practices_SubPractices[Org]="Small"),SUMIFS(Practices_SubPractices[C],Practices_SubPractices[CP],"4",Practices_SubPractices[Org],"Small"),IF(AND(Practices_SubPractices[CP]=5,Practices_SubPractices[Org]="Small"),SUMIFS(Practices_SubPractices[C],Practices_SubPractices[CP],"5",Practices_SubPractices[Org],"Small"),IF(AND(Practices_SubPractices[CP]=6,Practices_SubPractices[Org]="Small"),SUMIFS(Practices_SubPractices[C],Practices_SubPractices[CP],"6",Practices_SubPractices[Org],"Small"),IF(AND(Practices_SubPractices[CP]=7,Practices_SubPractices[Org] ="Small"),SUMIFS(Practices_SubPractices[C],Practices_SubPractices[CP],"7",Practices_SubPractices[Org],"Small"),IF(AND(Practices_SubPractices[CP]=8,Practices_SubPractices[Org] ="Small"),SUMIFS(Practices_SubPractices[C],Practices_SubPractices[CP],"8",Practices_SubPractices[Org],"Small"),IF(AND(Practices_SubPractices[CP]=9,Practices_SubPractices[Org] ="Small"),SUMIFS(Practices_SubPractices[C],Practices_SubPractices[CP],"9",Practices_SubPractices[Org],"Small"),IF(AND(Practices_SubPractices[CP]=10,Practices_SubPractices[Org] ="Small"),SUMIFS(Practices_SubPractices[C],Practices_SubPractices[CP],"10",Practices_SubPractices[Org],"Small"),IF(AND(Practices_SubPractices[CP]=1,Practices_SubPractices[Org]="Medium"),SUMIFS(Practices_SubPractices[C],Practices_SubPractices[CP],"1",Practices_SubPractices[Org],"Medium"),IF(AND(Practices_SubPractices[CP]=2,Practices_SubPractices[Org]="Medium"),SUMIFS(Practices_SubPractices[C],Practices_SubPractices[CP],"2",Practices_SubPractices[Org],"Medium"),IF(AND(Practices_SubPractices[CP]=3,Practices_SubPractices[Org]="Medium"),SUMIFS(Practices_SubPractices[C],Practices_SubPractices[CP],"3",Practices_SubPractices[Org],"Medium"),IF(AND(Practices_SubPractices[CP]=4,Practices_SubPractices[Org]="Medium"),SUMIFS(Practices_SubPractices[C],Practices_SubPractices[CP],"4",Practices_SubPractices[Org],"Medium"),IF(AND(Practices_SubPractices[CP]=5,Practices_SubPractices[Org]="Medium"),SUMIFS(Practices_SubPractices[C],Practices_SubPractices[CP],"5",Practices_SubPractices[Org],"Medium"),IF(AND(Practices_SubPractices[CP]=6,Practices_SubPractices[Org]="Medium"),SUMIFS(Practices_SubPractices[C],Practices_SubPractices[CP],"6",Practices_SubPractices[Org],"Medium"),IF(AND(Practices_SubPractices[CP]=7,Practices_SubPractices[Org] ="Medium"),SUMIFS(Practices_SubPractices[C],Practices_SubPractices[CP],"7",Practices_SubPractices[Org],"Medium"),IF(AND(Practices_SubPractices[CP]=8,Practices_SubPractices[Org] ="Medium"),SUMIFS(Practices_SubPractices[C],Practices_SubPractices[CP],"8",Practices_SubPractices[Org],"Medium"),IF(AND(Practices_SubPractices[CP]=9,Practices_SubPractices[Org] ="Medium"),SUMIFS(Practices_SubPractices[C],Practices_SubPractices[CP],"9",Practices_SubPractices[Org],"Medium"),IF(AND(Practices_SubPractices[CP]=10,Practices_SubPractices[Org] ="Medium"),SUMIFS(Practices_SubPractices[C],Practices_SubPractices[CP],"10",Practices_SubPractices[Org],"Medium"),IF(AND(Practices_SubPractices[CP]=1,Practices_SubPractices[Org]="Large"),SUMIFS(Practices_SubPractices[C],Practices_SubPractices[CP],"1",Practices_SubPractices[Org],"Large"),IF(AND(Practices_SubPractices[CP]=2,Practices_SubPractices[Org]="Large"),SUMIFS(Practices_SubPractices[C],Practices_SubPractices[CP],"2",Practices_SubPractices[Org],"Large"),IF(AND(Practices_SubPractices[CP]=3,Practices_SubPractices[Org]="Large"),SUMIFS(Practices_SubPractices[C],Practices_SubPractices[CP],"3",Practices_SubPractices[Org],"Large"),IF(AND(Practices_SubPractices[CP]=4,Practices_SubPractices[Org]="Large"),SUMIFS(Practices_SubPractices[C],Practices_SubPractices[CP],"4",Practices_SubPractices[Org],"Large"),IF(AND(Practices_SubPractices[CP]=5,Practices_SubPractices[Org]="Large"),SUMIFS(Practices_SubPractices[C],Practices_SubPractices[CP],"5",Practices_SubPractices[Org],"Large"),IF(AND(Practices_SubPractices[CP]=6,Practices_SubPractices[Org]="Large"),SUMIFS(Practices_SubPractices[C],Practices_SubPractices[CP],"6",Practices_SubPractices[Org],"Large"),IF(AND(Practices_SubPractices[CP]=7,Practices_SubPractices[Org] ="Large"),SUMIFS(Practices_SubPractices[C],Practices_SubPractices[CP],"7",Practices_SubPractices[Org],"Large"),IF(AND(Practices_SubPractices[CP]=8,Practices_SubPractices[Org] ="Large"),SUMIFS(Practices_SubPractices[C],Practices_SubPractices[CP],"8",Practices_SubPractices[Org],"Large"),IF(AND(Practices_SubPractices[CP]=9,Practices_SubPractices[Org] ="Large"),SUMIFS(Practices_SubPractices[C],Practices_SubPractices[CP],"9",Practices_SubPractices[Org],"Large"),IF(AND(Practices_SubPractices[CP]=10,Practices_SubPractices[Org] ="Large"),SUMIFS(Practices_SubPractices[C],Practices_SubPractices[CP],"10",Practices_SubPractices[Org],"Large"),"TBD"))))))))))))))))))))))))))))))</f>
        <v>0</v>
      </c>
      <c r="Q66" s="77">
        <f>IF(AND(Practices_SubPractices[CP]=1,Practices_SubPractices[Org]="Small"),SUMIFS(Practices_SubPractices[D],Practices_SubPractices[CP],"1",Practices_SubPractices[Org],"Small"),IF(AND(Practices_SubPractices[CP]=2,Practices_SubPractices[Org]="Small"),SUMIFS(Practices_SubPractices[D],Practices_SubPractices[CP],"2",Practices_SubPractices[Org],"Small"),IF(AND(Practices_SubPractices[CP]=3,Practices_SubPractices[Org]="Small"),SUMIFS(Practices_SubPractices[D],Practices_SubPractices[CP],"3",Practices_SubPractices[Org],"Small"),IF(AND(Practices_SubPractices[CP]=4,Practices_SubPractices[Org]="Small"),SUMIFS(Practices_SubPractices[D],Practices_SubPractices[CP],"4",Practices_SubPractices[Org],"Small"),IF(AND(Practices_SubPractices[CP]=5,Practices_SubPractices[Org]="Small"),SUMIFS(Practices_SubPractices[D],Practices_SubPractices[CP],"5",Practices_SubPractices[Org],"Small"),IF(AND(Practices_SubPractices[CP]=6,Practices_SubPractices[Org]="Small"),SUMIFS(Practices_SubPractices[D],Practices_SubPractices[CP],"6",Practices_SubPractices[Org],"Small"),IF(AND(Practices_SubPractices[CP]=7,Practices_SubPractices[Org] ="Small"),SUMIFS(Practices_SubPractices[D],Practices_SubPractices[CP],"7",Practices_SubPractices[Org],"Small"),IF(AND(Practices_SubPractices[CP]=8,Practices_SubPractices[Org] ="Small"),SUMIFS(Practices_SubPractices[D],Practices_SubPractices[CP],"8",Practices_SubPractices[Org],"Small"),IF(AND(Practices_SubPractices[CP]=9,Practices_SubPractices[Org] ="Small"),SUMIFS(Practices_SubPractices[D],Practices_SubPractices[CP],"9",Practices_SubPractices[Org],"Small"),IF(AND(Practices_SubPractices[CP]=10,Practices_SubPractices[Org] ="Small"),SUMIFS(Practices_SubPractices[D],Practices_SubPractices[CP],"10",Practices_SubPractices[Org],"Small"),IF(AND(Practices_SubPractices[CP]=1,Practices_SubPractices[Org]="Medium"),SUMIFS(Practices_SubPractices[D],Practices_SubPractices[CP],"1",Practices_SubPractices[Org],"Medium"),IF(AND(Practices_SubPractices[CP]=2,Practices_SubPractices[Org]="Medium"),SUMIFS(Practices_SubPractices[D],Practices_SubPractices[CP],"2",Practices_SubPractices[Org],"Medium"),IF(AND(Practices_SubPractices[CP]=3,Practices_SubPractices[Org]="Medium"),SUMIFS(Practices_SubPractices[D],Practices_SubPractices[CP],"3",Practices_SubPractices[Org],"Medium"),IF(AND(Practices_SubPractices[CP]=4,Practices_SubPractices[Org]="Medium"),SUMIFS(Practices_SubPractices[D],Practices_SubPractices[CP],"4",Practices_SubPractices[Org],"Medium"),IF(AND(Practices_SubPractices[CP]=5,Practices_SubPractices[Org]="Medium"),SUMIFS(Practices_SubPractices[D],Practices_SubPractices[CP],"5",Practices_SubPractices[Org],"Medium"),IF(AND(Practices_SubPractices[CP]=6,Practices_SubPractices[Org]="Medium"),SUMIFS(Practices_SubPractices[D],Practices_SubPractices[CP],"6",Practices_SubPractices[Org],"Medium"),IF(AND(Practices_SubPractices[CP]=7,Practices_SubPractices[Org] ="Medium"),SUMIFS(Practices_SubPractices[D],Practices_SubPractices[CP],"7",Practices_SubPractices[Org],"Medium"),IF(AND(Practices_SubPractices[CP]=8,Practices_SubPractices[Org] ="Medium"),SUMIFS(Practices_SubPractices[D],Practices_SubPractices[CP],"8",Practices_SubPractices[Org],"Medium"),IF(AND(Practices_SubPractices[CP]=9,Practices_SubPractices[Org] ="Medium"),SUMIFS(Practices_SubPractices[D],Practices_SubPractices[CP],"9",Practices_SubPractices[Org],"Medium"),IF(AND(Practices_SubPractices[CP]=10,Practices_SubPractices[Org] ="Medium"),SUMIFS(Practices_SubPractices[D],Practices_SubPractices[CP],"10",Practices_SubPractices[Org],"Medium"),IF(AND(Practices_SubPractices[CP]=1,Practices_SubPractices[Org]="Large"),SUMIFS(Practices_SubPractices[D],Practices_SubPractices[CP],"1",Practices_SubPractices[Org],"Large"),IF(AND(Practices_SubPractices[CP]=2,Practices_SubPractices[Org]="Large"),SUMIFS(Practices_SubPractices[D],Practices_SubPractices[CP],"2",Practices_SubPractices[Org],"Large"),IF(AND(Practices_SubPractices[CP]=3,Practices_SubPractices[Org]="Large"),SUMIFS(Practices_SubPractices[D],Practices_SubPractices[CP],"3",Practices_SubPractices[Org],"Large"),IF(AND(Practices_SubPractices[CP]=4,Practices_SubPractices[Org]="Large"),SUMIFS(Practices_SubPractices[D],Practices_SubPractices[CP],"4",Practices_SubPractices[Org],"Large"),IF(AND(Practices_SubPractices[CP]=5,Practices_SubPractices[Org]="Large"),SUMIFS(Practices_SubPractices[D],Practices_SubPractices[CP],"5",Practices_SubPractices[Org],"Large"),IF(AND(Practices_SubPractices[CP]=6,Practices_SubPractices[Org]="Large"),SUMIFS(Practices_SubPractices[D],Practices_SubPractices[CP],"6",Practices_SubPractices[Org],"Large"),IF(AND(Practices_SubPractices[CP]=7,Practices_SubPractices[Org] ="Large"),SUMIFS(Practices_SubPractices[D],Practices_SubPractices[CP],"7",Practices_SubPractices[Org],"Large"),IF(AND(Practices_SubPractices[CP]=8,Practices_SubPractices[Org] ="Large"),SUMIFS(Practices_SubPractices[D],Practices_SubPractices[CP],"8",Practices_SubPractices[Org],"Large"),IF(AND(Practices_SubPractices[CP]=9,Practices_SubPractices[Org] ="Large"),SUMIFS(Practices_SubPractices[D],Practices_SubPractices[CP],"9",Practices_SubPractices[Org],"Large"),IF(AND(Practices_SubPractices[CP]=10,Practices_SubPractices[Org] ="Large"),SUMIFS(Practices_SubPractices[D],Practices_SubPractices[CP],"10",Practices_SubPractices[Org],"Large"),"TBD"))))))))))))))))))))))))))))))</f>
        <v>6</v>
      </c>
      <c r="R66" s="77">
        <f>IF(AND(Practices_SubPractices[CP]=1,Practices_SubPractices[Org]="Small"),SUMIFS(Practices_SubPractices[E],Practices_SubPractices[CP],"1",Practices_SubPractices[Org],"Small"),IF(AND(Practices_SubPractices[CP]=2,Practices_SubPractices[Org]="Small"),SUMIFS(Practices_SubPractices[E],Practices_SubPractices[CP],"2",Practices_SubPractices[Org],"Small"),IF(AND(Practices_SubPractices[CP]=3,Practices_SubPractices[Org]="Small"),SUMIFS(Practices_SubPractices[E],Practices_SubPractices[CP],"3",Practices_SubPractices[Org],"Small"),IF(AND(Practices_SubPractices[CP]=4,Practices_SubPractices[Org]="Small"),SUMIFS(Practices_SubPractices[E],Practices_SubPractices[CP],"4",Practices_SubPractices[Org],"Small"),IF(AND(Practices_SubPractices[CP]=5,Practices_SubPractices[Org]="Small"),SUMIFS(Practices_SubPractices[E],Practices_SubPractices[CP],"5",Practices_SubPractices[Org],"Small"),IF(AND(Practices_SubPractices[CP]=6,Practices_SubPractices[Org]="Small"),SUMIFS(Practices_SubPractices[E],Practices_SubPractices[CP],"6",Practices_SubPractices[Org],"Small"),IF(AND(Practices_SubPractices[CP]=7,Practices_SubPractices[Org] ="Small"),SUMIFS(Practices_SubPractices[E],Practices_SubPractices[CP],"7",Practices_SubPractices[Org],"Small"),IF(AND(Practices_SubPractices[CP]=8,Practices_SubPractices[Org] ="Small"),SUMIFS(Practices_SubPractices[E],Practices_SubPractices[CP],"8",Practices_SubPractices[Org],"Small"),IF(AND(Practices_SubPractices[CP]=9,Practices_SubPractices[Org] ="Small"),SUMIFS(Practices_SubPractices[E],Practices_SubPractices[CP],"9",Practices_SubPractices[Org],"Small"),IF(AND(Practices_SubPractices[CP]=10,Practices_SubPractices[Org] ="Small"),SUMIFS(Practices_SubPractices[E],Practices_SubPractices[CP],"10",Practices_SubPractices[Org],"Small"),IF(AND(Practices_SubPractices[CP]=1,Practices_SubPractices[Org]="Medium"),SUMIFS(Practices_SubPractices[E],Practices_SubPractices[CP],"1",Practices_SubPractices[Org],"Medium"),IF(AND(Practices_SubPractices[CP]=2,Practices_SubPractices[Org]="Medium"),SUMIFS(Practices_SubPractices[E],Practices_SubPractices[CP],"2",Practices_SubPractices[Org],"Medium"),IF(AND(Practices_SubPractices[CP]=3,Practices_SubPractices[Org]="Medium"),SUMIFS(Practices_SubPractices[E],Practices_SubPractices[CP],"3",Practices_SubPractices[Org],"Medium"),IF(AND(Practices_SubPractices[CP]=4,Practices_SubPractices[Org]="Medium"),SUMIFS(Practices_SubPractices[E],Practices_SubPractices[CP],"4",Practices_SubPractices[Org],"Medium"),IF(AND(Practices_SubPractices[CP]=5,Practices_SubPractices[Org]="Medium"),SUMIFS(Practices_SubPractices[E],Practices_SubPractices[CP],"5",Practices_SubPractices[Org],"Medium"),IF(AND(Practices_SubPractices[CP]=6,Practices_SubPractices[Org]="Medium"),SUMIFS(Practices_SubPractices[E],Practices_SubPractices[CP],"6",Practices_SubPractices[Org],"Medium"),IF(AND(Practices_SubPractices[CP]=7,Practices_SubPractices[Org] ="Medium"),SUMIFS(Practices_SubPractices[E],Practices_SubPractices[CP],"7",Practices_SubPractices[Org],"Medium"),IF(AND(Practices_SubPractices[CP]=8,Practices_SubPractices[Org] ="Medium"),SUMIFS(Practices_SubPractices[E],Practices_SubPractices[CP],"8",Practices_SubPractices[Org],"Medium"),IF(AND(Practices_SubPractices[CP]=9,Practices_SubPractices[Org] ="Medium"),SUMIFS(Practices_SubPractices[E],Practices_SubPractices[CP],"9",Practices_SubPractices[Org],"Medium"),IF(AND(Practices_SubPractices[CP]=10,Practices_SubPractices[Org] ="Medium"),SUMIFS(Practices_SubPractices[E],Practices_SubPractices[CP],"10",Practices_SubPractices[Org],"Medium"),IF(AND(Practices_SubPractices[CP]=1,Practices_SubPractices[Org]="Large"),SUMIFS(Practices_SubPractices[E],Practices_SubPractices[CP],"1",Practices_SubPractices[Org],"Large"),IF(AND(Practices_SubPractices[CP]=2,Practices_SubPractices[Org]="Large"),SUMIFS(Practices_SubPractices[E],Practices_SubPractices[CP],"2",Practices_SubPractices[Org],"Large"),IF(AND(Practices_SubPractices[CP]=3,Practices_SubPractices[Org]="Large"),SUMIFS(Practices_SubPractices[E],Practices_SubPractices[CP],"3",Practices_SubPractices[Org],"Large"),IF(AND(Practices_SubPractices[CP]=4,Practices_SubPractices[Org]="Large"),SUMIFS(Practices_SubPractices[E],Practices_SubPractices[CP],"4",Practices_SubPractices[Org],"Large"),IF(AND(Practices_SubPractices[CP]=5,Practices_SubPractices[Org]="Large"),SUMIFS(Practices_SubPractices[E],Practices_SubPractices[CP],"5",Practices_SubPractices[Org],"Large"),IF(AND(Practices_SubPractices[CP]=6,Practices_SubPractices[Org]="Large"),SUMIFS(Practices_SubPractices[E],Practices_SubPractices[CP],"6",Practices_SubPractices[Org],"Large"),IF(AND(Practices_SubPractices[CP]=7,Practices_SubPractices[Org] ="Large"),SUMIFS(Practices_SubPractices[E],Practices_SubPractices[CP],"7",Practices_SubPractices[Org],"Large"),IF(AND(Practices_SubPractices[CP]=8,Practices_SubPractices[Org] ="Large"),SUMIFS(Practices_SubPractices[E],Practices_SubPractices[CP],"8",Practices_SubPractices[Org],"Large"),IF(AND(Practices_SubPractices[CP]=9,Practices_SubPractices[Org] ="Large"),SUMIFS(Practices_SubPractices[E],Practices_SubPractices[CP],"9",Practices_SubPractices[Org],"Large"),IF(AND(Practices_SubPractices[CP]=10,Practices_SubPractices[Org] ="Large"),SUMIFS(Practices_SubPractices[E],Practices_SubPractices[CP],"10",Practices_SubPractices[Org],"Large"),"TBD"))))))))))))))))))))))))))))))</f>
        <v>7</v>
      </c>
      <c r="S66" s="87" t="s">
        <v>419</v>
      </c>
    </row>
    <row r="67" spans="1:19" x14ac:dyDescent="0.35">
      <c r="A67" s="73">
        <v>57</v>
      </c>
      <c r="B67" s="73">
        <v>6</v>
      </c>
      <c r="C67" s="73" t="s">
        <v>12</v>
      </c>
      <c r="D67" s="73" t="str">
        <f>Practices_SubPractices[[#This Row],[CP]]&amp;LEFT(Practices_SubPractices[[#This Row],[Org]],1)</f>
        <v>6L</v>
      </c>
      <c r="E67" s="73" t="s">
        <v>265</v>
      </c>
      <c r="F67" s="74" t="s">
        <v>17</v>
      </c>
      <c r="G67" s="74" t="s">
        <v>120</v>
      </c>
      <c r="H67" s="74" t="s">
        <v>232</v>
      </c>
      <c r="I67" s="75">
        <v>1</v>
      </c>
      <c r="J67" s="75">
        <v>2</v>
      </c>
      <c r="K67" s="75">
        <v>0</v>
      </c>
      <c r="L67" s="75">
        <v>1</v>
      </c>
      <c r="M67" s="75">
        <v>2</v>
      </c>
      <c r="N67" s="76"/>
      <c r="O67" s="77">
        <f>IF(AND(Practices_SubPractices[CP]=1,Practices_SubPractices[Org]="Small"),SUMIFS(Practices_SubPractices[B],Practices_SubPractices[CP],"1",Practices_SubPractices[Org],"Small"),IF(AND(Practices_SubPractices[CP]=2,Practices_SubPractices[Org]="Small"),SUMIFS(Practices_SubPractices[B],Practices_SubPractices[CP],"2",Practices_SubPractices[Org],"Small"),IF(AND(Practices_SubPractices[CP]=3,Practices_SubPractices[Org]="Small"),SUMIFS(Practices_SubPractices[B],Practices_SubPractices[CP],"3",Practices_SubPractices[Org],"Small"),IF(AND(Practices_SubPractices[CP]=4,Practices_SubPractices[Org]="Small"),SUMIFS(Practices_SubPractices[B],Practices_SubPractices[CP],"4",Practices_SubPractices[Org],"Small"),IF(AND(Practices_SubPractices[CP]=5,Practices_SubPractices[Org]="Small"),SUMIFS(Practices_SubPractices[B],Practices_SubPractices[CP],"5",Practices_SubPractices[Org],"Small"),IF(AND(Practices_SubPractices[CP]=6,Practices_SubPractices[Org]="Small"),SUMIFS(Practices_SubPractices[B],Practices_SubPractices[CP],"6",Practices_SubPractices[Org],"Small"),IF(AND(Practices_SubPractices[CP]=7,Practices_SubPractices[Org] ="Small"),SUMIFS(Practices_SubPractices[B],Practices_SubPractices[CP],"7",Practices_SubPractices[Org],"Small"),IF(AND(Practices_SubPractices[CP]=8,Practices_SubPractices[Org] ="Small"),SUMIFS(Practices_SubPractices[B],Practices_SubPractices[CP],"8",Practices_SubPractices[Org],"Small"),IF(AND(Practices_SubPractices[CP]=9,Practices_SubPractices[Org] ="Small"),SUMIFS(Practices_SubPractices[B],Practices_SubPractices[CP],"9",Practices_SubPractices[Org],"Small"),IF(AND(Practices_SubPractices[CP]=10,Practices_SubPractices[Org] ="Small"),SUMIFS(Practices_SubPractices[B],Practices_SubPractices[CP],"10",Practices_SubPractices[Org],"Small"),IF(AND(Practices_SubPractices[CP]=1,Practices_SubPractices[Org]="Medium"),SUMIFS(Practices_SubPractices[B],Practices_SubPractices[CP],"1",Practices_SubPractices[Org],"Medium"),IF(AND(Practices_SubPractices[CP]=2,Practices_SubPractices[Org]="Medium"),SUMIFS(Practices_SubPractices[B],Practices_SubPractices[CP],"2",Practices_SubPractices[Org],"Medium"),IF(AND(Practices_SubPractices[CP]=3,Practices_SubPractices[Org]="Medium"),SUMIFS(Practices_SubPractices[B],Practices_SubPractices[CP],"3",Practices_SubPractices[Org],"Medium"),IF(AND(Practices_SubPractices[CP]=4,Practices_SubPractices[Org]="Medium"),SUMIFS(Practices_SubPractices[B],Practices_SubPractices[CP],"4",Practices_SubPractices[Org],"Medium"),IF(AND(Practices_SubPractices[CP]=5,Practices_SubPractices[Org]="Medium"),SUMIFS(Practices_SubPractices[B],Practices_SubPractices[CP],"5",Practices_SubPractices[Org],"Medium"),IF(AND(Practices_SubPractices[CP]=6,Practices_SubPractices[Org]="Medium"),SUMIFS(Practices_SubPractices[B],Practices_SubPractices[CP],"6",Practices_SubPractices[Org],"Medium"),IF(AND(Practices_SubPractices[CP]=7,Practices_SubPractices[Org] ="Medium"),SUMIFS(Practices_SubPractices[B],Practices_SubPractices[CP],"7",Practices_SubPractices[Org],"Medium"),IF(AND(Practices_SubPractices[CP]=8,Practices_SubPractices[Org] ="Medium"),SUMIFS(Practices_SubPractices[B],Practices_SubPractices[CP],"8",Practices_SubPractices[Org],"Medium"),IF(AND(Practices_SubPractices[CP]=9,Practices_SubPractices[Org] ="Medium"),SUMIFS(Practices_SubPractices[B],Practices_SubPractices[CP],"9",Practices_SubPractices[Org],"Medium"),IF(AND(Practices_SubPractices[CP]=10,Practices_SubPractices[Org] ="Medium"),SUMIFS(Practices_SubPractices[B],Practices_SubPractices[CP],"10",Practices_SubPractices[Org],"Medium"),IF(AND(Practices_SubPractices[CP]=1,Practices_SubPractices[Org]="Large"),SUMIFS(Practices_SubPractices[B],Practices_SubPractices[CP],"1",Practices_SubPractices[Org],"Large"),IF(AND(Practices_SubPractices[CP]=2,Practices_SubPractices[Org]="Large"),SUMIFS(Practices_SubPractices[B],Practices_SubPractices[CP],"2",Practices_SubPractices[Org],"Large"),IF(AND(Practices_SubPractices[CP]=3,Practices_SubPractices[Org]="Large"),SUMIFS(Practices_SubPractices[B],Practices_SubPractices[CP],"3",Practices_SubPractices[Org],"Large"),IF(AND(Practices_SubPractices[CP]=4,Practices_SubPractices[Org]="Large"),SUMIFS(Practices_SubPractices[B],Practices_SubPractices[CP],"4",Practices_SubPractices[Org],"Large"),IF(AND(Practices_SubPractices[CP]=5,Practices_SubPractices[Org]="Large"),SUMIFS(Practices_SubPractices[B],Practices_SubPractices[CP],"5",Practices_SubPractices[Org],"Large"),IF(AND(Practices_SubPractices[CP]=6,Practices_SubPractices[Org]="Large"),SUMIFS(Practices_SubPractices[B],Practices_SubPractices[CP],"6",Practices_SubPractices[Org],"Large"),IF(AND(Practices_SubPractices[CP]=7,Practices_SubPractices[Org] ="Large"),SUMIFS(Practices_SubPractices[B],Practices_SubPractices[CP],"7",Practices_SubPractices[Org],"Large"),IF(AND(Practices_SubPractices[CP]=8,Practices_SubPractices[Org] ="Large"),SUMIFS(Practices_SubPractices[B],Practices_SubPractices[CP],"8",Practices_SubPractices[Org],"Large"),IF(AND(Practices_SubPractices[CP]=9,Practices_SubPractices[Org] ="Large"),SUMIFS(Practices_SubPractices[B],Practices_SubPractices[CP],"9",Practices_SubPractices[Org],"Large"),IF(AND(Practices_SubPractices[CP]=10,Practices_SubPractices[Org] ="Large"),SUMIFS(Practices_SubPractices[B],Practices_SubPractices[CP],"10",Practices_SubPractices[Org],"Large"),"TBD"))))))))))))))))))))))))))))))</f>
        <v>15</v>
      </c>
      <c r="P67" s="77">
        <f>IF(AND(Practices_SubPractices[CP]=1,Practices_SubPractices[Org]="Small"),SUMIFS(Practices_SubPractices[C],Practices_SubPractices[CP],"1",Practices_SubPractices[Org],"Small"),IF(AND(Practices_SubPractices[CP]=2,Practices_SubPractices[Org]="Small"),SUMIFS(Practices_SubPractices[C],Practices_SubPractices[CP],"2",Practices_SubPractices[Org],"Small"),IF(AND(Practices_SubPractices[CP]=3,Practices_SubPractices[Org]="Small"),SUMIFS(Practices_SubPractices[C],Practices_SubPractices[CP],"3",Practices_SubPractices[Org],"Small"),IF(AND(Practices_SubPractices[CP]=4,Practices_SubPractices[Org]="Small"),SUMIFS(Practices_SubPractices[C],Practices_SubPractices[CP],"4",Practices_SubPractices[Org],"Small"),IF(AND(Practices_SubPractices[CP]=5,Practices_SubPractices[Org]="Small"),SUMIFS(Practices_SubPractices[C],Practices_SubPractices[CP],"5",Practices_SubPractices[Org],"Small"),IF(AND(Practices_SubPractices[CP]=6,Practices_SubPractices[Org]="Small"),SUMIFS(Practices_SubPractices[C],Practices_SubPractices[CP],"6",Practices_SubPractices[Org],"Small"),IF(AND(Practices_SubPractices[CP]=7,Practices_SubPractices[Org] ="Small"),SUMIFS(Practices_SubPractices[C],Practices_SubPractices[CP],"7",Practices_SubPractices[Org],"Small"),IF(AND(Practices_SubPractices[CP]=8,Practices_SubPractices[Org] ="Small"),SUMIFS(Practices_SubPractices[C],Practices_SubPractices[CP],"8",Practices_SubPractices[Org],"Small"),IF(AND(Practices_SubPractices[CP]=9,Practices_SubPractices[Org] ="Small"),SUMIFS(Practices_SubPractices[C],Practices_SubPractices[CP],"9",Practices_SubPractices[Org],"Small"),IF(AND(Practices_SubPractices[CP]=10,Practices_SubPractices[Org] ="Small"),SUMIFS(Practices_SubPractices[C],Practices_SubPractices[CP],"10",Practices_SubPractices[Org],"Small"),IF(AND(Practices_SubPractices[CP]=1,Practices_SubPractices[Org]="Medium"),SUMIFS(Practices_SubPractices[C],Practices_SubPractices[CP],"1",Practices_SubPractices[Org],"Medium"),IF(AND(Practices_SubPractices[CP]=2,Practices_SubPractices[Org]="Medium"),SUMIFS(Practices_SubPractices[C],Practices_SubPractices[CP],"2",Practices_SubPractices[Org],"Medium"),IF(AND(Practices_SubPractices[CP]=3,Practices_SubPractices[Org]="Medium"),SUMIFS(Practices_SubPractices[C],Practices_SubPractices[CP],"3",Practices_SubPractices[Org],"Medium"),IF(AND(Practices_SubPractices[CP]=4,Practices_SubPractices[Org]="Medium"),SUMIFS(Practices_SubPractices[C],Practices_SubPractices[CP],"4",Practices_SubPractices[Org],"Medium"),IF(AND(Practices_SubPractices[CP]=5,Practices_SubPractices[Org]="Medium"),SUMIFS(Practices_SubPractices[C],Practices_SubPractices[CP],"5",Practices_SubPractices[Org],"Medium"),IF(AND(Practices_SubPractices[CP]=6,Practices_SubPractices[Org]="Medium"),SUMIFS(Practices_SubPractices[C],Practices_SubPractices[CP],"6",Practices_SubPractices[Org],"Medium"),IF(AND(Practices_SubPractices[CP]=7,Practices_SubPractices[Org] ="Medium"),SUMIFS(Practices_SubPractices[C],Practices_SubPractices[CP],"7",Practices_SubPractices[Org],"Medium"),IF(AND(Practices_SubPractices[CP]=8,Practices_SubPractices[Org] ="Medium"),SUMIFS(Practices_SubPractices[C],Practices_SubPractices[CP],"8",Practices_SubPractices[Org],"Medium"),IF(AND(Practices_SubPractices[CP]=9,Practices_SubPractices[Org] ="Medium"),SUMIFS(Practices_SubPractices[C],Practices_SubPractices[CP],"9",Practices_SubPractices[Org],"Medium"),IF(AND(Practices_SubPractices[CP]=10,Practices_SubPractices[Org] ="Medium"),SUMIFS(Practices_SubPractices[C],Practices_SubPractices[CP],"10",Practices_SubPractices[Org],"Medium"),IF(AND(Practices_SubPractices[CP]=1,Practices_SubPractices[Org]="Large"),SUMIFS(Practices_SubPractices[C],Practices_SubPractices[CP],"1",Practices_SubPractices[Org],"Large"),IF(AND(Practices_SubPractices[CP]=2,Practices_SubPractices[Org]="Large"),SUMIFS(Practices_SubPractices[C],Practices_SubPractices[CP],"2",Practices_SubPractices[Org],"Large"),IF(AND(Practices_SubPractices[CP]=3,Practices_SubPractices[Org]="Large"),SUMIFS(Practices_SubPractices[C],Practices_SubPractices[CP],"3",Practices_SubPractices[Org],"Large"),IF(AND(Practices_SubPractices[CP]=4,Practices_SubPractices[Org]="Large"),SUMIFS(Practices_SubPractices[C],Practices_SubPractices[CP],"4",Practices_SubPractices[Org],"Large"),IF(AND(Practices_SubPractices[CP]=5,Practices_SubPractices[Org]="Large"),SUMIFS(Practices_SubPractices[C],Practices_SubPractices[CP],"5",Practices_SubPractices[Org],"Large"),IF(AND(Practices_SubPractices[CP]=6,Practices_SubPractices[Org]="Large"),SUMIFS(Practices_SubPractices[C],Practices_SubPractices[CP],"6",Practices_SubPractices[Org],"Large"),IF(AND(Practices_SubPractices[CP]=7,Practices_SubPractices[Org] ="Large"),SUMIFS(Practices_SubPractices[C],Practices_SubPractices[CP],"7",Practices_SubPractices[Org],"Large"),IF(AND(Practices_SubPractices[CP]=8,Practices_SubPractices[Org] ="Large"),SUMIFS(Practices_SubPractices[C],Practices_SubPractices[CP],"8",Practices_SubPractices[Org],"Large"),IF(AND(Practices_SubPractices[CP]=9,Practices_SubPractices[Org] ="Large"),SUMIFS(Practices_SubPractices[C],Practices_SubPractices[CP],"9",Practices_SubPractices[Org],"Large"),IF(AND(Practices_SubPractices[CP]=10,Practices_SubPractices[Org] ="Large"),SUMIFS(Practices_SubPractices[C],Practices_SubPractices[CP],"10",Practices_SubPractices[Org],"Large"),"TBD"))))))))))))))))))))))))))))))</f>
        <v>2</v>
      </c>
      <c r="Q67" s="77">
        <f>IF(AND(Practices_SubPractices[CP]=1,Practices_SubPractices[Org]="Small"),SUMIFS(Practices_SubPractices[D],Practices_SubPractices[CP],"1",Practices_SubPractices[Org],"Small"),IF(AND(Practices_SubPractices[CP]=2,Practices_SubPractices[Org]="Small"),SUMIFS(Practices_SubPractices[D],Practices_SubPractices[CP],"2",Practices_SubPractices[Org],"Small"),IF(AND(Practices_SubPractices[CP]=3,Practices_SubPractices[Org]="Small"),SUMIFS(Practices_SubPractices[D],Practices_SubPractices[CP],"3",Practices_SubPractices[Org],"Small"),IF(AND(Practices_SubPractices[CP]=4,Practices_SubPractices[Org]="Small"),SUMIFS(Practices_SubPractices[D],Practices_SubPractices[CP],"4",Practices_SubPractices[Org],"Small"),IF(AND(Practices_SubPractices[CP]=5,Practices_SubPractices[Org]="Small"),SUMIFS(Practices_SubPractices[D],Practices_SubPractices[CP],"5",Practices_SubPractices[Org],"Small"),IF(AND(Practices_SubPractices[CP]=6,Practices_SubPractices[Org]="Small"),SUMIFS(Practices_SubPractices[D],Practices_SubPractices[CP],"6",Practices_SubPractices[Org],"Small"),IF(AND(Practices_SubPractices[CP]=7,Practices_SubPractices[Org] ="Small"),SUMIFS(Practices_SubPractices[D],Practices_SubPractices[CP],"7",Practices_SubPractices[Org],"Small"),IF(AND(Practices_SubPractices[CP]=8,Practices_SubPractices[Org] ="Small"),SUMIFS(Practices_SubPractices[D],Practices_SubPractices[CP],"8",Practices_SubPractices[Org],"Small"),IF(AND(Practices_SubPractices[CP]=9,Practices_SubPractices[Org] ="Small"),SUMIFS(Practices_SubPractices[D],Practices_SubPractices[CP],"9",Practices_SubPractices[Org],"Small"),IF(AND(Practices_SubPractices[CP]=10,Practices_SubPractices[Org] ="Small"),SUMIFS(Practices_SubPractices[D],Practices_SubPractices[CP],"10",Practices_SubPractices[Org],"Small"),IF(AND(Practices_SubPractices[CP]=1,Practices_SubPractices[Org]="Medium"),SUMIFS(Practices_SubPractices[D],Practices_SubPractices[CP],"1",Practices_SubPractices[Org],"Medium"),IF(AND(Practices_SubPractices[CP]=2,Practices_SubPractices[Org]="Medium"),SUMIFS(Practices_SubPractices[D],Practices_SubPractices[CP],"2",Practices_SubPractices[Org],"Medium"),IF(AND(Practices_SubPractices[CP]=3,Practices_SubPractices[Org]="Medium"),SUMIFS(Practices_SubPractices[D],Practices_SubPractices[CP],"3",Practices_SubPractices[Org],"Medium"),IF(AND(Practices_SubPractices[CP]=4,Practices_SubPractices[Org]="Medium"),SUMIFS(Practices_SubPractices[D],Practices_SubPractices[CP],"4",Practices_SubPractices[Org],"Medium"),IF(AND(Practices_SubPractices[CP]=5,Practices_SubPractices[Org]="Medium"),SUMIFS(Practices_SubPractices[D],Practices_SubPractices[CP],"5",Practices_SubPractices[Org],"Medium"),IF(AND(Practices_SubPractices[CP]=6,Practices_SubPractices[Org]="Medium"),SUMIFS(Practices_SubPractices[D],Practices_SubPractices[CP],"6",Practices_SubPractices[Org],"Medium"),IF(AND(Practices_SubPractices[CP]=7,Practices_SubPractices[Org] ="Medium"),SUMIFS(Practices_SubPractices[D],Practices_SubPractices[CP],"7",Practices_SubPractices[Org],"Medium"),IF(AND(Practices_SubPractices[CP]=8,Practices_SubPractices[Org] ="Medium"),SUMIFS(Practices_SubPractices[D],Practices_SubPractices[CP],"8",Practices_SubPractices[Org],"Medium"),IF(AND(Practices_SubPractices[CP]=9,Practices_SubPractices[Org] ="Medium"),SUMIFS(Practices_SubPractices[D],Practices_SubPractices[CP],"9",Practices_SubPractices[Org],"Medium"),IF(AND(Practices_SubPractices[CP]=10,Practices_SubPractices[Org] ="Medium"),SUMIFS(Practices_SubPractices[D],Practices_SubPractices[CP],"10",Practices_SubPractices[Org],"Medium"),IF(AND(Practices_SubPractices[CP]=1,Practices_SubPractices[Org]="Large"),SUMIFS(Practices_SubPractices[D],Practices_SubPractices[CP],"1",Practices_SubPractices[Org],"Large"),IF(AND(Practices_SubPractices[CP]=2,Practices_SubPractices[Org]="Large"),SUMIFS(Practices_SubPractices[D],Practices_SubPractices[CP],"2",Practices_SubPractices[Org],"Large"),IF(AND(Practices_SubPractices[CP]=3,Practices_SubPractices[Org]="Large"),SUMIFS(Practices_SubPractices[D],Practices_SubPractices[CP],"3",Practices_SubPractices[Org],"Large"),IF(AND(Practices_SubPractices[CP]=4,Practices_SubPractices[Org]="Large"),SUMIFS(Practices_SubPractices[D],Practices_SubPractices[CP],"4",Practices_SubPractices[Org],"Large"),IF(AND(Practices_SubPractices[CP]=5,Practices_SubPractices[Org]="Large"),SUMIFS(Practices_SubPractices[D],Practices_SubPractices[CP],"5",Practices_SubPractices[Org],"Large"),IF(AND(Practices_SubPractices[CP]=6,Practices_SubPractices[Org]="Large"),SUMIFS(Practices_SubPractices[D],Practices_SubPractices[CP],"6",Practices_SubPractices[Org],"Large"),IF(AND(Practices_SubPractices[CP]=7,Practices_SubPractices[Org] ="Large"),SUMIFS(Practices_SubPractices[D],Practices_SubPractices[CP],"7",Practices_SubPractices[Org],"Large"),IF(AND(Practices_SubPractices[CP]=8,Practices_SubPractices[Org] ="Large"),SUMIFS(Practices_SubPractices[D],Practices_SubPractices[CP],"8",Practices_SubPractices[Org],"Large"),IF(AND(Practices_SubPractices[CP]=9,Practices_SubPractices[Org] ="Large"),SUMIFS(Practices_SubPractices[D],Practices_SubPractices[CP],"9",Practices_SubPractices[Org],"Large"),IF(AND(Practices_SubPractices[CP]=10,Practices_SubPractices[Org] ="Large"),SUMIFS(Practices_SubPractices[D],Practices_SubPractices[CP],"10",Practices_SubPractices[Org],"Large"),"TBD"))))))))))))))))))))))))))))))</f>
        <v>13</v>
      </c>
      <c r="R67" s="77">
        <f>IF(AND(Practices_SubPractices[CP]=1,Practices_SubPractices[Org]="Small"),SUMIFS(Practices_SubPractices[E],Practices_SubPractices[CP],"1",Practices_SubPractices[Org],"Small"),IF(AND(Practices_SubPractices[CP]=2,Practices_SubPractices[Org]="Small"),SUMIFS(Practices_SubPractices[E],Practices_SubPractices[CP],"2",Practices_SubPractices[Org],"Small"),IF(AND(Practices_SubPractices[CP]=3,Practices_SubPractices[Org]="Small"),SUMIFS(Practices_SubPractices[E],Practices_SubPractices[CP],"3",Practices_SubPractices[Org],"Small"),IF(AND(Practices_SubPractices[CP]=4,Practices_SubPractices[Org]="Small"),SUMIFS(Practices_SubPractices[E],Practices_SubPractices[CP],"4",Practices_SubPractices[Org],"Small"),IF(AND(Practices_SubPractices[CP]=5,Practices_SubPractices[Org]="Small"),SUMIFS(Practices_SubPractices[E],Practices_SubPractices[CP],"5",Practices_SubPractices[Org],"Small"),IF(AND(Practices_SubPractices[CP]=6,Practices_SubPractices[Org]="Small"),SUMIFS(Practices_SubPractices[E],Practices_SubPractices[CP],"6",Practices_SubPractices[Org],"Small"),IF(AND(Practices_SubPractices[CP]=7,Practices_SubPractices[Org] ="Small"),SUMIFS(Practices_SubPractices[E],Practices_SubPractices[CP],"7",Practices_SubPractices[Org],"Small"),IF(AND(Practices_SubPractices[CP]=8,Practices_SubPractices[Org] ="Small"),SUMIFS(Practices_SubPractices[E],Practices_SubPractices[CP],"8",Practices_SubPractices[Org],"Small"),IF(AND(Practices_SubPractices[CP]=9,Practices_SubPractices[Org] ="Small"),SUMIFS(Practices_SubPractices[E],Practices_SubPractices[CP],"9",Practices_SubPractices[Org],"Small"),IF(AND(Practices_SubPractices[CP]=10,Practices_SubPractices[Org] ="Small"),SUMIFS(Practices_SubPractices[E],Practices_SubPractices[CP],"10",Practices_SubPractices[Org],"Small"),IF(AND(Practices_SubPractices[CP]=1,Practices_SubPractices[Org]="Medium"),SUMIFS(Practices_SubPractices[E],Practices_SubPractices[CP],"1",Practices_SubPractices[Org],"Medium"),IF(AND(Practices_SubPractices[CP]=2,Practices_SubPractices[Org]="Medium"),SUMIFS(Practices_SubPractices[E],Practices_SubPractices[CP],"2",Practices_SubPractices[Org],"Medium"),IF(AND(Practices_SubPractices[CP]=3,Practices_SubPractices[Org]="Medium"),SUMIFS(Practices_SubPractices[E],Practices_SubPractices[CP],"3",Practices_SubPractices[Org],"Medium"),IF(AND(Practices_SubPractices[CP]=4,Practices_SubPractices[Org]="Medium"),SUMIFS(Practices_SubPractices[E],Practices_SubPractices[CP],"4",Practices_SubPractices[Org],"Medium"),IF(AND(Practices_SubPractices[CP]=5,Practices_SubPractices[Org]="Medium"),SUMIFS(Practices_SubPractices[E],Practices_SubPractices[CP],"5",Practices_SubPractices[Org],"Medium"),IF(AND(Practices_SubPractices[CP]=6,Practices_SubPractices[Org]="Medium"),SUMIFS(Practices_SubPractices[E],Practices_SubPractices[CP],"6",Practices_SubPractices[Org],"Medium"),IF(AND(Practices_SubPractices[CP]=7,Practices_SubPractices[Org] ="Medium"),SUMIFS(Practices_SubPractices[E],Practices_SubPractices[CP],"7",Practices_SubPractices[Org],"Medium"),IF(AND(Practices_SubPractices[CP]=8,Practices_SubPractices[Org] ="Medium"),SUMIFS(Practices_SubPractices[E],Practices_SubPractices[CP],"8",Practices_SubPractices[Org],"Medium"),IF(AND(Practices_SubPractices[CP]=9,Practices_SubPractices[Org] ="Medium"),SUMIFS(Practices_SubPractices[E],Practices_SubPractices[CP],"9",Practices_SubPractices[Org],"Medium"),IF(AND(Practices_SubPractices[CP]=10,Practices_SubPractices[Org] ="Medium"),SUMIFS(Practices_SubPractices[E],Practices_SubPractices[CP],"10",Practices_SubPractices[Org],"Medium"),IF(AND(Practices_SubPractices[CP]=1,Practices_SubPractices[Org]="Large"),SUMIFS(Practices_SubPractices[E],Practices_SubPractices[CP],"1",Practices_SubPractices[Org],"Large"),IF(AND(Practices_SubPractices[CP]=2,Practices_SubPractices[Org]="Large"),SUMIFS(Practices_SubPractices[E],Practices_SubPractices[CP],"2",Practices_SubPractices[Org],"Large"),IF(AND(Practices_SubPractices[CP]=3,Practices_SubPractices[Org]="Large"),SUMIFS(Practices_SubPractices[E],Practices_SubPractices[CP],"3",Practices_SubPractices[Org],"Large"),IF(AND(Practices_SubPractices[CP]=4,Practices_SubPractices[Org]="Large"),SUMIFS(Practices_SubPractices[E],Practices_SubPractices[CP],"4",Practices_SubPractices[Org],"Large"),IF(AND(Practices_SubPractices[CP]=5,Practices_SubPractices[Org]="Large"),SUMIFS(Practices_SubPractices[E],Practices_SubPractices[CP],"5",Practices_SubPractices[Org],"Large"),IF(AND(Practices_SubPractices[CP]=6,Practices_SubPractices[Org]="Large"),SUMIFS(Practices_SubPractices[E],Practices_SubPractices[CP],"6",Practices_SubPractices[Org],"Large"),IF(AND(Practices_SubPractices[CP]=7,Practices_SubPractices[Org] ="Large"),SUMIFS(Practices_SubPractices[E],Practices_SubPractices[CP],"7",Practices_SubPractices[Org],"Large"),IF(AND(Practices_SubPractices[CP]=8,Practices_SubPractices[Org] ="Large"),SUMIFS(Practices_SubPractices[E],Practices_SubPractices[CP],"8",Practices_SubPractices[Org],"Large"),IF(AND(Practices_SubPractices[CP]=9,Practices_SubPractices[Org] ="Large"),SUMIFS(Practices_SubPractices[E],Practices_SubPractices[CP],"9",Practices_SubPractices[Org],"Large"),IF(AND(Practices_SubPractices[CP]=10,Practices_SubPractices[Org] ="Large"),SUMIFS(Practices_SubPractices[E],Practices_SubPractices[CP],"10",Practices_SubPractices[Org],"Large"),"TBD"))))))))))))))))))))))))))))))</f>
        <v>12</v>
      </c>
      <c r="S67" s="87" t="s">
        <v>419</v>
      </c>
    </row>
    <row r="68" spans="1:19" x14ac:dyDescent="0.35">
      <c r="A68" s="73">
        <v>58</v>
      </c>
      <c r="B68" s="73">
        <v>6</v>
      </c>
      <c r="C68" s="73" t="s">
        <v>11</v>
      </c>
      <c r="D68" s="73" t="str">
        <f>Practices_SubPractices[[#This Row],[CP]]&amp;LEFT(Practices_SubPractices[[#This Row],[Org]],1)</f>
        <v>6M</v>
      </c>
      <c r="E68" s="73" t="s">
        <v>266</v>
      </c>
      <c r="F68" s="74" t="s">
        <v>117</v>
      </c>
      <c r="G68" s="74" t="s">
        <v>39</v>
      </c>
      <c r="H68" s="74" t="s">
        <v>233</v>
      </c>
      <c r="I68" s="75">
        <v>1</v>
      </c>
      <c r="J68" s="75">
        <v>2</v>
      </c>
      <c r="K68" s="75">
        <v>0</v>
      </c>
      <c r="L68" s="75">
        <v>2</v>
      </c>
      <c r="M68" s="75">
        <v>2</v>
      </c>
      <c r="N68" s="76"/>
      <c r="O68" s="77">
        <f>IF(AND(Practices_SubPractices[CP]=1,Practices_SubPractices[Org]="Small"),SUMIFS(Practices_SubPractices[B],Practices_SubPractices[CP],"1",Practices_SubPractices[Org],"Small"),IF(AND(Practices_SubPractices[CP]=2,Practices_SubPractices[Org]="Small"),SUMIFS(Practices_SubPractices[B],Practices_SubPractices[CP],"2",Practices_SubPractices[Org],"Small"),IF(AND(Practices_SubPractices[CP]=3,Practices_SubPractices[Org]="Small"),SUMIFS(Practices_SubPractices[B],Practices_SubPractices[CP],"3",Practices_SubPractices[Org],"Small"),IF(AND(Practices_SubPractices[CP]=4,Practices_SubPractices[Org]="Small"),SUMIFS(Practices_SubPractices[B],Practices_SubPractices[CP],"4",Practices_SubPractices[Org],"Small"),IF(AND(Practices_SubPractices[CP]=5,Practices_SubPractices[Org]="Small"),SUMIFS(Practices_SubPractices[B],Practices_SubPractices[CP],"5",Practices_SubPractices[Org],"Small"),IF(AND(Practices_SubPractices[CP]=6,Practices_SubPractices[Org]="Small"),SUMIFS(Practices_SubPractices[B],Practices_SubPractices[CP],"6",Practices_SubPractices[Org],"Small"),IF(AND(Practices_SubPractices[CP]=7,Practices_SubPractices[Org] ="Small"),SUMIFS(Practices_SubPractices[B],Practices_SubPractices[CP],"7",Practices_SubPractices[Org],"Small"),IF(AND(Practices_SubPractices[CP]=8,Practices_SubPractices[Org] ="Small"),SUMIFS(Practices_SubPractices[B],Practices_SubPractices[CP],"8",Practices_SubPractices[Org],"Small"),IF(AND(Practices_SubPractices[CP]=9,Practices_SubPractices[Org] ="Small"),SUMIFS(Practices_SubPractices[B],Practices_SubPractices[CP],"9",Practices_SubPractices[Org],"Small"),IF(AND(Practices_SubPractices[CP]=10,Practices_SubPractices[Org] ="Small"),SUMIFS(Practices_SubPractices[B],Practices_SubPractices[CP],"10",Practices_SubPractices[Org],"Small"),IF(AND(Practices_SubPractices[CP]=1,Practices_SubPractices[Org]="Medium"),SUMIFS(Practices_SubPractices[B],Practices_SubPractices[CP],"1",Practices_SubPractices[Org],"Medium"),IF(AND(Practices_SubPractices[CP]=2,Practices_SubPractices[Org]="Medium"),SUMIFS(Practices_SubPractices[B],Practices_SubPractices[CP],"2",Practices_SubPractices[Org],"Medium"),IF(AND(Practices_SubPractices[CP]=3,Practices_SubPractices[Org]="Medium"),SUMIFS(Practices_SubPractices[B],Practices_SubPractices[CP],"3",Practices_SubPractices[Org],"Medium"),IF(AND(Practices_SubPractices[CP]=4,Practices_SubPractices[Org]="Medium"),SUMIFS(Practices_SubPractices[B],Practices_SubPractices[CP],"4",Practices_SubPractices[Org],"Medium"),IF(AND(Practices_SubPractices[CP]=5,Practices_SubPractices[Org]="Medium"),SUMIFS(Practices_SubPractices[B],Practices_SubPractices[CP],"5",Practices_SubPractices[Org],"Medium"),IF(AND(Practices_SubPractices[CP]=6,Practices_SubPractices[Org]="Medium"),SUMIFS(Practices_SubPractices[B],Practices_SubPractices[CP],"6",Practices_SubPractices[Org],"Medium"),IF(AND(Practices_SubPractices[CP]=7,Practices_SubPractices[Org] ="Medium"),SUMIFS(Practices_SubPractices[B],Practices_SubPractices[CP],"7",Practices_SubPractices[Org],"Medium"),IF(AND(Practices_SubPractices[CP]=8,Practices_SubPractices[Org] ="Medium"),SUMIFS(Practices_SubPractices[B],Practices_SubPractices[CP],"8",Practices_SubPractices[Org],"Medium"),IF(AND(Practices_SubPractices[CP]=9,Practices_SubPractices[Org] ="Medium"),SUMIFS(Practices_SubPractices[B],Practices_SubPractices[CP],"9",Practices_SubPractices[Org],"Medium"),IF(AND(Practices_SubPractices[CP]=10,Practices_SubPractices[Org] ="Medium"),SUMIFS(Practices_SubPractices[B],Practices_SubPractices[CP],"10",Practices_SubPractices[Org],"Medium"),IF(AND(Practices_SubPractices[CP]=1,Practices_SubPractices[Org]="Large"),SUMIFS(Practices_SubPractices[B],Practices_SubPractices[CP],"1",Practices_SubPractices[Org],"Large"),IF(AND(Practices_SubPractices[CP]=2,Practices_SubPractices[Org]="Large"),SUMIFS(Practices_SubPractices[B],Practices_SubPractices[CP],"2",Practices_SubPractices[Org],"Large"),IF(AND(Practices_SubPractices[CP]=3,Practices_SubPractices[Org]="Large"),SUMIFS(Practices_SubPractices[B],Practices_SubPractices[CP],"3",Practices_SubPractices[Org],"Large"),IF(AND(Practices_SubPractices[CP]=4,Practices_SubPractices[Org]="Large"),SUMIFS(Practices_SubPractices[B],Practices_SubPractices[CP],"4",Practices_SubPractices[Org],"Large"),IF(AND(Practices_SubPractices[CP]=5,Practices_SubPractices[Org]="Large"),SUMIFS(Practices_SubPractices[B],Practices_SubPractices[CP],"5",Practices_SubPractices[Org],"Large"),IF(AND(Practices_SubPractices[CP]=6,Practices_SubPractices[Org]="Large"),SUMIFS(Practices_SubPractices[B],Practices_SubPractices[CP],"6",Practices_SubPractices[Org],"Large"),IF(AND(Practices_SubPractices[CP]=7,Practices_SubPractices[Org] ="Large"),SUMIFS(Practices_SubPractices[B],Practices_SubPractices[CP],"7",Practices_SubPractices[Org],"Large"),IF(AND(Practices_SubPractices[CP]=8,Practices_SubPractices[Org] ="Large"),SUMIFS(Practices_SubPractices[B],Practices_SubPractices[CP],"8",Practices_SubPractices[Org],"Large"),IF(AND(Practices_SubPractices[CP]=9,Practices_SubPractices[Org] ="Large"),SUMIFS(Practices_SubPractices[B],Practices_SubPractices[CP],"9",Practices_SubPractices[Org],"Large"),IF(AND(Practices_SubPractices[CP]=10,Practices_SubPractices[Org] ="Large"),SUMIFS(Practices_SubPractices[B],Practices_SubPractices[CP],"10",Practices_SubPractices[Org],"Large"),"TBD"))))))))))))))))))))))))))))))</f>
        <v>7</v>
      </c>
      <c r="P68" s="77">
        <f>IF(AND(Practices_SubPractices[CP]=1,Practices_SubPractices[Org]="Small"),SUMIFS(Practices_SubPractices[C],Practices_SubPractices[CP],"1",Practices_SubPractices[Org],"Small"),IF(AND(Practices_SubPractices[CP]=2,Practices_SubPractices[Org]="Small"),SUMIFS(Practices_SubPractices[C],Practices_SubPractices[CP],"2",Practices_SubPractices[Org],"Small"),IF(AND(Practices_SubPractices[CP]=3,Practices_SubPractices[Org]="Small"),SUMIFS(Practices_SubPractices[C],Practices_SubPractices[CP],"3",Practices_SubPractices[Org],"Small"),IF(AND(Practices_SubPractices[CP]=4,Practices_SubPractices[Org]="Small"),SUMIFS(Practices_SubPractices[C],Practices_SubPractices[CP],"4",Practices_SubPractices[Org],"Small"),IF(AND(Practices_SubPractices[CP]=5,Practices_SubPractices[Org]="Small"),SUMIFS(Practices_SubPractices[C],Practices_SubPractices[CP],"5",Practices_SubPractices[Org],"Small"),IF(AND(Practices_SubPractices[CP]=6,Practices_SubPractices[Org]="Small"),SUMIFS(Practices_SubPractices[C],Practices_SubPractices[CP],"6",Practices_SubPractices[Org],"Small"),IF(AND(Practices_SubPractices[CP]=7,Practices_SubPractices[Org] ="Small"),SUMIFS(Practices_SubPractices[C],Practices_SubPractices[CP],"7",Practices_SubPractices[Org],"Small"),IF(AND(Practices_SubPractices[CP]=8,Practices_SubPractices[Org] ="Small"),SUMIFS(Practices_SubPractices[C],Practices_SubPractices[CP],"8",Practices_SubPractices[Org],"Small"),IF(AND(Practices_SubPractices[CP]=9,Practices_SubPractices[Org] ="Small"),SUMIFS(Practices_SubPractices[C],Practices_SubPractices[CP],"9",Practices_SubPractices[Org],"Small"),IF(AND(Practices_SubPractices[CP]=10,Practices_SubPractices[Org] ="Small"),SUMIFS(Practices_SubPractices[C],Practices_SubPractices[CP],"10",Practices_SubPractices[Org],"Small"),IF(AND(Practices_SubPractices[CP]=1,Practices_SubPractices[Org]="Medium"),SUMIFS(Practices_SubPractices[C],Practices_SubPractices[CP],"1",Practices_SubPractices[Org],"Medium"),IF(AND(Practices_SubPractices[CP]=2,Practices_SubPractices[Org]="Medium"),SUMIFS(Practices_SubPractices[C],Practices_SubPractices[CP],"2",Practices_SubPractices[Org],"Medium"),IF(AND(Practices_SubPractices[CP]=3,Practices_SubPractices[Org]="Medium"),SUMIFS(Practices_SubPractices[C],Practices_SubPractices[CP],"3",Practices_SubPractices[Org],"Medium"),IF(AND(Practices_SubPractices[CP]=4,Practices_SubPractices[Org]="Medium"),SUMIFS(Practices_SubPractices[C],Practices_SubPractices[CP],"4",Practices_SubPractices[Org],"Medium"),IF(AND(Practices_SubPractices[CP]=5,Practices_SubPractices[Org]="Medium"),SUMIFS(Practices_SubPractices[C],Practices_SubPractices[CP],"5",Practices_SubPractices[Org],"Medium"),IF(AND(Practices_SubPractices[CP]=6,Practices_SubPractices[Org]="Medium"),SUMIFS(Practices_SubPractices[C],Practices_SubPractices[CP],"6",Practices_SubPractices[Org],"Medium"),IF(AND(Practices_SubPractices[CP]=7,Practices_SubPractices[Org] ="Medium"),SUMIFS(Practices_SubPractices[C],Practices_SubPractices[CP],"7",Practices_SubPractices[Org],"Medium"),IF(AND(Practices_SubPractices[CP]=8,Practices_SubPractices[Org] ="Medium"),SUMIFS(Practices_SubPractices[C],Practices_SubPractices[CP],"8",Practices_SubPractices[Org],"Medium"),IF(AND(Practices_SubPractices[CP]=9,Practices_SubPractices[Org] ="Medium"),SUMIFS(Practices_SubPractices[C],Practices_SubPractices[CP],"9",Practices_SubPractices[Org],"Medium"),IF(AND(Practices_SubPractices[CP]=10,Practices_SubPractices[Org] ="Medium"),SUMIFS(Practices_SubPractices[C],Practices_SubPractices[CP],"10",Practices_SubPractices[Org],"Medium"),IF(AND(Practices_SubPractices[CP]=1,Practices_SubPractices[Org]="Large"),SUMIFS(Practices_SubPractices[C],Practices_SubPractices[CP],"1",Practices_SubPractices[Org],"Large"),IF(AND(Practices_SubPractices[CP]=2,Practices_SubPractices[Org]="Large"),SUMIFS(Practices_SubPractices[C],Practices_SubPractices[CP],"2",Practices_SubPractices[Org],"Large"),IF(AND(Practices_SubPractices[CP]=3,Practices_SubPractices[Org]="Large"),SUMIFS(Practices_SubPractices[C],Practices_SubPractices[CP],"3",Practices_SubPractices[Org],"Large"),IF(AND(Practices_SubPractices[CP]=4,Practices_SubPractices[Org]="Large"),SUMIFS(Practices_SubPractices[C],Practices_SubPractices[CP],"4",Practices_SubPractices[Org],"Large"),IF(AND(Practices_SubPractices[CP]=5,Practices_SubPractices[Org]="Large"),SUMIFS(Practices_SubPractices[C],Practices_SubPractices[CP],"5",Practices_SubPractices[Org],"Large"),IF(AND(Practices_SubPractices[CP]=6,Practices_SubPractices[Org]="Large"),SUMIFS(Practices_SubPractices[C],Practices_SubPractices[CP],"6",Practices_SubPractices[Org],"Large"),IF(AND(Practices_SubPractices[CP]=7,Practices_SubPractices[Org] ="Large"),SUMIFS(Practices_SubPractices[C],Practices_SubPractices[CP],"7",Practices_SubPractices[Org],"Large"),IF(AND(Practices_SubPractices[CP]=8,Practices_SubPractices[Org] ="Large"),SUMIFS(Practices_SubPractices[C],Practices_SubPractices[CP],"8",Practices_SubPractices[Org],"Large"),IF(AND(Practices_SubPractices[CP]=9,Practices_SubPractices[Org] ="Large"),SUMIFS(Practices_SubPractices[C],Practices_SubPractices[CP],"9",Practices_SubPractices[Org],"Large"),IF(AND(Practices_SubPractices[CP]=10,Practices_SubPractices[Org] ="Large"),SUMIFS(Practices_SubPractices[C],Practices_SubPractices[CP],"10",Practices_SubPractices[Org],"Large"),"TBD"))))))))))))))))))))))))))))))</f>
        <v>0</v>
      </c>
      <c r="Q68" s="77">
        <f>IF(AND(Practices_SubPractices[CP]=1,Practices_SubPractices[Org]="Small"),SUMIFS(Practices_SubPractices[D],Practices_SubPractices[CP],"1",Practices_SubPractices[Org],"Small"),IF(AND(Practices_SubPractices[CP]=2,Practices_SubPractices[Org]="Small"),SUMIFS(Practices_SubPractices[D],Practices_SubPractices[CP],"2",Practices_SubPractices[Org],"Small"),IF(AND(Practices_SubPractices[CP]=3,Practices_SubPractices[Org]="Small"),SUMIFS(Practices_SubPractices[D],Practices_SubPractices[CP],"3",Practices_SubPractices[Org],"Small"),IF(AND(Practices_SubPractices[CP]=4,Practices_SubPractices[Org]="Small"),SUMIFS(Practices_SubPractices[D],Practices_SubPractices[CP],"4",Practices_SubPractices[Org],"Small"),IF(AND(Practices_SubPractices[CP]=5,Practices_SubPractices[Org]="Small"),SUMIFS(Practices_SubPractices[D],Practices_SubPractices[CP],"5",Practices_SubPractices[Org],"Small"),IF(AND(Practices_SubPractices[CP]=6,Practices_SubPractices[Org]="Small"),SUMIFS(Practices_SubPractices[D],Practices_SubPractices[CP],"6",Practices_SubPractices[Org],"Small"),IF(AND(Practices_SubPractices[CP]=7,Practices_SubPractices[Org] ="Small"),SUMIFS(Practices_SubPractices[D],Practices_SubPractices[CP],"7",Practices_SubPractices[Org],"Small"),IF(AND(Practices_SubPractices[CP]=8,Practices_SubPractices[Org] ="Small"),SUMIFS(Practices_SubPractices[D],Practices_SubPractices[CP],"8",Practices_SubPractices[Org],"Small"),IF(AND(Practices_SubPractices[CP]=9,Practices_SubPractices[Org] ="Small"),SUMIFS(Practices_SubPractices[D],Practices_SubPractices[CP],"9",Practices_SubPractices[Org],"Small"),IF(AND(Practices_SubPractices[CP]=10,Practices_SubPractices[Org] ="Small"),SUMIFS(Practices_SubPractices[D],Practices_SubPractices[CP],"10",Practices_SubPractices[Org],"Small"),IF(AND(Practices_SubPractices[CP]=1,Practices_SubPractices[Org]="Medium"),SUMIFS(Practices_SubPractices[D],Practices_SubPractices[CP],"1",Practices_SubPractices[Org],"Medium"),IF(AND(Practices_SubPractices[CP]=2,Practices_SubPractices[Org]="Medium"),SUMIFS(Practices_SubPractices[D],Practices_SubPractices[CP],"2",Practices_SubPractices[Org],"Medium"),IF(AND(Practices_SubPractices[CP]=3,Practices_SubPractices[Org]="Medium"),SUMIFS(Practices_SubPractices[D],Practices_SubPractices[CP],"3",Practices_SubPractices[Org],"Medium"),IF(AND(Practices_SubPractices[CP]=4,Practices_SubPractices[Org]="Medium"),SUMIFS(Practices_SubPractices[D],Practices_SubPractices[CP],"4",Practices_SubPractices[Org],"Medium"),IF(AND(Practices_SubPractices[CP]=5,Practices_SubPractices[Org]="Medium"),SUMIFS(Practices_SubPractices[D],Practices_SubPractices[CP],"5",Practices_SubPractices[Org],"Medium"),IF(AND(Practices_SubPractices[CP]=6,Practices_SubPractices[Org]="Medium"),SUMIFS(Practices_SubPractices[D],Practices_SubPractices[CP],"6",Practices_SubPractices[Org],"Medium"),IF(AND(Practices_SubPractices[CP]=7,Practices_SubPractices[Org] ="Medium"),SUMIFS(Practices_SubPractices[D],Practices_SubPractices[CP],"7",Practices_SubPractices[Org],"Medium"),IF(AND(Practices_SubPractices[CP]=8,Practices_SubPractices[Org] ="Medium"),SUMIFS(Practices_SubPractices[D],Practices_SubPractices[CP],"8",Practices_SubPractices[Org],"Medium"),IF(AND(Practices_SubPractices[CP]=9,Practices_SubPractices[Org] ="Medium"),SUMIFS(Practices_SubPractices[D],Practices_SubPractices[CP],"9",Practices_SubPractices[Org],"Medium"),IF(AND(Practices_SubPractices[CP]=10,Practices_SubPractices[Org] ="Medium"),SUMIFS(Practices_SubPractices[D],Practices_SubPractices[CP],"10",Practices_SubPractices[Org],"Medium"),IF(AND(Practices_SubPractices[CP]=1,Practices_SubPractices[Org]="Large"),SUMIFS(Practices_SubPractices[D],Practices_SubPractices[CP],"1",Practices_SubPractices[Org],"Large"),IF(AND(Practices_SubPractices[CP]=2,Practices_SubPractices[Org]="Large"),SUMIFS(Practices_SubPractices[D],Practices_SubPractices[CP],"2",Practices_SubPractices[Org],"Large"),IF(AND(Practices_SubPractices[CP]=3,Practices_SubPractices[Org]="Large"),SUMIFS(Practices_SubPractices[D],Practices_SubPractices[CP],"3",Practices_SubPractices[Org],"Large"),IF(AND(Practices_SubPractices[CP]=4,Practices_SubPractices[Org]="Large"),SUMIFS(Practices_SubPractices[D],Practices_SubPractices[CP],"4",Practices_SubPractices[Org],"Large"),IF(AND(Practices_SubPractices[CP]=5,Practices_SubPractices[Org]="Large"),SUMIFS(Practices_SubPractices[D],Practices_SubPractices[CP],"5",Practices_SubPractices[Org],"Large"),IF(AND(Practices_SubPractices[CP]=6,Practices_SubPractices[Org]="Large"),SUMIFS(Practices_SubPractices[D],Practices_SubPractices[CP],"6",Practices_SubPractices[Org],"Large"),IF(AND(Practices_SubPractices[CP]=7,Practices_SubPractices[Org] ="Large"),SUMIFS(Practices_SubPractices[D],Practices_SubPractices[CP],"7",Practices_SubPractices[Org],"Large"),IF(AND(Practices_SubPractices[CP]=8,Practices_SubPractices[Org] ="Large"),SUMIFS(Practices_SubPractices[D],Practices_SubPractices[CP],"8",Practices_SubPractices[Org],"Large"),IF(AND(Practices_SubPractices[CP]=9,Practices_SubPractices[Org] ="Large"),SUMIFS(Practices_SubPractices[D],Practices_SubPractices[CP],"9",Practices_SubPractices[Org],"Large"),IF(AND(Practices_SubPractices[CP]=10,Practices_SubPractices[Org] ="Large"),SUMIFS(Practices_SubPractices[D],Practices_SubPractices[CP],"10",Practices_SubPractices[Org],"Large"),"TBD"))))))))))))))))))))))))))))))</f>
        <v>6</v>
      </c>
      <c r="R68" s="77">
        <f>IF(AND(Practices_SubPractices[CP]=1,Practices_SubPractices[Org]="Small"),SUMIFS(Practices_SubPractices[E],Practices_SubPractices[CP],"1",Practices_SubPractices[Org],"Small"),IF(AND(Practices_SubPractices[CP]=2,Practices_SubPractices[Org]="Small"),SUMIFS(Practices_SubPractices[E],Practices_SubPractices[CP],"2",Practices_SubPractices[Org],"Small"),IF(AND(Practices_SubPractices[CP]=3,Practices_SubPractices[Org]="Small"),SUMIFS(Practices_SubPractices[E],Practices_SubPractices[CP],"3",Practices_SubPractices[Org],"Small"),IF(AND(Practices_SubPractices[CP]=4,Practices_SubPractices[Org]="Small"),SUMIFS(Practices_SubPractices[E],Practices_SubPractices[CP],"4",Practices_SubPractices[Org],"Small"),IF(AND(Practices_SubPractices[CP]=5,Practices_SubPractices[Org]="Small"),SUMIFS(Practices_SubPractices[E],Practices_SubPractices[CP],"5",Practices_SubPractices[Org],"Small"),IF(AND(Practices_SubPractices[CP]=6,Practices_SubPractices[Org]="Small"),SUMIFS(Practices_SubPractices[E],Practices_SubPractices[CP],"6",Practices_SubPractices[Org],"Small"),IF(AND(Practices_SubPractices[CP]=7,Practices_SubPractices[Org] ="Small"),SUMIFS(Practices_SubPractices[E],Practices_SubPractices[CP],"7",Practices_SubPractices[Org],"Small"),IF(AND(Practices_SubPractices[CP]=8,Practices_SubPractices[Org] ="Small"),SUMIFS(Practices_SubPractices[E],Practices_SubPractices[CP],"8",Practices_SubPractices[Org],"Small"),IF(AND(Practices_SubPractices[CP]=9,Practices_SubPractices[Org] ="Small"),SUMIFS(Practices_SubPractices[E],Practices_SubPractices[CP],"9",Practices_SubPractices[Org],"Small"),IF(AND(Practices_SubPractices[CP]=10,Practices_SubPractices[Org] ="Small"),SUMIFS(Practices_SubPractices[E],Practices_SubPractices[CP],"10",Practices_SubPractices[Org],"Small"),IF(AND(Practices_SubPractices[CP]=1,Practices_SubPractices[Org]="Medium"),SUMIFS(Practices_SubPractices[E],Practices_SubPractices[CP],"1",Practices_SubPractices[Org],"Medium"),IF(AND(Practices_SubPractices[CP]=2,Practices_SubPractices[Org]="Medium"),SUMIFS(Practices_SubPractices[E],Practices_SubPractices[CP],"2",Practices_SubPractices[Org],"Medium"),IF(AND(Practices_SubPractices[CP]=3,Practices_SubPractices[Org]="Medium"),SUMIFS(Practices_SubPractices[E],Practices_SubPractices[CP],"3",Practices_SubPractices[Org],"Medium"),IF(AND(Practices_SubPractices[CP]=4,Practices_SubPractices[Org]="Medium"),SUMIFS(Practices_SubPractices[E],Practices_SubPractices[CP],"4",Practices_SubPractices[Org],"Medium"),IF(AND(Practices_SubPractices[CP]=5,Practices_SubPractices[Org]="Medium"),SUMIFS(Practices_SubPractices[E],Practices_SubPractices[CP],"5",Practices_SubPractices[Org],"Medium"),IF(AND(Practices_SubPractices[CP]=6,Practices_SubPractices[Org]="Medium"),SUMIFS(Practices_SubPractices[E],Practices_SubPractices[CP],"6",Practices_SubPractices[Org],"Medium"),IF(AND(Practices_SubPractices[CP]=7,Practices_SubPractices[Org] ="Medium"),SUMIFS(Practices_SubPractices[E],Practices_SubPractices[CP],"7",Practices_SubPractices[Org],"Medium"),IF(AND(Practices_SubPractices[CP]=8,Practices_SubPractices[Org] ="Medium"),SUMIFS(Practices_SubPractices[E],Practices_SubPractices[CP],"8",Practices_SubPractices[Org],"Medium"),IF(AND(Practices_SubPractices[CP]=9,Practices_SubPractices[Org] ="Medium"),SUMIFS(Practices_SubPractices[E],Practices_SubPractices[CP],"9",Practices_SubPractices[Org],"Medium"),IF(AND(Practices_SubPractices[CP]=10,Practices_SubPractices[Org] ="Medium"),SUMIFS(Practices_SubPractices[E],Practices_SubPractices[CP],"10",Practices_SubPractices[Org],"Medium"),IF(AND(Practices_SubPractices[CP]=1,Practices_SubPractices[Org]="Large"),SUMIFS(Practices_SubPractices[E],Practices_SubPractices[CP],"1",Practices_SubPractices[Org],"Large"),IF(AND(Practices_SubPractices[CP]=2,Practices_SubPractices[Org]="Large"),SUMIFS(Practices_SubPractices[E],Practices_SubPractices[CP],"2",Practices_SubPractices[Org],"Large"),IF(AND(Practices_SubPractices[CP]=3,Practices_SubPractices[Org]="Large"),SUMIFS(Practices_SubPractices[E],Practices_SubPractices[CP],"3",Practices_SubPractices[Org],"Large"),IF(AND(Practices_SubPractices[CP]=4,Practices_SubPractices[Org]="Large"),SUMIFS(Practices_SubPractices[E],Practices_SubPractices[CP],"4",Practices_SubPractices[Org],"Large"),IF(AND(Practices_SubPractices[CP]=5,Practices_SubPractices[Org]="Large"),SUMIFS(Practices_SubPractices[E],Practices_SubPractices[CP],"5",Practices_SubPractices[Org],"Large"),IF(AND(Practices_SubPractices[CP]=6,Practices_SubPractices[Org]="Large"),SUMIFS(Practices_SubPractices[E],Practices_SubPractices[CP],"6",Practices_SubPractices[Org],"Large"),IF(AND(Practices_SubPractices[CP]=7,Practices_SubPractices[Org] ="Large"),SUMIFS(Practices_SubPractices[E],Practices_SubPractices[CP],"7",Practices_SubPractices[Org],"Large"),IF(AND(Practices_SubPractices[CP]=8,Practices_SubPractices[Org] ="Large"),SUMIFS(Practices_SubPractices[E],Practices_SubPractices[CP],"8",Practices_SubPractices[Org],"Large"),IF(AND(Practices_SubPractices[CP]=9,Practices_SubPractices[Org] ="Large"),SUMIFS(Practices_SubPractices[E],Practices_SubPractices[CP],"9",Practices_SubPractices[Org],"Large"),IF(AND(Practices_SubPractices[CP]=10,Practices_SubPractices[Org] ="Large"),SUMIFS(Practices_SubPractices[E],Practices_SubPractices[CP],"10",Practices_SubPractices[Org],"Large"),"TBD"))))))))))))))))))))))))))))))</f>
        <v>7</v>
      </c>
      <c r="S68" s="87" t="s">
        <v>420</v>
      </c>
    </row>
    <row r="69" spans="1:19" x14ac:dyDescent="0.35">
      <c r="A69" s="73">
        <v>59</v>
      </c>
      <c r="B69" s="73">
        <v>6</v>
      </c>
      <c r="C69" s="73" t="s">
        <v>12</v>
      </c>
      <c r="D69" s="73" t="str">
        <f>Practices_SubPractices[[#This Row],[CP]]&amp;LEFT(Practices_SubPractices[[#This Row],[Org]],1)</f>
        <v>6L</v>
      </c>
      <c r="E69" s="73" t="s">
        <v>266</v>
      </c>
      <c r="F69" s="74" t="s">
        <v>117</v>
      </c>
      <c r="G69" s="74" t="s">
        <v>39</v>
      </c>
      <c r="H69" s="74" t="s">
        <v>233</v>
      </c>
      <c r="I69" s="75">
        <v>1</v>
      </c>
      <c r="J69" s="75">
        <v>2</v>
      </c>
      <c r="K69" s="75">
        <v>0</v>
      </c>
      <c r="L69" s="75">
        <v>2</v>
      </c>
      <c r="M69" s="75">
        <v>2</v>
      </c>
      <c r="N69" s="76"/>
      <c r="O69" s="77">
        <f>IF(AND(Practices_SubPractices[CP]=1,Practices_SubPractices[Org]="Small"),SUMIFS(Practices_SubPractices[B],Practices_SubPractices[CP],"1",Practices_SubPractices[Org],"Small"),IF(AND(Practices_SubPractices[CP]=2,Practices_SubPractices[Org]="Small"),SUMIFS(Practices_SubPractices[B],Practices_SubPractices[CP],"2",Practices_SubPractices[Org],"Small"),IF(AND(Practices_SubPractices[CP]=3,Practices_SubPractices[Org]="Small"),SUMIFS(Practices_SubPractices[B],Practices_SubPractices[CP],"3",Practices_SubPractices[Org],"Small"),IF(AND(Practices_SubPractices[CP]=4,Practices_SubPractices[Org]="Small"),SUMIFS(Practices_SubPractices[B],Practices_SubPractices[CP],"4",Practices_SubPractices[Org],"Small"),IF(AND(Practices_SubPractices[CP]=5,Practices_SubPractices[Org]="Small"),SUMIFS(Practices_SubPractices[B],Practices_SubPractices[CP],"5",Practices_SubPractices[Org],"Small"),IF(AND(Practices_SubPractices[CP]=6,Practices_SubPractices[Org]="Small"),SUMIFS(Practices_SubPractices[B],Practices_SubPractices[CP],"6",Practices_SubPractices[Org],"Small"),IF(AND(Practices_SubPractices[CP]=7,Practices_SubPractices[Org] ="Small"),SUMIFS(Practices_SubPractices[B],Practices_SubPractices[CP],"7",Practices_SubPractices[Org],"Small"),IF(AND(Practices_SubPractices[CP]=8,Practices_SubPractices[Org] ="Small"),SUMIFS(Practices_SubPractices[B],Practices_SubPractices[CP],"8",Practices_SubPractices[Org],"Small"),IF(AND(Practices_SubPractices[CP]=9,Practices_SubPractices[Org] ="Small"),SUMIFS(Practices_SubPractices[B],Practices_SubPractices[CP],"9",Practices_SubPractices[Org],"Small"),IF(AND(Practices_SubPractices[CP]=10,Practices_SubPractices[Org] ="Small"),SUMIFS(Practices_SubPractices[B],Practices_SubPractices[CP],"10",Practices_SubPractices[Org],"Small"),IF(AND(Practices_SubPractices[CP]=1,Practices_SubPractices[Org]="Medium"),SUMIFS(Practices_SubPractices[B],Practices_SubPractices[CP],"1",Practices_SubPractices[Org],"Medium"),IF(AND(Practices_SubPractices[CP]=2,Practices_SubPractices[Org]="Medium"),SUMIFS(Practices_SubPractices[B],Practices_SubPractices[CP],"2",Practices_SubPractices[Org],"Medium"),IF(AND(Practices_SubPractices[CP]=3,Practices_SubPractices[Org]="Medium"),SUMIFS(Practices_SubPractices[B],Practices_SubPractices[CP],"3",Practices_SubPractices[Org],"Medium"),IF(AND(Practices_SubPractices[CP]=4,Practices_SubPractices[Org]="Medium"),SUMIFS(Practices_SubPractices[B],Practices_SubPractices[CP],"4",Practices_SubPractices[Org],"Medium"),IF(AND(Practices_SubPractices[CP]=5,Practices_SubPractices[Org]="Medium"),SUMIFS(Practices_SubPractices[B],Practices_SubPractices[CP],"5",Practices_SubPractices[Org],"Medium"),IF(AND(Practices_SubPractices[CP]=6,Practices_SubPractices[Org]="Medium"),SUMIFS(Practices_SubPractices[B],Practices_SubPractices[CP],"6",Practices_SubPractices[Org],"Medium"),IF(AND(Practices_SubPractices[CP]=7,Practices_SubPractices[Org] ="Medium"),SUMIFS(Practices_SubPractices[B],Practices_SubPractices[CP],"7",Practices_SubPractices[Org],"Medium"),IF(AND(Practices_SubPractices[CP]=8,Practices_SubPractices[Org] ="Medium"),SUMIFS(Practices_SubPractices[B],Practices_SubPractices[CP],"8",Practices_SubPractices[Org],"Medium"),IF(AND(Practices_SubPractices[CP]=9,Practices_SubPractices[Org] ="Medium"),SUMIFS(Practices_SubPractices[B],Practices_SubPractices[CP],"9",Practices_SubPractices[Org],"Medium"),IF(AND(Practices_SubPractices[CP]=10,Practices_SubPractices[Org] ="Medium"),SUMIFS(Practices_SubPractices[B],Practices_SubPractices[CP],"10",Practices_SubPractices[Org],"Medium"),IF(AND(Practices_SubPractices[CP]=1,Practices_SubPractices[Org]="Large"),SUMIFS(Practices_SubPractices[B],Practices_SubPractices[CP],"1",Practices_SubPractices[Org],"Large"),IF(AND(Practices_SubPractices[CP]=2,Practices_SubPractices[Org]="Large"),SUMIFS(Practices_SubPractices[B],Practices_SubPractices[CP],"2",Practices_SubPractices[Org],"Large"),IF(AND(Practices_SubPractices[CP]=3,Practices_SubPractices[Org]="Large"),SUMIFS(Practices_SubPractices[B],Practices_SubPractices[CP],"3",Practices_SubPractices[Org],"Large"),IF(AND(Practices_SubPractices[CP]=4,Practices_SubPractices[Org]="Large"),SUMIFS(Practices_SubPractices[B],Practices_SubPractices[CP],"4",Practices_SubPractices[Org],"Large"),IF(AND(Practices_SubPractices[CP]=5,Practices_SubPractices[Org]="Large"),SUMIFS(Practices_SubPractices[B],Practices_SubPractices[CP],"5",Practices_SubPractices[Org],"Large"),IF(AND(Practices_SubPractices[CP]=6,Practices_SubPractices[Org]="Large"),SUMIFS(Practices_SubPractices[B],Practices_SubPractices[CP],"6",Practices_SubPractices[Org],"Large"),IF(AND(Practices_SubPractices[CP]=7,Practices_SubPractices[Org] ="Large"),SUMIFS(Practices_SubPractices[B],Practices_SubPractices[CP],"7",Practices_SubPractices[Org],"Large"),IF(AND(Practices_SubPractices[CP]=8,Practices_SubPractices[Org] ="Large"),SUMIFS(Practices_SubPractices[B],Practices_SubPractices[CP],"8",Practices_SubPractices[Org],"Large"),IF(AND(Practices_SubPractices[CP]=9,Practices_SubPractices[Org] ="Large"),SUMIFS(Practices_SubPractices[B],Practices_SubPractices[CP],"9",Practices_SubPractices[Org],"Large"),IF(AND(Practices_SubPractices[CP]=10,Practices_SubPractices[Org] ="Large"),SUMIFS(Practices_SubPractices[B],Practices_SubPractices[CP],"10",Practices_SubPractices[Org],"Large"),"TBD"))))))))))))))))))))))))))))))</f>
        <v>15</v>
      </c>
      <c r="P69" s="77">
        <f>IF(AND(Practices_SubPractices[CP]=1,Practices_SubPractices[Org]="Small"),SUMIFS(Practices_SubPractices[C],Practices_SubPractices[CP],"1",Practices_SubPractices[Org],"Small"),IF(AND(Practices_SubPractices[CP]=2,Practices_SubPractices[Org]="Small"),SUMIFS(Practices_SubPractices[C],Practices_SubPractices[CP],"2",Practices_SubPractices[Org],"Small"),IF(AND(Practices_SubPractices[CP]=3,Practices_SubPractices[Org]="Small"),SUMIFS(Practices_SubPractices[C],Practices_SubPractices[CP],"3",Practices_SubPractices[Org],"Small"),IF(AND(Practices_SubPractices[CP]=4,Practices_SubPractices[Org]="Small"),SUMIFS(Practices_SubPractices[C],Practices_SubPractices[CP],"4",Practices_SubPractices[Org],"Small"),IF(AND(Practices_SubPractices[CP]=5,Practices_SubPractices[Org]="Small"),SUMIFS(Practices_SubPractices[C],Practices_SubPractices[CP],"5",Practices_SubPractices[Org],"Small"),IF(AND(Practices_SubPractices[CP]=6,Practices_SubPractices[Org]="Small"),SUMIFS(Practices_SubPractices[C],Practices_SubPractices[CP],"6",Practices_SubPractices[Org],"Small"),IF(AND(Practices_SubPractices[CP]=7,Practices_SubPractices[Org] ="Small"),SUMIFS(Practices_SubPractices[C],Practices_SubPractices[CP],"7",Practices_SubPractices[Org],"Small"),IF(AND(Practices_SubPractices[CP]=8,Practices_SubPractices[Org] ="Small"),SUMIFS(Practices_SubPractices[C],Practices_SubPractices[CP],"8",Practices_SubPractices[Org],"Small"),IF(AND(Practices_SubPractices[CP]=9,Practices_SubPractices[Org] ="Small"),SUMIFS(Practices_SubPractices[C],Practices_SubPractices[CP],"9",Practices_SubPractices[Org],"Small"),IF(AND(Practices_SubPractices[CP]=10,Practices_SubPractices[Org] ="Small"),SUMIFS(Practices_SubPractices[C],Practices_SubPractices[CP],"10",Practices_SubPractices[Org],"Small"),IF(AND(Practices_SubPractices[CP]=1,Practices_SubPractices[Org]="Medium"),SUMIFS(Practices_SubPractices[C],Practices_SubPractices[CP],"1",Practices_SubPractices[Org],"Medium"),IF(AND(Practices_SubPractices[CP]=2,Practices_SubPractices[Org]="Medium"),SUMIFS(Practices_SubPractices[C],Practices_SubPractices[CP],"2",Practices_SubPractices[Org],"Medium"),IF(AND(Practices_SubPractices[CP]=3,Practices_SubPractices[Org]="Medium"),SUMIFS(Practices_SubPractices[C],Practices_SubPractices[CP],"3",Practices_SubPractices[Org],"Medium"),IF(AND(Practices_SubPractices[CP]=4,Practices_SubPractices[Org]="Medium"),SUMIFS(Practices_SubPractices[C],Practices_SubPractices[CP],"4",Practices_SubPractices[Org],"Medium"),IF(AND(Practices_SubPractices[CP]=5,Practices_SubPractices[Org]="Medium"),SUMIFS(Practices_SubPractices[C],Practices_SubPractices[CP],"5",Practices_SubPractices[Org],"Medium"),IF(AND(Practices_SubPractices[CP]=6,Practices_SubPractices[Org]="Medium"),SUMIFS(Practices_SubPractices[C],Practices_SubPractices[CP],"6",Practices_SubPractices[Org],"Medium"),IF(AND(Practices_SubPractices[CP]=7,Practices_SubPractices[Org] ="Medium"),SUMIFS(Practices_SubPractices[C],Practices_SubPractices[CP],"7",Practices_SubPractices[Org],"Medium"),IF(AND(Practices_SubPractices[CP]=8,Practices_SubPractices[Org] ="Medium"),SUMIFS(Practices_SubPractices[C],Practices_SubPractices[CP],"8",Practices_SubPractices[Org],"Medium"),IF(AND(Practices_SubPractices[CP]=9,Practices_SubPractices[Org] ="Medium"),SUMIFS(Practices_SubPractices[C],Practices_SubPractices[CP],"9",Practices_SubPractices[Org],"Medium"),IF(AND(Practices_SubPractices[CP]=10,Practices_SubPractices[Org] ="Medium"),SUMIFS(Practices_SubPractices[C],Practices_SubPractices[CP],"10",Practices_SubPractices[Org],"Medium"),IF(AND(Practices_SubPractices[CP]=1,Practices_SubPractices[Org]="Large"),SUMIFS(Practices_SubPractices[C],Practices_SubPractices[CP],"1",Practices_SubPractices[Org],"Large"),IF(AND(Practices_SubPractices[CP]=2,Practices_SubPractices[Org]="Large"),SUMIFS(Practices_SubPractices[C],Practices_SubPractices[CP],"2",Practices_SubPractices[Org],"Large"),IF(AND(Practices_SubPractices[CP]=3,Practices_SubPractices[Org]="Large"),SUMIFS(Practices_SubPractices[C],Practices_SubPractices[CP],"3",Practices_SubPractices[Org],"Large"),IF(AND(Practices_SubPractices[CP]=4,Practices_SubPractices[Org]="Large"),SUMIFS(Practices_SubPractices[C],Practices_SubPractices[CP],"4",Practices_SubPractices[Org],"Large"),IF(AND(Practices_SubPractices[CP]=5,Practices_SubPractices[Org]="Large"),SUMIFS(Practices_SubPractices[C],Practices_SubPractices[CP],"5",Practices_SubPractices[Org],"Large"),IF(AND(Practices_SubPractices[CP]=6,Practices_SubPractices[Org]="Large"),SUMIFS(Practices_SubPractices[C],Practices_SubPractices[CP],"6",Practices_SubPractices[Org],"Large"),IF(AND(Practices_SubPractices[CP]=7,Practices_SubPractices[Org] ="Large"),SUMIFS(Practices_SubPractices[C],Practices_SubPractices[CP],"7",Practices_SubPractices[Org],"Large"),IF(AND(Practices_SubPractices[CP]=8,Practices_SubPractices[Org] ="Large"),SUMIFS(Practices_SubPractices[C],Practices_SubPractices[CP],"8",Practices_SubPractices[Org],"Large"),IF(AND(Practices_SubPractices[CP]=9,Practices_SubPractices[Org] ="Large"),SUMIFS(Practices_SubPractices[C],Practices_SubPractices[CP],"9",Practices_SubPractices[Org],"Large"),IF(AND(Practices_SubPractices[CP]=10,Practices_SubPractices[Org] ="Large"),SUMIFS(Practices_SubPractices[C],Practices_SubPractices[CP],"10",Practices_SubPractices[Org],"Large"),"TBD"))))))))))))))))))))))))))))))</f>
        <v>2</v>
      </c>
      <c r="Q69" s="77">
        <f>IF(AND(Practices_SubPractices[CP]=1,Practices_SubPractices[Org]="Small"),SUMIFS(Practices_SubPractices[D],Practices_SubPractices[CP],"1",Practices_SubPractices[Org],"Small"),IF(AND(Practices_SubPractices[CP]=2,Practices_SubPractices[Org]="Small"),SUMIFS(Practices_SubPractices[D],Practices_SubPractices[CP],"2",Practices_SubPractices[Org],"Small"),IF(AND(Practices_SubPractices[CP]=3,Practices_SubPractices[Org]="Small"),SUMIFS(Practices_SubPractices[D],Practices_SubPractices[CP],"3",Practices_SubPractices[Org],"Small"),IF(AND(Practices_SubPractices[CP]=4,Practices_SubPractices[Org]="Small"),SUMIFS(Practices_SubPractices[D],Practices_SubPractices[CP],"4",Practices_SubPractices[Org],"Small"),IF(AND(Practices_SubPractices[CP]=5,Practices_SubPractices[Org]="Small"),SUMIFS(Practices_SubPractices[D],Practices_SubPractices[CP],"5",Practices_SubPractices[Org],"Small"),IF(AND(Practices_SubPractices[CP]=6,Practices_SubPractices[Org]="Small"),SUMIFS(Practices_SubPractices[D],Practices_SubPractices[CP],"6",Practices_SubPractices[Org],"Small"),IF(AND(Practices_SubPractices[CP]=7,Practices_SubPractices[Org] ="Small"),SUMIFS(Practices_SubPractices[D],Practices_SubPractices[CP],"7",Practices_SubPractices[Org],"Small"),IF(AND(Practices_SubPractices[CP]=8,Practices_SubPractices[Org] ="Small"),SUMIFS(Practices_SubPractices[D],Practices_SubPractices[CP],"8",Practices_SubPractices[Org],"Small"),IF(AND(Practices_SubPractices[CP]=9,Practices_SubPractices[Org] ="Small"),SUMIFS(Practices_SubPractices[D],Practices_SubPractices[CP],"9",Practices_SubPractices[Org],"Small"),IF(AND(Practices_SubPractices[CP]=10,Practices_SubPractices[Org] ="Small"),SUMIFS(Practices_SubPractices[D],Practices_SubPractices[CP],"10",Practices_SubPractices[Org],"Small"),IF(AND(Practices_SubPractices[CP]=1,Practices_SubPractices[Org]="Medium"),SUMIFS(Practices_SubPractices[D],Practices_SubPractices[CP],"1",Practices_SubPractices[Org],"Medium"),IF(AND(Practices_SubPractices[CP]=2,Practices_SubPractices[Org]="Medium"),SUMIFS(Practices_SubPractices[D],Practices_SubPractices[CP],"2",Practices_SubPractices[Org],"Medium"),IF(AND(Practices_SubPractices[CP]=3,Practices_SubPractices[Org]="Medium"),SUMIFS(Practices_SubPractices[D],Practices_SubPractices[CP],"3",Practices_SubPractices[Org],"Medium"),IF(AND(Practices_SubPractices[CP]=4,Practices_SubPractices[Org]="Medium"),SUMIFS(Practices_SubPractices[D],Practices_SubPractices[CP],"4",Practices_SubPractices[Org],"Medium"),IF(AND(Practices_SubPractices[CP]=5,Practices_SubPractices[Org]="Medium"),SUMIFS(Practices_SubPractices[D],Practices_SubPractices[CP],"5",Practices_SubPractices[Org],"Medium"),IF(AND(Practices_SubPractices[CP]=6,Practices_SubPractices[Org]="Medium"),SUMIFS(Practices_SubPractices[D],Practices_SubPractices[CP],"6",Practices_SubPractices[Org],"Medium"),IF(AND(Practices_SubPractices[CP]=7,Practices_SubPractices[Org] ="Medium"),SUMIFS(Practices_SubPractices[D],Practices_SubPractices[CP],"7",Practices_SubPractices[Org],"Medium"),IF(AND(Practices_SubPractices[CP]=8,Practices_SubPractices[Org] ="Medium"),SUMIFS(Practices_SubPractices[D],Practices_SubPractices[CP],"8",Practices_SubPractices[Org],"Medium"),IF(AND(Practices_SubPractices[CP]=9,Practices_SubPractices[Org] ="Medium"),SUMIFS(Practices_SubPractices[D],Practices_SubPractices[CP],"9",Practices_SubPractices[Org],"Medium"),IF(AND(Practices_SubPractices[CP]=10,Practices_SubPractices[Org] ="Medium"),SUMIFS(Practices_SubPractices[D],Practices_SubPractices[CP],"10",Practices_SubPractices[Org],"Medium"),IF(AND(Practices_SubPractices[CP]=1,Practices_SubPractices[Org]="Large"),SUMIFS(Practices_SubPractices[D],Practices_SubPractices[CP],"1",Practices_SubPractices[Org],"Large"),IF(AND(Practices_SubPractices[CP]=2,Practices_SubPractices[Org]="Large"),SUMIFS(Practices_SubPractices[D],Practices_SubPractices[CP],"2",Practices_SubPractices[Org],"Large"),IF(AND(Practices_SubPractices[CP]=3,Practices_SubPractices[Org]="Large"),SUMIFS(Practices_SubPractices[D],Practices_SubPractices[CP],"3",Practices_SubPractices[Org],"Large"),IF(AND(Practices_SubPractices[CP]=4,Practices_SubPractices[Org]="Large"),SUMIFS(Practices_SubPractices[D],Practices_SubPractices[CP],"4",Practices_SubPractices[Org],"Large"),IF(AND(Practices_SubPractices[CP]=5,Practices_SubPractices[Org]="Large"),SUMIFS(Practices_SubPractices[D],Practices_SubPractices[CP],"5",Practices_SubPractices[Org],"Large"),IF(AND(Practices_SubPractices[CP]=6,Practices_SubPractices[Org]="Large"),SUMIFS(Practices_SubPractices[D],Practices_SubPractices[CP],"6",Practices_SubPractices[Org],"Large"),IF(AND(Practices_SubPractices[CP]=7,Practices_SubPractices[Org] ="Large"),SUMIFS(Practices_SubPractices[D],Practices_SubPractices[CP],"7",Practices_SubPractices[Org],"Large"),IF(AND(Practices_SubPractices[CP]=8,Practices_SubPractices[Org] ="Large"),SUMIFS(Practices_SubPractices[D],Practices_SubPractices[CP],"8",Practices_SubPractices[Org],"Large"),IF(AND(Practices_SubPractices[CP]=9,Practices_SubPractices[Org] ="Large"),SUMIFS(Practices_SubPractices[D],Practices_SubPractices[CP],"9",Practices_SubPractices[Org],"Large"),IF(AND(Practices_SubPractices[CP]=10,Practices_SubPractices[Org] ="Large"),SUMIFS(Practices_SubPractices[D],Practices_SubPractices[CP],"10",Practices_SubPractices[Org],"Large"),"TBD"))))))))))))))))))))))))))))))</f>
        <v>13</v>
      </c>
      <c r="R69" s="77">
        <f>IF(AND(Practices_SubPractices[CP]=1,Practices_SubPractices[Org]="Small"),SUMIFS(Practices_SubPractices[E],Practices_SubPractices[CP],"1",Practices_SubPractices[Org],"Small"),IF(AND(Practices_SubPractices[CP]=2,Practices_SubPractices[Org]="Small"),SUMIFS(Practices_SubPractices[E],Practices_SubPractices[CP],"2",Practices_SubPractices[Org],"Small"),IF(AND(Practices_SubPractices[CP]=3,Practices_SubPractices[Org]="Small"),SUMIFS(Practices_SubPractices[E],Practices_SubPractices[CP],"3",Practices_SubPractices[Org],"Small"),IF(AND(Practices_SubPractices[CP]=4,Practices_SubPractices[Org]="Small"),SUMIFS(Practices_SubPractices[E],Practices_SubPractices[CP],"4",Practices_SubPractices[Org],"Small"),IF(AND(Practices_SubPractices[CP]=5,Practices_SubPractices[Org]="Small"),SUMIFS(Practices_SubPractices[E],Practices_SubPractices[CP],"5",Practices_SubPractices[Org],"Small"),IF(AND(Practices_SubPractices[CP]=6,Practices_SubPractices[Org]="Small"),SUMIFS(Practices_SubPractices[E],Practices_SubPractices[CP],"6",Practices_SubPractices[Org],"Small"),IF(AND(Practices_SubPractices[CP]=7,Practices_SubPractices[Org] ="Small"),SUMIFS(Practices_SubPractices[E],Practices_SubPractices[CP],"7",Practices_SubPractices[Org],"Small"),IF(AND(Practices_SubPractices[CP]=8,Practices_SubPractices[Org] ="Small"),SUMIFS(Practices_SubPractices[E],Practices_SubPractices[CP],"8",Practices_SubPractices[Org],"Small"),IF(AND(Practices_SubPractices[CP]=9,Practices_SubPractices[Org] ="Small"),SUMIFS(Practices_SubPractices[E],Practices_SubPractices[CP],"9",Practices_SubPractices[Org],"Small"),IF(AND(Practices_SubPractices[CP]=10,Practices_SubPractices[Org] ="Small"),SUMIFS(Practices_SubPractices[E],Practices_SubPractices[CP],"10",Practices_SubPractices[Org],"Small"),IF(AND(Practices_SubPractices[CP]=1,Practices_SubPractices[Org]="Medium"),SUMIFS(Practices_SubPractices[E],Practices_SubPractices[CP],"1",Practices_SubPractices[Org],"Medium"),IF(AND(Practices_SubPractices[CP]=2,Practices_SubPractices[Org]="Medium"),SUMIFS(Practices_SubPractices[E],Practices_SubPractices[CP],"2",Practices_SubPractices[Org],"Medium"),IF(AND(Practices_SubPractices[CP]=3,Practices_SubPractices[Org]="Medium"),SUMIFS(Practices_SubPractices[E],Practices_SubPractices[CP],"3",Practices_SubPractices[Org],"Medium"),IF(AND(Practices_SubPractices[CP]=4,Practices_SubPractices[Org]="Medium"),SUMIFS(Practices_SubPractices[E],Practices_SubPractices[CP],"4",Practices_SubPractices[Org],"Medium"),IF(AND(Practices_SubPractices[CP]=5,Practices_SubPractices[Org]="Medium"),SUMIFS(Practices_SubPractices[E],Practices_SubPractices[CP],"5",Practices_SubPractices[Org],"Medium"),IF(AND(Practices_SubPractices[CP]=6,Practices_SubPractices[Org]="Medium"),SUMIFS(Practices_SubPractices[E],Practices_SubPractices[CP],"6",Practices_SubPractices[Org],"Medium"),IF(AND(Practices_SubPractices[CP]=7,Practices_SubPractices[Org] ="Medium"),SUMIFS(Practices_SubPractices[E],Practices_SubPractices[CP],"7",Practices_SubPractices[Org],"Medium"),IF(AND(Practices_SubPractices[CP]=8,Practices_SubPractices[Org] ="Medium"),SUMIFS(Practices_SubPractices[E],Practices_SubPractices[CP],"8",Practices_SubPractices[Org],"Medium"),IF(AND(Practices_SubPractices[CP]=9,Practices_SubPractices[Org] ="Medium"),SUMIFS(Practices_SubPractices[E],Practices_SubPractices[CP],"9",Practices_SubPractices[Org],"Medium"),IF(AND(Practices_SubPractices[CP]=10,Practices_SubPractices[Org] ="Medium"),SUMIFS(Practices_SubPractices[E],Practices_SubPractices[CP],"10",Practices_SubPractices[Org],"Medium"),IF(AND(Practices_SubPractices[CP]=1,Practices_SubPractices[Org]="Large"),SUMIFS(Practices_SubPractices[E],Practices_SubPractices[CP],"1",Practices_SubPractices[Org],"Large"),IF(AND(Practices_SubPractices[CP]=2,Practices_SubPractices[Org]="Large"),SUMIFS(Practices_SubPractices[E],Practices_SubPractices[CP],"2",Practices_SubPractices[Org],"Large"),IF(AND(Practices_SubPractices[CP]=3,Practices_SubPractices[Org]="Large"),SUMIFS(Practices_SubPractices[E],Practices_SubPractices[CP],"3",Practices_SubPractices[Org],"Large"),IF(AND(Practices_SubPractices[CP]=4,Practices_SubPractices[Org]="Large"),SUMIFS(Practices_SubPractices[E],Practices_SubPractices[CP],"4",Practices_SubPractices[Org],"Large"),IF(AND(Practices_SubPractices[CP]=5,Practices_SubPractices[Org]="Large"),SUMIFS(Practices_SubPractices[E],Practices_SubPractices[CP],"5",Practices_SubPractices[Org],"Large"),IF(AND(Practices_SubPractices[CP]=6,Practices_SubPractices[Org]="Large"),SUMIFS(Practices_SubPractices[E],Practices_SubPractices[CP],"6",Practices_SubPractices[Org],"Large"),IF(AND(Practices_SubPractices[CP]=7,Practices_SubPractices[Org] ="Large"),SUMIFS(Practices_SubPractices[E],Practices_SubPractices[CP],"7",Practices_SubPractices[Org],"Large"),IF(AND(Practices_SubPractices[CP]=8,Practices_SubPractices[Org] ="Large"),SUMIFS(Practices_SubPractices[E],Practices_SubPractices[CP],"8",Practices_SubPractices[Org],"Large"),IF(AND(Practices_SubPractices[CP]=9,Practices_SubPractices[Org] ="Large"),SUMIFS(Practices_SubPractices[E],Practices_SubPractices[CP],"9",Practices_SubPractices[Org],"Large"),IF(AND(Practices_SubPractices[CP]=10,Practices_SubPractices[Org] ="Large"),SUMIFS(Practices_SubPractices[E],Practices_SubPractices[CP],"10",Practices_SubPractices[Org],"Large"),"TBD"))))))))))))))))))))))))))))))</f>
        <v>12</v>
      </c>
      <c r="S69" s="87" t="s">
        <v>420</v>
      </c>
    </row>
    <row r="70" spans="1:19" x14ac:dyDescent="0.35">
      <c r="A70" s="73">
        <v>60</v>
      </c>
      <c r="B70" s="73">
        <v>6</v>
      </c>
      <c r="C70" s="73" t="s">
        <v>11</v>
      </c>
      <c r="D70" s="73" t="str">
        <f>Practices_SubPractices[[#This Row],[CP]]&amp;LEFT(Practices_SubPractices[[#This Row],[Org]],1)</f>
        <v>6M</v>
      </c>
      <c r="E70" s="73" t="s">
        <v>267</v>
      </c>
      <c r="F70" s="74" t="s">
        <v>118</v>
      </c>
      <c r="G70" s="74" t="s">
        <v>234</v>
      </c>
      <c r="H70" s="74" t="s">
        <v>236</v>
      </c>
      <c r="I70" s="75">
        <v>1</v>
      </c>
      <c r="J70" s="75">
        <v>1</v>
      </c>
      <c r="K70" s="75">
        <v>0</v>
      </c>
      <c r="L70" s="75">
        <v>1</v>
      </c>
      <c r="M70" s="75">
        <v>1</v>
      </c>
      <c r="N70" s="76"/>
      <c r="O70" s="77">
        <f>IF(AND(Practices_SubPractices[CP]=1,Practices_SubPractices[Org]="Small"),SUMIFS(Practices_SubPractices[B],Practices_SubPractices[CP],"1",Practices_SubPractices[Org],"Small"),IF(AND(Practices_SubPractices[CP]=2,Practices_SubPractices[Org]="Small"),SUMIFS(Practices_SubPractices[B],Practices_SubPractices[CP],"2",Practices_SubPractices[Org],"Small"),IF(AND(Practices_SubPractices[CP]=3,Practices_SubPractices[Org]="Small"),SUMIFS(Practices_SubPractices[B],Practices_SubPractices[CP],"3",Practices_SubPractices[Org],"Small"),IF(AND(Practices_SubPractices[CP]=4,Practices_SubPractices[Org]="Small"),SUMIFS(Practices_SubPractices[B],Practices_SubPractices[CP],"4",Practices_SubPractices[Org],"Small"),IF(AND(Practices_SubPractices[CP]=5,Practices_SubPractices[Org]="Small"),SUMIFS(Practices_SubPractices[B],Practices_SubPractices[CP],"5",Practices_SubPractices[Org],"Small"),IF(AND(Practices_SubPractices[CP]=6,Practices_SubPractices[Org]="Small"),SUMIFS(Practices_SubPractices[B],Practices_SubPractices[CP],"6",Practices_SubPractices[Org],"Small"),IF(AND(Practices_SubPractices[CP]=7,Practices_SubPractices[Org] ="Small"),SUMIFS(Practices_SubPractices[B],Practices_SubPractices[CP],"7",Practices_SubPractices[Org],"Small"),IF(AND(Practices_SubPractices[CP]=8,Practices_SubPractices[Org] ="Small"),SUMIFS(Practices_SubPractices[B],Practices_SubPractices[CP],"8",Practices_SubPractices[Org],"Small"),IF(AND(Practices_SubPractices[CP]=9,Practices_SubPractices[Org] ="Small"),SUMIFS(Practices_SubPractices[B],Practices_SubPractices[CP],"9",Practices_SubPractices[Org],"Small"),IF(AND(Practices_SubPractices[CP]=10,Practices_SubPractices[Org] ="Small"),SUMIFS(Practices_SubPractices[B],Practices_SubPractices[CP],"10",Practices_SubPractices[Org],"Small"),IF(AND(Practices_SubPractices[CP]=1,Practices_SubPractices[Org]="Medium"),SUMIFS(Practices_SubPractices[B],Practices_SubPractices[CP],"1",Practices_SubPractices[Org],"Medium"),IF(AND(Practices_SubPractices[CP]=2,Practices_SubPractices[Org]="Medium"),SUMIFS(Practices_SubPractices[B],Practices_SubPractices[CP],"2",Practices_SubPractices[Org],"Medium"),IF(AND(Practices_SubPractices[CP]=3,Practices_SubPractices[Org]="Medium"),SUMIFS(Practices_SubPractices[B],Practices_SubPractices[CP],"3",Practices_SubPractices[Org],"Medium"),IF(AND(Practices_SubPractices[CP]=4,Practices_SubPractices[Org]="Medium"),SUMIFS(Practices_SubPractices[B],Practices_SubPractices[CP],"4",Practices_SubPractices[Org],"Medium"),IF(AND(Practices_SubPractices[CP]=5,Practices_SubPractices[Org]="Medium"),SUMIFS(Practices_SubPractices[B],Practices_SubPractices[CP],"5",Practices_SubPractices[Org],"Medium"),IF(AND(Practices_SubPractices[CP]=6,Practices_SubPractices[Org]="Medium"),SUMIFS(Practices_SubPractices[B],Practices_SubPractices[CP],"6",Practices_SubPractices[Org],"Medium"),IF(AND(Practices_SubPractices[CP]=7,Practices_SubPractices[Org] ="Medium"),SUMIFS(Practices_SubPractices[B],Practices_SubPractices[CP],"7",Practices_SubPractices[Org],"Medium"),IF(AND(Practices_SubPractices[CP]=8,Practices_SubPractices[Org] ="Medium"),SUMIFS(Practices_SubPractices[B],Practices_SubPractices[CP],"8",Practices_SubPractices[Org],"Medium"),IF(AND(Practices_SubPractices[CP]=9,Practices_SubPractices[Org] ="Medium"),SUMIFS(Practices_SubPractices[B],Practices_SubPractices[CP],"9",Practices_SubPractices[Org],"Medium"),IF(AND(Practices_SubPractices[CP]=10,Practices_SubPractices[Org] ="Medium"),SUMIFS(Practices_SubPractices[B],Practices_SubPractices[CP],"10",Practices_SubPractices[Org],"Medium"),IF(AND(Practices_SubPractices[CP]=1,Practices_SubPractices[Org]="Large"),SUMIFS(Practices_SubPractices[B],Practices_SubPractices[CP],"1",Practices_SubPractices[Org],"Large"),IF(AND(Practices_SubPractices[CP]=2,Practices_SubPractices[Org]="Large"),SUMIFS(Practices_SubPractices[B],Practices_SubPractices[CP],"2",Practices_SubPractices[Org],"Large"),IF(AND(Practices_SubPractices[CP]=3,Practices_SubPractices[Org]="Large"),SUMIFS(Practices_SubPractices[B],Practices_SubPractices[CP],"3",Practices_SubPractices[Org],"Large"),IF(AND(Practices_SubPractices[CP]=4,Practices_SubPractices[Org]="Large"),SUMIFS(Practices_SubPractices[B],Practices_SubPractices[CP],"4",Practices_SubPractices[Org],"Large"),IF(AND(Practices_SubPractices[CP]=5,Practices_SubPractices[Org]="Large"),SUMIFS(Practices_SubPractices[B],Practices_SubPractices[CP],"5",Practices_SubPractices[Org],"Large"),IF(AND(Practices_SubPractices[CP]=6,Practices_SubPractices[Org]="Large"),SUMIFS(Practices_SubPractices[B],Practices_SubPractices[CP],"6",Practices_SubPractices[Org],"Large"),IF(AND(Practices_SubPractices[CP]=7,Practices_SubPractices[Org] ="Large"),SUMIFS(Practices_SubPractices[B],Practices_SubPractices[CP],"7",Practices_SubPractices[Org],"Large"),IF(AND(Practices_SubPractices[CP]=8,Practices_SubPractices[Org] ="Large"),SUMIFS(Practices_SubPractices[B],Practices_SubPractices[CP],"8",Practices_SubPractices[Org],"Large"),IF(AND(Practices_SubPractices[CP]=9,Practices_SubPractices[Org] ="Large"),SUMIFS(Practices_SubPractices[B],Practices_SubPractices[CP],"9",Practices_SubPractices[Org],"Large"),IF(AND(Practices_SubPractices[CP]=10,Practices_SubPractices[Org] ="Large"),SUMIFS(Practices_SubPractices[B],Practices_SubPractices[CP],"10",Practices_SubPractices[Org],"Large"),"TBD"))))))))))))))))))))))))))))))</f>
        <v>7</v>
      </c>
      <c r="P70" s="77">
        <f>IF(AND(Practices_SubPractices[CP]=1,Practices_SubPractices[Org]="Small"),SUMIFS(Practices_SubPractices[C],Practices_SubPractices[CP],"1",Practices_SubPractices[Org],"Small"),IF(AND(Practices_SubPractices[CP]=2,Practices_SubPractices[Org]="Small"),SUMIFS(Practices_SubPractices[C],Practices_SubPractices[CP],"2",Practices_SubPractices[Org],"Small"),IF(AND(Practices_SubPractices[CP]=3,Practices_SubPractices[Org]="Small"),SUMIFS(Practices_SubPractices[C],Practices_SubPractices[CP],"3",Practices_SubPractices[Org],"Small"),IF(AND(Practices_SubPractices[CP]=4,Practices_SubPractices[Org]="Small"),SUMIFS(Practices_SubPractices[C],Practices_SubPractices[CP],"4",Practices_SubPractices[Org],"Small"),IF(AND(Practices_SubPractices[CP]=5,Practices_SubPractices[Org]="Small"),SUMIFS(Practices_SubPractices[C],Practices_SubPractices[CP],"5",Practices_SubPractices[Org],"Small"),IF(AND(Practices_SubPractices[CP]=6,Practices_SubPractices[Org]="Small"),SUMIFS(Practices_SubPractices[C],Practices_SubPractices[CP],"6",Practices_SubPractices[Org],"Small"),IF(AND(Practices_SubPractices[CP]=7,Practices_SubPractices[Org] ="Small"),SUMIFS(Practices_SubPractices[C],Practices_SubPractices[CP],"7",Practices_SubPractices[Org],"Small"),IF(AND(Practices_SubPractices[CP]=8,Practices_SubPractices[Org] ="Small"),SUMIFS(Practices_SubPractices[C],Practices_SubPractices[CP],"8",Practices_SubPractices[Org],"Small"),IF(AND(Practices_SubPractices[CP]=9,Practices_SubPractices[Org] ="Small"),SUMIFS(Practices_SubPractices[C],Practices_SubPractices[CP],"9",Practices_SubPractices[Org],"Small"),IF(AND(Practices_SubPractices[CP]=10,Practices_SubPractices[Org] ="Small"),SUMIFS(Practices_SubPractices[C],Practices_SubPractices[CP],"10",Practices_SubPractices[Org],"Small"),IF(AND(Practices_SubPractices[CP]=1,Practices_SubPractices[Org]="Medium"),SUMIFS(Practices_SubPractices[C],Practices_SubPractices[CP],"1",Practices_SubPractices[Org],"Medium"),IF(AND(Practices_SubPractices[CP]=2,Practices_SubPractices[Org]="Medium"),SUMIFS(Practices_SubPractices[C],Practices_SubPractices[CP],"2",Practices_SubPractices[Org],"Medium"),IF(AND(Practices_SubPractices[CP]=3,Practices_SubPractices[Org]="Medium"),SUMIFS(Practices_SubPractices[C],Practices_SubPractices[CP],"3",Practices_SubPractices[Org],"Medium"),IF(AND(Practices_SubPractices[CP]=4,Practices_SubPractices[Org]="Medium"),SUMIFS(Practices_SubPractices[C],Practices_SubPractices[CP],"4",Practices_SubPractices[Org],"Medium"),IF(AND(Practices_SubPractices[CP]=5,Practices_SubPractices[Org]="Medium"),SUMIFS(Practices_SubPractices[C],Practices_SubPractices[CP],"5",Practices_SubPractices[Org],"Medium"),IF(AND(Practices_SubPractices[CP]=6,Practices_SubPractices[Org]="Medium"),SUMIFS(Practices_SubPractices[C],Practices_SubPractices[CP],"6",Practices_SubPractices[Org],"Medium"),IF(AND(Practices_SubPractices[CP]=7,Practices_SubPractices[Org] ="Medium"),SUMIFS(Practices_SubPractices[C],Practices_SubPractices[CP],"7",Practices_SubPractices[Org],"Medium"),IF(AND(Practices_SubPractices[CP]=8,Practices_SubPractices[Org] ="Medium"),SUMIFS(Practices_SubPractices[C],Practices_SubPractices[CP],"8",Practices_SubPractices[Org],"Medium"),IF(AND(Practices_SubPractices[CP]=9,Practices_SubPractices[Org] ="Medium"),SUMIFS(Practices_SubPractices[C],Practices_SubPractices[CP],"9",Practices_SubPractices[Org],"Medium"),IF(AND(Practices_SubPractices[CP]=10,Practices_SubPractices[Org] ="Medium"),SUMIFS(Practices_SubPractices[C],Practices_SubPractices[CP],"10",Practices_SubPractices[Org],"Medium"),IF(AND(Practices_SubPractices[CP]=1,Practices_SubPractices[Org]="Large"),SUMIFS(Practices_SubPractices[C],Practices_SubPractices[CP],"1",Practices_SubPractices[Org],"Large"),IF(AND(Practices_SubPractices[CP]=2,Practices_SubPractices[Org]="Large"),SUMIFS(Practices_SubPractices[C],Practices_SubPractices[CP],"2",Practices_SubPractices[Org],"Large"),IF(AND(Practices_SubPractices[CP]=3,Practices_SubPractices[Org]="Large"),SUMIFS(Practices_SubPractices[C],Practices_SubPractices[CP],"3",Practices_SubPractices[Org],"Large"),IF(AND(Practices_SubPractices[CP]=4,Practices_SubPractices[Org]="Large"),SUMIFS(Practices_SubPractices[C],Practices_SubPractices[CP],"4",Practices_SubPractices[Org],"Large"),IF(AND(Practices_SubPractices[CP]=5,Practices_SubPractices[Org]="Large"),SUMIFS(Practices_SubPractices[C],Practices_SubPractices[CP],"5",Practices_SubPractices[Org],"Large"),IF(AND(Practices_SubPractices[CP]=6,Practices_SubPractices[Org]="Large"),SUMIFS(Practices_SubPractices[C],Practices_SubPractices[CP],"6",Practices_SubPractices[Org],"Large"),IF(AND(Practices_SubPractices[CP]=7,Practices_SubPractices[Org] ="Large"),SUMIFS(Practices_SubPractices[C],Practices_SubPractices[CP],"7",Practices_SubPractices[Org],"Large"),IF(AND(Practices_SubPractices[CP]=8,Practices_SubPractices[Org] ="Large"),SUMIFS(Practices_SubPractices[C],Practices_SubPractices[CP],"8",Practices_SubPractices[Org],"Large"),IF(AND(Practices_SubPractices[CP]=9,Practices_SubPractices[Org] ="Large"),SUMIFS(Practices_SubPractices[C],Practices_SubPractices[CP],"9",Practices_SubPractices[Org],"Large"),IF(AND(Practices_SubPractices[CP]=10,Practices_SubPractices[Org] ="Large"),SUMIFS(Practices_SubPractices[C],Practices_SubPractices[CP],"10",Practices_SubPractices[Org],"Large"),"TBD"))))))))))))))))))))))))))))))</f>
        <v>0</v>
      </c>
      <c r="Q70" s="77">
        <f>IF(AND(Practices_SubPractices[CP]=1,Practices_SubPractices[Org]="Small"),SUMIFS(Practices_SubPractices[D],Practices_SubPractices[CP],"1",Practices_SubPractices[Org],"Small"),IF(AND(Practices_SubPractices[CP]=2,Practices_SubPractices[Org]="Small"),SUMIFS(Practices_SubPractices[D],Practices_SubPractices[CP],"2",Practices_SubPractices[Org],"Small"),IF(AND(Practices_SubPractices[CP]=3,Practices_SubPractices[Org]="Small"),SUMIFS(Practices_SubPractices[D],Practices_SubPractices[CP],"3",Practices_SubPractices[Org],"Small"),IF(AND(Practices_SubPractices[CP]=4,Practices_SubPractices[Org]="Small"),SUMIFS(Practices_SubPractices[D],Practices_SubPractices[CP],"4",Practices_SubPractices[Org],"Small"),IF(AND(Practices_SubPractices[CP]=5,Practices_SubPractices[Org]="Small"),SUMIFS(Practices_SubPractices[D],Practices_SubPractices[CP],"5",Practices_SubPractices[Org],"Small"),IF(AND(Practices_SubPractices[CP]=6,Practices_SubPractices[Org]="Small"),SUMIFS(Practices_SubPractices[D],Practices_SubPractices[CP],"6",Practices_SubPractices[Org],"Small"),IF(AND(Practices_SubPractices[CP]=7,Practices_SubPractices[Org] ="Small"),SUMIFS(Practices_SubPractices[D],Practices_SubPractices[CP],"7",Practices_SubPractices[Org],"Small"),IF(AND(Practices_SubPractices[CP]=8,Practices_SubPractices[Org] ="Small"),SUMIFS(Practices_SubPractices[D],Practices_SubPractices[CP],"8",Practices_SubPractices[Org],"Small"),IF(AND(Practices_SubPractices[CP]=9,Practices_SubPractices[Org] ="Small"),SUMIFS(Practices_SubPractices[D],Practices_SubPractices[CP],"9",Practices_SubPractices[Org],"Small"),IF(AND(Practices_SubPractices[CP]=10,Practices_SubPractices[Org] ="Small"),SUMIFS(Practices_SubPractices[D],Practices_SubPractices[CP],"10",Practices_SubPractices[Org],"Small"),IF(AND(Practices_SubPractices[CP]=1,Practices_SubPractices[Org]="Medium"),SUMIFS(Practices_SubPractices[D],Practices_SubPractices[CP],"1",Practices_SubPractices[Org],"Medium"),IF(AND(Practices_SubPractices[CP]=2,Practices_SubPractices[Org]="Medium"),SUMIFS(Practices_SubPractices[D],Practices_SubPractices[CP],"2",Practices_SubPractices[Org],"Medium"),IF(AND(Practices_SubPractices[CP]=3,Practices_SubPractices[Org]="Medium"),SUMIFS(Practices_SubPractices[D],Practices_SubPractices[CP],"3",Practices_SubPractices[Org],"Medium"),IF(AND(Practices_SubPractices[CP]=4,Practices_SubPractices[Org]="Medium"),SUMIFS(Practices_SubPractices[D],Practices_SubPractices[CP],"4",Practices_SubPractices[Org],"Medium"),IF(AND(Practices_SubPractices[CP]=5,Practices_SubPractices[Org]="Medium"),SUMIFS(Practices_SubPractices[D],Practices_SubPractices[CP],"5",Practices_SubPractices[Org],"Medium"),IF(AND(Practices_SubPractices[CP]=6,Practices_SubPractices[Org]="Medium"),SUMIFS(Practices_SubPractices[D],Practices_SubPractices[CP],"6",Practices_SubPractices[Org],"Medium"),IF(AND(Practices_SubPractices[CP]=7,Practices_SubPractices[Org] ="Medium"),SUMIFS(Practices_SubPractices[D],Practices_SubPractices[CP],"7",Practices_SubPractices[Org],"Medium"),IF(AND(Practices_SubPractices[CP]=8,Practices_SubPractices[Org] ="Medium"),SUMIFS(Practices_SubPractices[D],Practices_SubPractices[CP],"8",Practices_SubPractices[Org],"Medium"),IF(AND(Practices_SubPractices[CP]=9,Practices_SubPractices[Org] ="Medium"),SUMIFS(Practices_SubPractices[D],Practices_SubPractices[CP],"9",Practices_SubPractices[Org],"Medium"),IF(AND(Practices_SubPractices[CP]=10,Practices_SubPractices[Org] ="Medium"),SUMIFS(Practices_SubPractices[D],Practices_SubPractices[CP],"10",Practices_SubPractices[Org],"Medium"),IF(AND(Practices_SubPractices[CP]=1,Practices_SubPractices[Org]="Large"),SUMIFS(Practices_SubPractices[D],Practices_SubPractices[CP],"1",Practices_SubPractices[Org],"Large"),IF(AND(Practices_SubPractices[CP]=2,Practices_SubPractices[Org]="Large"),SUMIFS(Practices_SubPractices[D],Practices_SubPractices[CP],"2",Practices_SubPractices[Org],"Large"),IF(AND(Practices_SubPractices[CP]=3,Practices_SubPractices[Org]="Large"),SUMIFS(Practices_SubPractices[D],Practices_SubPractices[CP],"3",Practices_SubPractices[Org],"Large"),IF(AND(Practices_SubPractices[CP]=4,Practices_SubPractices[Org]="Large"),SUMIFS(Practices_SubPractices[D],Practices_SubPractices[CP],"4",Practices_SubPractices[Org],"Large"),IF(AND(Practices_SubPractices[CP]=5,Practices_SubPractices[Org]="Large"),SUMIFS(Practices_SubPractices[D],Practices_SubPractices[CP],"5",Practices_SubPractices[Org],"Large"),IF(AND(Practices_SubPractices[CP]=6,Practices_SubPractices[Org]="Large"),SUMIFS(Practices_SubPractices[D],Practices_SubPractices[CP],"6",Practices_SubPractices[Org],"Large"),IF(AND(Practices_SubPractices[CP]=7,Practices_SubPractices[Org] ="Large"),SUMIFS(Practices_SubPractices[D],Practices_SubPractices[CP],"7",Practices_SubPractices[Org],"Large"),IF(AND(Practices_SubPractices[CP]=8,Practices_SubPractices[Org] ="Large"),SUMIFS(Practices_SubPractices[D],Practices_SubPractices[CP],"8",Practices_SubPractices[Org],"Large"),IF(AND(Practices_SubPractices[CP]=9,Practices_SubPractices[Org] ="Large"),SUMIFS(Practices_SubPractices[D],Practices_SubPractices[CP],"9",Practices_SubPractices[Org],"Large"),IF(AND(Practices_SubPractices[CP]=10,Practices_SubPractices[Org] ="Large"),SUMIFS(Practices_SubPractices[D],Practices_SubPractices[CP],"10",Practices_SubPractices[Org],"Large"),"TBD"))))))))))))))))))))))))))))))</f>
        <v>6</v>
      </c>
      <c r="R70" s="77">
        <f>IF(AND(Practices_SubPractices[CP]=1,Practices_SubPractices[Org]="Small"),SUMIFS(Practices_SubPractices[E],Practices_SubPractices[CP],"1",Practices_SubPractices[Org],"Small"),IF(AND(Practices_SubPractices[CP]=2,Practices_SubPractices[Org]="Small"),SUMIFS(Practices_SubPractices[E],Practices_SubPractices[CP],"2",Practices_SubPractices[Org],"Small"),IF(AND(Practices_SubPractices[CP]=3,Practices_SubPractices[Org]="Small"),SUMIFS(Practices_SubPractices[E],Practices_SubPractices[CP],"3",Practices_SubPractices[Org],"Small"),IF(AND(Practices_SubPractices[CP]=4,Practices_SubPractices[Org]="Small"),SUMIFS(Practices_SubPractices[E],Practices_SubPractices[CP],"4",Practices_SubPractices[Org],"Small"),IF(AND(Practices_SubPractices[CP]=5,Practices_SubPractices[Org]="Small"),SUMIFS(Practices_SubPractices[E],Practices_SubPractices[CP],"5",Practices_SubPractices[Org],"Small"),IF(AND(Practices_SubPractices[CP]=6,Practices_SubPractices[Org]="Small"),SUMIFS(Practices_SubPractices[E],Practices_SubPractices[CP],"6",Practices_SubPractices[Org],"Small"),IF(AND(Practices_SubPractices[CP]=7,Practices_SubPractices[Org] ="Small"),SUMIFS(Practices_SubPractices[E],Practices_SubPractices[CP],"7",Practices_SubPractices[Org],"Small"),IF(AND(Practices_SubPractices[CP]=8,Practices_SubPractices[Org] ="Small"),SUMIFS(Practices_SubPractices[E],Practices_SubPractices[CP],"8",Practices_SubPractices[Org],"Small"),IF(AND(Practices_SubPractices[CP]=9,Practices_SubPractices[Org] ="Small"),SUMIFS(Practices_SubPractices[E],Practices_SubPractices[CP],"9",Practices_SubPractices[Org],"Small"),IF(AND(Practices_SubPractices[CP]=10,Practices_SubPractices[Org] ="Small"),SUMIFS(Practices_SubPractices[E],Practices_SubPractices[CP],"10",Practices_SubPractices[Org],"Small"),IF(AND(Practices_SubPractices[CP]=1,Practices_SubPractices[Org]="Medium"),SUMIFS(Practices_SubPractices[E],Practices_SubPractices[CP],"1",Practices_SubPractices[Org],"Medium"),IF(AND(Practices_SubPractices[CP]=2,Practices_SubPractices[Org]="Medium"),SUMIFS(Practices_SubPractices[E],Practices_SubPractices[CP],"2",Practices_SubPractices[Org],"Medium"),IF(AND(Practices_SubPractices[CP]=3,Practices_SubPractices[Org]="Medium"),SUMIFS(Practices_SubPractices[E],Practices_SubPractices[CP],"3",Practices_SubPractices[Org],"Medium"),IF(AND(Practices_SubPractices[CP]=4,Practices_SubPractices[Org]="Medium"),SUMIFS(Practices_SubPractices[E],Practices_SubPractices[CP],"4",Practices_SubPractices[Org],"Medium"),IF(AND(Practices_SubPractices[CP]=5,Practices_SubPractices[Org]="Medium"),SUMIFS(Practices_SubPractices[E],Practices_SubPractices[CP],"5",Practices_SubPractices[Org],"Medium"),IF(AND(Practices_SubPractices[CP]=6,Practices_SubPractices[Org]="Medium"),SUMIFS(Practices_SubPractices[E],Practices_SubPractices[CP],"6",Practices_SubPractices[Org],"Medium"),IF(AND(Practices_SubPractices[CP]=7,Practices_SubPractices[Org] ="Medium"),SUMIFS(Practices_SubPractices[E],Practices_SubPractices[CP],"7",Practices_SubPractices[Org],"Medium"),IF(AND(Practices_SubPractices[CP]=8,Practices_SubPractices[Org] ="Medium"),SUMIFS(Practices_SubPractices[E],Practices_SubPractices[CP],"8",Practices_SubPractices[Org],"Medium"),IF(AND(Practices_SubPractices[CP]=9,Practices_SubPractices[Org] ="Medium"),SUMIFS(Practices_SubPractices[E],Practices_SubPractices[CP],"9",Practices_SubPractices[Org],"Medium"),IF(AND(Practices_SubPractices[CP]=10,Practices_SubPractices[Org] ="Medium"),SUMIFS(Practices_SubPractices[E],Practices_SubPractices[CP],"10",Practices_SubPractices[Org],"Medium"),IF(AND(Practices_SubPractices[CP]=1,Practices_SubPractices[Org]="Large"),SUMIFS(Practices_SubPractices[E],Practices_SubPractices[CP],"1",Practices_SubPractices[Org],"Large"),IF(AND(Practices_SubPractices[CP]=2,Practices_SubPractices[Org]="Large"),SUMIFS(Practices_SubPractices[E],Practices_SubPractices[CP],"2",Practices_SubPractices[Org],"Large"),IF(AND(Practices_SubPractices[CP]=3,Practices_SubPractices[Org]="Large"),SUMIFS(Practices_SubPractices[E],Practices_SubPractices[CP],"3",Practices_SubPractices[Org],"Large"),IF(AND(Practices_SubPractices[CP]=4,Practices_SubPractices[Org]="Large"),SUMIFS(Practices_SubPractices[E],Practices_SubPractices[CP],"4",Practices_SubPractices[Org],"Large"),IF(AND(Practices_SubPractices[CP]=5,Practices_SubPractices[Org]="Large"),SUMIFS(Practices_SubPractices[E],Practices_SubPractices[CP],"5",Practices_SubPractices[Org],"Large"),IF(AND(Practices_SubPractices[CP]=6,Practices_SubPractices[Org]="Large"),SUMIFS(Practices_SubPractices[E],Practices_SubPractices[CP],"6",Practices_SubPractices[Org],"Large"),IF(AND(Practices_SubPractices[CP]=7,Practices_SubPractices[Org] ="Large"),SUMIFS(Practices_SubPractices[E],Practices_SubPractices[CP],"7",Practices_SubPractices[Org],"Large"),IF(AND(Practices_SubPractices[CP]=8,Practices_SubPractices[Org] ="Large"),SUMIFS(Practices_SubPractices[E],Practices_SubPractices[CP],"8",Practices_SubPractices[Org],"Large"),IF(AND(Practices_SubPractices[CP]=9,Practices_SubPractices[Org] ="Large"),SUMIFS(Practices_SubPractices[E],Practices_SubPractices[CP],"9",Practices_SubPractices[Org],"Large"),IF(AND(Practices_SubPractices[CP]=10,Practices_SubPractices[Org] ="Large"),SUMIFS(Practices_SubPractices[E],Practices_SubPractices[CP],"10",Practices_SubPractices[Org],"Large"),"TBD"))))))))))))))))))))))))))))))</f>
        <v>7</v>
      </c>
      <c r="S70" s="87" t="s">
        <v>421</v>
      </c>
    </row>
    <row r="71" spans="1:19" x14ac:dyDescent="0.35">
      <c r="A71" s="73">
        <v>61</v>
      </c>
      <c r="B71" s="73">
        <v>6</v>
      </c>
      <c r="C71" s="73" t="s">
        <v>12</v>
      </c>
      <c r="D71" s="73" t="str">
        <f>Practices_SubPractices[[#This Row],[CP]]&amp;LEFT(Practices_SubPractices[[#This Row],[Org]],1)</f>
        <v>6L</v>
      </c>
      <c r="E71" s="73" t="s">
        <v>267</v>
      </c>
      <c r="F71" s="74" t="s">
        <v>118</v>
      </c>
      <c r="G71" s="74" t="s">
        <v>234</v>
      </c>
      <c r="H71" s="74" t="s">
        <v>236</v>
      </c>
      <c r="I71" s="75">
        <v>1</v>
      </c>
      <c r="J71" s="75">
        <v>1</v>
      </c>
      <c r="K71" s="75">
        <v>0</v>
      </c>
      <c r="L71" s="75">
        <v>1</v>
      </c>
      <c r="M71" s="75">
        <v>1</v>
      </c>
      <c r="N71" s="76"/>
      <c r="O71" s="77">
        <f>IF(AND(Practices_SubPractices[CP]=1,Practices_SubPractices[Org]="Small"),SUMIFS(Practices_SubPractices[B],Practices_SubPractices[CP],"1",Practices_SubPractices[Org],"Small"),IF(AND(Practices_SubPractices[CP]=2,Practices_SubPractices[Org]="Small"),SUMIFS(Practices_SubPractices[B],Practices_SubPractices[CP],"2",Practices_SubPractices[Org],"Small"),IF(AND(Practices_SubPractices[CP]=3,Practices_SubPractices[Org]="Small"),SUMIFS(Practices_SubPractices[B],Practices_SubPractices[CP],"3",Practices_SubPractices[Org],"Small"),IF(AND(Practices_SubPractices[CP]=4,Practices_SubPractices[Org]="Small"),SUMIFS(Practices_SubPractices[B],Practices_SubPractices[CP],"4",Practices_SubPractices[Org],"Small"),IF(AND(Practices_SubPractices[CP]=5,Practices_SubPractices[Org]="Small"),SUMIFS(Practices_SubPractices[B],Practices_SubPractices[CP],"5",Practices_SubPractices[Org],"Small"),IF(AND(Practices_SubPractices[CP]=6,Practices_SubPractices[Org]="Small"),SUMIFS(Practices_SubPractices[B],Practices_SubPractices[CP],"6",Practices_SubPractices[Org],"Small"),IF(AND(Practices_SubPractices[CP]=7,Practices_SubPractices[Org] ="Small"),SUMIFS(Practices_SubPractices[B],Practices_SubPractices[CP],"7",Practices_SubPractices[Org],"Small"),IF(AND(Practices_SubPractices[CP]=8,Practices_SubPractices[Org] ="Small"),SUMIFS(Practices_SubPractices[B],Practices_SubPractices[CP],"8",Practices_SubPractices[Org],"Small"),IF(AND(Practices_SubPractices[CP]=9,Practices_SubPractices[Org] ="Small"),SUMIFS(Practices_SubPractices[B],Practices_SubPractices[CP],"9",Practices_SubPractices[Org],"Small"),IF(AND(Practices_SubPractices[CP]=10,Practices_SubPractices[Org] ="Small"),SUMIFS(Practices_SubPractices[B],Practices_SubPractices[CP],"10",Practices_SubPractices[Org],"Small"),IF(AND(Practices_SubPractices[CP]=1,Practices_SubPractices[Org]="Medium"),SUMIFS(Practices_SubPractices[B],Practices_SubPractices[CP],"1",Practices_SubPractices[Org],"Medium"),IF(AND(Practices_SubPractices[CP]=2,Practices_SubPractices[Org]="Medium"),SUMIFS(Practices_SubPractices[B],Practices_SubPractices[CP],"2",Practices_SubPractices[Org],"Medium"),IF(AND(Practices_SubPractices[CP]=3,Practices_SubPractices[Org]="Medium"),SUMIFS(Practices_SubPractices[B],Practices_SubPractices[CP],"3",Practices_SubPractices[Org],"Medium"),IF(AND(Practices_SubPractices[CP]=4,Practices_SubPractices[Org]="Medium"),SUMIFS(Practices_SubPractices[B],Practices_SubPractices[CP],"4",Practices_SubPractices[Org],"Medium"),IF(AND(Practices_SubPractices[CP]=5,Practices_SubPractices[Org]="Medium"),SUMIFS(Practices_SubPractices[B],Practices_SubPractices[CP],"5",Practices_SubPractices[Org],"Medium"),IF(AND(Practices_SubPractices[CP]=6,Practices_SubPractices[Org]="Medium"),SUMIFS(Practices_SubPractices[B],Practices_SubPractices[CP],"6",Practices_SubPractices[Org],"Medium"),IF(AND(Practices_SubPractices[CP]=7,Practices_SubPractices[Org] ="Medium"),SUMIFS(Practices_SubPractices[B],Practices_SubPractices[CP],"7",Practices_SubPractices[Org],"Medium"),IF(AND(Practices_SubPractices[CP]=8,Practices_SubPractices[Org] ="Medium"),SUMIFS(Practices_SubPractices[B],Practices_SubPractices[CP],"8",Practices_SubPractices[Org],"Medium"),IF(AND(Practices_SubPractices[CP]=9,Practices_SubPractices[Org] ="Medium"),SUMIFS(Practices_SubPractices[B],Practices_SubPractices[CP],"9",Practices_SubPractices[Org],"Medium"),IF(AND(Practices_SubPractices[CP]=10,Practices_SubPractices[Org] ="Medium"),SUMIFS(Practices_SubPractices[B],Practices_SubPractices[CP],"10",Practices_SubPractices[Org],"Medium"),IF(AND(Practices_SubPractices[CP]=1,Practices_SubPractices[Org]="Large"),SUMIFS(Practices_SubPractices[B],Practices_SubPractices[CP],"1",Practices_SubPractices[Org],"Large"),IF(AND(Practices_SubPractices[CP]=2,Practices_SubPractices[Org]="Large"),SUMIFS(Practices_SubPractices[B],Practices_SubPractices[CP],"2",Practices_SubPractices[Org],"Large"),IF(AND(Practices_SubPractices[CP]=3,Practices_SubPractices[Org]="Large"),SUMIFS(Practices_SubPractices[B],Practices_SubPractices[CP],"3",Practices_SubPractices[Org],"Large"),IF(AND(Practices_SubPractices[CP]=4,Practices_SubPractices[Org]="Large"),SUMIFS(Practices_SubPractices[B],Practices_SubPractices[CP],"4",Practices_SubPractices[Org],"Large"),IF(AND(Practices_SubPractices[CP]=5,Practices_SubPractices[Org]="Large"),SUMIFS(Practices_SubPractices[B],Practices_SubPractices[CP],"5",Practices_SubPractices[Org],"Large"),IF(AND(Practices_SubPractices[CP]=6,Practices_SubPractices[Org]="Large"),SUMIFS(Practices_SubPractices[B],Practices_SubPractices[CP],"6",Practices_SubPractices[Org],"Large"),IF(AND(Practices_SubPractices[CP]=7,Practices_SubPractices[Org] ="Large"),SUMIFS(Practices_SubPractices[B],Practices_SubPractices[CP],"7",Practices_SubPractices[Org],"Large"),IF(AND(Practices_SubPractices[CP]=8,Practices_SubPractices[Org] ="Large"),SUMIFS(Practices_SubPractices[B],Practices_SubPractices[CP],"8",Practices_SubPractices[Org],"Large"),IF(AND(Practices_SubPractices[CP]=9,Practices_SubPractices[Org] ="Large"),SUMIFS(Practices_SubPractices[B],Practices_SubPractices[CP],"9",Practices_SubPractices[Org],"Large"),IF(AND(Practices_SubPractices[CP]=10,Practices_SubPractices[Org] ="Large"),SUMIFS(Practices_SubPractices[B],Practices_SubPractices[CP],"10",Practices_SubPractices[Org],"Large"),"TBD"))))))))))))))))))))))))))))))</f>
        <v>15</v>
      </c>
      <c r="P71" s="77">
        <f>IF(AND(Practices_SubPractices[CP]=1,Practices_SubPractices[Org]="Small"),SUMIFS(Practices_SubPractices[C],Practices_SubPractices[CP],"1",Practices_SubPractices[Org],"Small"),IF(AND(Practices_SubPractices[CP]=2,Practices_SubPractices[Org]="Small"),SUMIFS(Practices_SubPractices[C],Practices_SubPractices[CP],"2",Practices_SubPractices[Org],"Small"),IF(AND(Practices_SubPractices[CP]=3,Practices_SubPractices[Org]="Small"),SUMIFS(Practices_SubPractices[C],Practices_SubPractices[CP],"3",Practices_SubPractices[Org],"Small"),IF(AND(Practices_SubPractices[CP]=4,Practices_SubPractices[Org]="Small"),SUMIFS(Practices_SubPractices[C],Practices_SubPractices[CP],"4",Practices_SubPractices[Org],"Small"),IF(AND(Practices_SubPractices[CP]=5,Practices_SubPractices[Org]="Small"),SUMIFS(Practices_SubPractices[C],Practices_SubPractices[CP],"5",Practices_SubPractices[Org],"Small"),IF(AND(Practices_SubPractices[CP]=6,Practices_SubPractices[Org]="Small"),SUMIFS(Practices_SubPractices[C],Practices_SubPractices[CP],"6",Practices_SubPractices[Org],"Small"),IF(AND(Practices_SubPractices[CP]=7,Practices_SubPractices[Org] ="Small"),SUMIFS(Practices_SubPractices[C],Practices_SubPractices[CP],"7",Practices_SubPractices[Org],"Small"),IF(AND(Practices_SubPractices[CP]=8,Practices_SubPractices[Org] ="Small"),SUMIFS(Practices_SubPractices[C],Practices_SubPractices[CP],"8",Practices_SubPractices[Org],"Small"),IF(AND(Practices_SubPractices[CP]=9,Practices_SubPractices[Org] ="Small"),SUMIFS(Practices_SubPractices[C],Practices_SubPractices[CP],"9",Practices_SubPractices[Org],"Small"),IF(AND(Practices_SubPractices[CP]=10,Practices_SubPractices[Org] ="Small"),SUMIFS(Practices_SubPractices[C],Practices_SubPractices[CP],"10",Practices_SubPractices[Org],"Small"),IF(AND(Practices_SubPractices[CP]=1,Practices_SubPractices[Org]="Medium"),SUMIFS(Practices_SubPractices[C],Practices_SubPractices[CP],"1",Practices_SubPractices[Org],"Medium"),IF(AND(Practices_SubPractices[CP]=2,Practices_SubPractices[Org]="Medium"),SUMIFS(Practices_SubPractices[C],Practices_SubPractices[CP],"2",Practices_SubPractices[Org],"Medium"),IF(AND(Practices_SubPractices[CP]=3,Practices_SubPractices[Org]="Medium"),SUMIFS(Practices_SubPractices[C],Practices_SubPractices[CP],"3",Practices_SubPractices[Org],"Medium"),IF(AND(Practices_SubPractices[CP]=4,Practices_SubPractices[Org]="Medium"),SUMIFS(Practices_SubPractices[C],Practices_SubPractices[CP],"4",Practices_SubPractices[Org],"Medium"),IF(AND(Practices_SubPractices[CP]=5,Practices_SubPractices[Org]="Medium"),SUMIFS(Practices_SubPractices[C],Practices_SubPractices[CP],"5",Practices_SubPractices[Org],"Medium"),IF(AND(Practices_SubPractices[CP]=6,Practices_SubPractices[Org]="Medium"),SUMIFS(Practices_SubPractices[C],Practices_SubPractices[CP],"6",Practices_SubPractices[Org],"Medium"),IF(AND(Practices_SubPractices[CP]=7,Practices_SubPractices[Org] ="Medium"),SUMIFS(Practices_SubPractices[C],Practices_SubPractices[CP],"7",Practices_SubPractices[Org],"Medium"),IF(AND(Practices_SubPractices[CP]=8,Practices_SubPractices[Org] ="Medium"),SUMIFS(Practices_SubPractices[C],Practices_SubPractices[CP],"8",Practices_SubPractices[Org],"Medium"),IF(AND(Practices_SubPractices[CP]=9,Practices_SubPractices[Org] ="Medium"),SUMIFS(Practices_SubPractices[C],Practices_SubPractices[CP],"9",Practices_SubPractices[Org],"Medium"),IF(AND(Practices_SubPractices[CP]=10,Practices_SubPractices[Org] ="Medium"),SUMIFS(Practices_SubPractices[C],Practices_SubPractices[CP],"10",Practices_SubPractices[Org],"Medium"),IF(AND(Practices_SubPractices[CP]=1,Practices_SubPractices[Org]="Large"),SUMIFS(Practices_SubPractices[C],Practices_SubPractices[CP],"1",Practices_SubPractices[Org],"Large"),IF(AND(Practices_SubPractices[CP]=2,Practices_SubPractices[Org]="Large"),SUMIFS(Practices_SubPractices[C],Practices_SubPractices[CP],"2",Practices_SubPractices[Org],"Large"),IF(AND(Practices_SubPractices[CP]=3,Practices_SubPractices[Org]="Large"),SUMIFS(Practices_SubPractices[C],Practices_SubPractices[CP],"3",Practices_SubPractices[Org],"Large"),IF(AND(Practices_SubPractices[CP]=4,Practices_SubPractices[Org]="Large"),SUMIFS(Practices_SubPractices[C],Practices_SubPractices[CP],"4",Practices_SubPractices[Org],"Large"),IF(AND(Practices_SubPractices[CP]=5,Practices_SubPractices[Org]="Large"),SUMIFS(Practices_SubPractices[C],Practices_SubPractices[CP],"5",Practices_SubPractices[Org],"Large"),IF(AND(Practices_SubPractices[CP]=6,Practices_SubPractices[Org]="Large"),SUMIFS(Practices_SubPractices[C],Practices_SubPractices[CP],"6",Practices_SubPractices[Org],"Large"),IF(AND(Practices_SubPractices[CP]=7,Practices_SubPractices[Org] ="Large"),SUMIFS(Practices_SubPractices[C],Practices_SubPractices[CP],"7",Practices_SubPractices[Org],"Large"),IF(AND(Practices_SubPractices[CP]=8,Practices_SubPractices[Org] ="Large"),SUMIFS(Practices_SubPractices[C],Practices_SubPractices[CP],"8",Practices_SubPractices[Org],"Large"),IF(AND(Practices_SubPractices[CP]=9,Practices_SubPractices[Org] ="Large"),SUMIFS(Practices_SubPractices[C],Practices_SubPractices[CP],"9",Practices_SubPractices[Org],"Large"),IF(AND(Practices_SubPractices[CP]=10,Practices_SubPractices[Org] ="Large"),SUMIFS(Practices_SubPractices[C],Practices_SubPractices[CP],"10",Practices_SubPractices[Org],"Large"),"TBD"))))))))))))))))))))))))))))))</f>
        <v>2</v>
      </c>
      <c r="Q71" s="77">
        <f>IF(AND(Practices_SubPractices[CP]=1,Practices_SubPractices[Org]="Small"),SUMIFS(Practices_SubPractices[D],Practices_SubPractices[CP],"1",Practices_SubPractices[Org],"Small"),IF(AND(Practices_SubPractices[CP]=2,Practices_SubPractices[Org]="Small"),SUMIFS(Practices_SubPractices[D],Practices_SubPractices[CP],"2",Practices_SubPractices[Org],"Small"),IF(AND(Practices_SubPractices[CP]=3,Practices_SubPractices[Org]="Small"),SUMIFS(Practices_SubPractices[D],Practices_SubPractices[CP],"3",Practices_SubPractices[Org],"Small"),IF(AND(Practices_SubPractices[CP]=4,Practices_SubPractices[Org]="Small"),SUMIFS(Practices_SubPractices[D],Practices_SubPractices[CP],"4",Practices_SubPractices[Org],"Small"),IF(AND(Practices_SubPractices[CP]=5,Practices_SubPractices[Org]="Small"),SUMIFS(Practices_SubPractices[D],Practices_SubPractices[CP],"5",Practices_SubPractices[Org],"Small"),IF(AND(Practices_SubPractices[CP]=6,Practices_SubPractices[Org]="Small"),SUMIFS(Practices_SubPractices[D],Practices_SubPractices[CP],"6",Practices_SubPractices[Org],"Small"),IF(AND(Practices_SubPractices[CP]=7,Practices_SubPractices[Org] ="Small"),SUMIFS(Practices_SubPractices[D],Practices_SubPractices[CP],"7",Practices_SubPractices[Org],"Small"),IF(AND(Practices_SubPractices[CP]=8,Practices_SubPractices[Org] ="Small"),SUMIFS(Practices_SubPractices[D],Practices_SubPractices[CP],"8",Practices_SubPractices[Org],"Small"),IF(AND(Practices_SubPractices[CP]=9,Practices_SubPractices[Org] ="Small"),SUMIFS(Practices_SubPractices[D],Practices_SubPractices[CP],"9",Practices_SubPractices[Org],"Small"),IF(AND(Practices_SubPractices[CP]=10,Practices_SubPractices[Org] ="Small"),SUMIFS(Practices_SubPractices[D],Practices_SubPractices[CP],"10",Practices_SubPractices[Org],"Small"),IF(AND(Practices_SubPractices[CP]=1,Practices_SubPractices[Org]="Medium"),SUMIFS(Practices_SubPractices[D],Practices_SubPractices[CP],"1",Practices_SubPractices[Org],"Medium"),IF(AND(Practices_SubPractices[CP]=2,Practices_SubPractices[Org]="Medium"),SUMIFS(Practices_SubPractices[D],Practices_SubPractices[CP],"2",Practices_SubPractices[Org],"Medium"),IF(AND(Practices_SubPractices[CP]=3,Practices_SubPractices[Org]="Medium"),SUMIFS(Practices_SubPractices[D],Practices_SubPractices[CP],"3",Practices_SubPractices[Org],"Medium"),IF(AND(Practices_SubPractices[CP]=4,Practices_SubPractices[Org]="Medium"),SUMIFS(Practices_SubPractices[D],Practices_SubPractices[CP],"4",Practices_SubPractices[Org],"Medium"),IF(AND(Practices_SubPractices[CP]=5,Practices_SubPractices[Org]="Medium"),SUMIFS(Practices_SubPractices[D],Practices_SubPractices[CP],"5",Practices_SubPractices[Org],"Medium"),IF(AND(Practices_SubPractices[CP]=6,Practices_SubPractices[Org]="Medium"),SUMIFS(Practices_SubPractices[D],Practices_SubPractices[CP],"6",Practices_SubPractices[Org],"Medium"),IF(AND(Practices_SubPractices[CP]=7,Practices_SubPractices[Org] ="Medium"),SUMIFS(Practices_SubPractices[D],Practices_SubPractices[CP],"7",Practices_SubPractices[Org],"Medium"),IF(AND(Practices_SubPractices[CP]=8,Practices_SubPractices[Org] ="Medium"),SUMIFS(Practices_SubPractices[D],Practices_SubPractices[CP],"8",Practices_SubPractices[Org],"Medium"),IF(AND(Practices_SubPractices[CP]=9,Practices_SubPractices[Org] ="Medium"),SUMIFS(Practices_SubPractices[D],Practices_SubPractices[CP],"9",Practices_SubPractices[Org],"Medium"),IF(AND(Practices_SubPractices[CP]=10,Practices_SubPractices[Org] ="Medium"),SUMIFS(Practices_SubPractices[D],Practices_SubPractices[CP],"10",Practices_SubPractices[Org],"Medium"),IF(AND(Practices_SubPractices[CP]=1,Practices_SubPractices[Org]="Large"),SUMIFS(Practices_SubPractices[D],Practices_SubPractices[CP],"1",Practices_SubPractices[Org],"Large"),IF(AND(Practices_SubPractices[CP]=2,Practices_SubPractices[Org]="Large"),SUMIFS(Practices_SubPractices[D],Practices_SubPractices[CP],"2",Practices_SubPractices[Org],"Large"),IF(AND(Practices_SubPractices[CP]=3,Practices_SubPractices[Org]="Large"),SUMIFS(Practices_SubPractices[D],Practices_SubPractices[CP],"3",Practices_SubPractices[Org],"Large"),IF(AND(Practices_SubPractices[CP]=4,Practices_SubPractices[Org]="Large"),SUMIFS(Practices_SubPractices[D],Practices_SubPractices[CP],"4",Practices_SubPractices[Org],"Large"),IF(AND(Practices_SubPractices[CP]=5,Practices_SubPractices[Org]="Large"),SUMIFS(Practices_SubPractices[D],Practices_SubPractices[CP],"5",Practices_SubPractices[Org],"Large"),IF(AND(Practices_SubPractices[CP]=6,Practices_SubPractices[Org]="Large"),SUMIFS(Practices_SubPractices[D],Practices_SubPractices[CP],"6",Practices_SubPractices[Org],"Large"),IF(AND(Practices_SubPractices[CP]=7,Practices_SubPractices[Org] ="Large"),SUMIFS(Practices_SubPractices[D],Practices_SubPractices[CP],"7",Practices_SubPractices[Org],"Large"),IF(AND(Practices_SubPractices[CP]=8,Practices_SubPractices[Org] ="Large"),SUMIFS(Practices_SubPractices[D],Practices_SubPractices[CP],"8",Practices_SubPractices[Org],"Large"),IF(AND(Practices_SubPractices[CP]=9,Practices_SubPractices[Org] ="Large"),SUMIFS(Practices_SubPractices[D],Practices_SubPractices[CP],"9",Practices_SubPractices[Org],"Large"),IF(AND(Practices_SubPractices[CP]=10,Practices_SubPractices[Org] ="Large"),SUMIFS(Practices_SubPractices[D],Practices_SubPractices[CP],"10",Practices_SubPractices[Org],"Large"),"TBD"))))))))))))))))))))))))))))))</f>
        <v>13</v>
      </c>
      <c r="R71" s="77">
        <f>IF(AND(Practices_SubPractices[CP]=1,Practices_SubPractices[Org]="Small"),SUMIFS(Practices_SubPractices[E],Practices_SubPractices[CP],"1",Practices_SubPractices[Org],"Small"),IF(AND(Practices_SubPractices[CP]=2,Practices_SubPractices[Org]="Small"),SUMIFS(Practices_SubPractices[E],Practices_SubPractices[CP],"2",Practices_SubPractices[Org],"Small"),IF(AND(Practices_SubPractices[CP]=3,Practices_SubPractices[Org]="Small"),SUMIFS(Practices_SubPractices[E],Practices_SubPractices[CP],"3",Practices_SubPractices[Org],"Small"),IF(AND(Practices_SubPractices[CP]=4,Practices_SubPractices[Org]="Small"),SUMIFS(Practices_SubPractices[E],Practices_SubPractices[CP],"4",Practices_SubPractices[Org],"Small"),IF(AND(Practices_SubPractices[CP]=5,Practices_SubPractices[Org]="Small"),SUMIFS(Practices_SubPractices[E],Practices_SubPractices[CP],"5",Practices_SubPractices[Org],"Small"),IF(AND(Practices_SubPractices[CP]=6,Practices_SubPractices[Org]="Small"),SUMIFS(Practices_SubPractices[E],Practices_SubPractices[CP],"6",Practices_SubPractices[Org],"Small"),IF(AND(Practices_SubPractices[CP]=7,Practices_SubPractices[Org] ="Small"),SUMIFS(Practices_SubPractices[E],Practices_SubPractices[CP],"7",Practices_SubPractices[Org],"Small"),IF(AND(Practices_SubPractices[CP]=8,Practices_SubPractices[Org] ="Small"),SUMIFS(Practices_SubPractices[E],Practices_SubPractices[CP],"8",Practices_SubPractices[Org],"Small"),IF(AND(Practices_SubPractices[CP]=9,Practices_SubPractices[Org] ="Small"),SUMIFS(Practices_SubPractices[E],Practices_SubPractices[CP],"9",Practices_SubPractices[Org],"Small"),IF(AND(Practices_SubPractices[CP]=10,Practices_SubPractices[Org] ="Small"),SUMIFS(Practices_SubPractices[E],Practices_SubPractices[CP],"10",Practices_SubPractices[Org],"Small"),IF(AND(Practices_SubPractices[CP]=1,Practices_SubPractices[Org]="Medium"),SUMIFS(Practices_SubPractices[E],Practices_SubPractices[CP],"1",Practices_SubPractices[Org],"Medium"),IF(AND(Practices_SubPractices[CP]=2,Practices_SubPractices[Org]="Medium"),SUMIFS(Practices_SubPractices[E],Practices_SubPractices[CP],"2",Practices_SubPractices[Org],"Medium"),IF(AND(Practices_SubPractices[CP]=3,Practices_SubPractices[Org]="Medium"),SUMIFS(Practices_SubPractices[E],Practices_SubPractices[CP],"3",Practices_SubPractices[Org],"Medium"),IF(AND(Practices_SubPractices[CP]=4,Practices_SubPractices[Org]="Medium"),SUMIFS(Practices_SubPractices[E],Practices_SubPractices[CP],"4",Practices_SubPractices[Org],"Medium"),IF(AND(Practices_SubPractices[CP]=5,Practices_SubPractices[Org]="Medium"),SUMIFS(Practices_SubPractices[E],Practices_SubPractices[CP],"5",Practices_SubPractices[Org],"Medium"),IF(AND(Practices_SubPractices[CP]=6,Practices_SubPractices[Org]="Medium"),SUMIFS(Practices_SubPractices[E],Practices_SubPractices[CP],"6",Practices_SubPractices[Org],"Medium"),IF(AND(Practices_SubPractices[CP]=7,Practices_SubPractices[Org] ="Medium"),SUMIFS(Practices_SubPractices[E],Practices_SubPractices[CP],"7",Practices_SubPractices[Org],"Medium"),IF(AND(Practices_SubPractices[CP]=8,Practices_SubPractices[Org] ="Medium"),SUMIFS(Practices_SubPractices[E],Practices_SubPractices[CP],"8",Practices_SubPractices[Org],"Medium"),IF(AND(Practices_SubPractices[CP]=9,Practices_SubPractices[Org] ="Medium"),SUMIFS(Practices_SubPractices[E],Practices_SubPractices[CP],"9",Practices_SubPractices[Org],"Medium"),IF(AND(Practices_SubPractices[CP]=10,Practices_SubPractices[Org] ="Medium"),SUMIFS(Practices_SubPractices[E],Practices_SubPractices[CP],"10",Practices_SubPractices[Org],"Medium"),IF(AND(Practices_SubPractices[CP]=1,Practices_SubPractices[Org]="Large"),SUMIFS(Practices_SubPractices[E],Practices_SubPractices[CP],"1",Practices_SubPractices[Org],"Large"),IF(AND(Practices_SubPractices[CP]=2,Practices_SubPractices[Org]="Large"),SUMIFS(Practices_SubPractices[E],Practices_SubPractices[CP],"2",Practices_SubPractices[Org],"Large"),IF(AND(Practices_SubPractices[CP]=3,Practices_SubPractices[Org]="Large"),SUMIFS(Practices_SubPractices[E],Practices_SubPractices[CP],"3",Practices_SubPractices[Org],"Large"),IF(AND(Practices_SubPractices[CP]=4,Practices_SubPractices[Org]="Large"),SUMIFS(Practices_SubPractices[E],Practices_SubPractices[CP],"4",Practices_SubPractices[Org],"Large"),IF(AND(Practices_SubPractices[CP]=5,Practices_SubPractices[Org]="Large"),SUMIFS(Practices_SubPractices[E],Practices_SubPractices[CP],"5",Practices_SubPractices[Org],"Large"),IF(AND(Practices_SubPractices[CP]=6,Practices_SubPractices[Org]="Large"),SUMIFS(Practices_SubPractices[E],Practices_SubPractices[CP],"6",Practices_SubPractices[Org],"Large"),IF(AND(Practices_SubPractices[CP]=7,Practices_SubPractices[Org] ="Large"),SUMIFS(Practices_SubPractices[E],Practices_SubPractices[CP],"7",Practices_SubPractices[Org],"Large"),IF(AND(Practices_SubPractices[CP]=8,Practices_SubPractices[Org] ="Large"),SUMIFS(Practices_SubPractices[E],Practices_SubPractices[CP],"8",Practices_SubPractices[Org],"Large"),IF(AND(Practices_SubPractices[CP]=9,Practices_SubPractices[Org] ="Large"),SUMIFS(Practices_SubPractices[E],Practices_SubPractices[CP],"9",Practices_SubPractices[Org],"Large"),IF(AND(Practices_SubPractices[CP]=10,Practices_SubPractices[Org] ="Large"),SUMIFS(Practices_SubPractices[E],Practices_SubPractices[CP],"10",Practices_SubPractices[Org],"Large"),"TBD"))))))))))))))))))))))))))))))</f>
        <v>12</v>
      </c>
      <c r="S71" s="87" t="s">
        <v>421</v>
      </c>
    </row>
    <row r="72" spans="1:19" x14ac:dyDescent="0.35">
      <c r="A72" s="73">
        <v>62</v>
      </c>
      <c r="B72" s="73">
        <v>6</v>
      </c>
      <c r="C72" s="73" t="s">
        <v>11</v>
      </c>
      <c r="D72" s="73" t="str">
        <f>Practices_SubPractices[[#This Row],[CP]]&amp;LEFT(Practices_SubPractices[[#This Row],[Org]],1)</f>
        <v>6M</v>
      </c>
      <c r="E72" s="73" t="s">
        <v>268</v>
      </c>
      <c r="F72" s="74" t="s">
        <v>119</v>
      </c>
      <c r="G72" s="74" t="s">
        <v>237</v>
      </c>
      <c r="H72" s="74" t="s">
        <v>238</v>
      </c>
      <c r="I72" s="75">
        <v>2</v>
      </c>
      <c r="J72" s="75">
        <v>2</v>
      </c>
      <c r="K72" s="75">
        <v>0</v>
      </c>
      <c r="L72" s="75">
        <v>1</v>
      </c>
      <c r="M72" s="75">
        <v>1</v>
      </c>
      <c r="N72" s="76"/>
      <c r="O72" s="77">
        <f>IF(AND(Practices_SubPractices[CP]=1,Practices_SubPractices[Org]="Small"),SUMIFS(Practices_SubPractices[B],Practices_SubPractices[CP],"1",Practices_SubPractices[Org],"Small"),IF(AND(Practices_SubPractices[CP]=2,Practices_SubPractices[Org]="Small"),SUMIFS(Practices_SubPractices[B],Practices_SubPractices[CP],"2",Practices_SubPractices[Org],"Small"),IF(AND(Practices_SubPractices[CP]=3,Practices_SubPractices[Org]="Small"),SUMIFS(Practices_SubPractices[B],Practices_SubPractices[CP],"3",Practices_SubPractices[Org],"Small"),IF(AND(Practices_SubPractices[CP]=4,Practices_SubPractices[Org]="Small"),SUMIFS(Practices_SubPractices[B],Practices_SubPractices[CP],"4",Practices_SubPractices[Org],"Small"),IF(AND(Practices_SubPractices[CP]=5,Practices_SubPractices[Org]="Small"),SUMIFS(Practices_SubPractices[B],Practices_SubPractices[CP],"5",Practices_SubPractices[Org],"Small"),IF(AND(Practices_SubPractices[CP]=6,Practices_SubPractices[Org]="Small"),SUMIFS(Practices_SubPractices[B],Practices_SubPractices[CP],"6",Practices_SubPractices[Org],"Small"),IF(AND(Practices_SubPractices[CP]=7,Practices_SubPractices[Org] ="Small"),SUMIFS(Practices_SubPractices[B],Practices_SubPractices[CP],"7",Practices_SubPractices[Org],"Small"),IF(AND(Practices_SubPractices[CP]=8,Practices_SubPractices[Org] ="Small"),SUMIFS(Practices_SubPractices[B],Practices_SubPractices[CP],"8",Practices_SubPractices[Org],"Small"),IF(AND(Practices_SubPractices[CP]=9,Practices_SubPractices[Org] ="Small"),SUMIFS(Practices_SubPractices[B],Practices_SubPractices[CP],"9",Practices_SubPractices[Org],"Small"),IF(AND(Practices_SubPractices[CP]=10,Practices_SubPractices[Org] ="Small"),SUMIFS(Practices_SubPractices[B],Practices_SubPractices[CP],"10",Practices_SubPractices[Org],"Small"),IF(AND(Practices_SubPractices[CP]=1,Practices_SubPractices[Org]="Medium"),SUMIFS(Practices_SubPractices[B],Practices_SubPractices[CP],"1",Practices_SubPractices[Org],"Medium"),IF(AND(Practices_SubPractices[CP]=2,Practices_SubPractices[Org]="Medium"),SUMIFS(Practices_SubPractices[B],Practices_SubPractices[CP],"2",Practices_SubPractices[Org],"Medium"),IF(AND(Practices_SubPractices[CP]=3,Practices_SubPractices[Org]="Medium"),SUMIFS(Practices_SubPractices[B],Practices_SubPractices[CP],"3",Practices_SubPractices[Org],"Medium"),IF(AND(Practices_SubPractices[CP]=4,Practices_SubPractices[Org]="Medium"),SUMIFS(Practices_SubPractices[B],Practices_SubPractices[CP],"4",Practices_SubPractices[Org],"Medium"),IF(AND(Practices_SubPractices[CP]=5,Practices_SubPractices[Org]="Medium"),SUMIFS(Practices_SubPractices[B],Practices_SubPractices[CP],"5",Practices_SubPractices[Org],"Medium"),IF(AND(Practices_SubPractices[CP]=6,Practices_SubPractices[Org]="Medium"),SUMIFS(Practices_SubPractices[B],Practices_SubPractices[CP],"6",Practices_SubPractices[Org],"Medium"),IF(AND(Practices_SubPractices[CP]=7,Practices_SubPractices[Org] ="Medium"),SUMIFS(Practices_SubPractices[B],Practices_SubPractices[CP],"7",Practices_SubPractices[Org],"Medium"),IF(AND(Practices_SubPractices[CP]=8,Practices_SubPractices[Org] ="Medium"),SUMIFS(Practices_SubPractices[B],Practices_SubPractices[CP],"8",Practices_SubPractices[Org],"Medium"),IF(AND(Practices_SubPractices[CP]=9,Practices_SubPractices[Org] ="Medium"),SUMIFS(Practices_SubPractices[B],Practices_SubPractices[CP],"9",Practices_SubPractices[Org],"Medium"),IF(AND(Practices_SubPractices[CP]=10,Practices_SubPractices[Org] ="Medium"),SUMIFS(Practices_SubPractices[B],Practices_SubPractices[CP],"10",Practices_SubPractices[Org],"Medium"),IF(AND(Practices_SubPractices[CP]=1,Practices_SubPractices[Org]="Large"),SUMIFS(Practices_SubPractices[B],Practices_SubPractices[CP],"1",Practices_SubPractices[Org],"Large"),IF(AND(Practices_SubPractices[CP]=2,Practices_SubPractices[Org]="Large"),SUMIFS(Practices_SubPractices[B],Practices_SubPractices[CP],"2",Practices_SubPractices[Org],"Large"),IF(AND(Practices_SubPractices[CP]=3,Practices_SubPractices[Org]="Large"),SUMIFS(Practices_SubPractices[B],Practices_SubPractices[CP],"3",Practices_SubPractices[Org],"Large"),IF(AND(Practices_SubPractices[CP]=4,Practices_SubPractices[Org]="Large"),SUMIFS(Practices_SubPractices[B],Practices_SubPractices[CP],"4",Practices_SubPractices[Org],"Large"),IF(AND(Practices_SubPractices[CP]=5,Practices_SubPractices[Org]="Large"),SUMIFS(Practices_SubPractices[B],Practices_SubPractices[CP],"5",Practices_SubPractices[Org],"Large"),IF(AND(Practices_SubPractices[CP]=6,Practices_SubPractices[Org]="Large"),SUMIFS(Practices_SubPractices[B],Practices_SubPractices[CP],"6",Practices_SubPractices[Org],"Large"),IF(AND(Practices_SubPractices[CP]=7,Practices_SubPractices[Org] ="Large"),SUMIFS(Practices_SubPractices[B],Practices_SubPractices[CP],"7",Practices_SubPractices[Org],"Large"),IF(AND(Practices_SubPractices[CP]=8,Practices_SubPractices[Org] ="Large"),SUMIFS(Practices_SubPractices[B],Practices_SubPractices[CP],"8",Practices_SubPractices[Org],"Large"),IF(AND(Practices_SubPractices[CP]=9,Practices_SubPractices[Org] ="Large"),SUMIFS(Practices_SubPractices[B],Practices_SubPractices[CP],"9",Practices_SubPractices[Org],"Large"),IF(AND(Practices_SubPractices[CP]=10,Practices_SubPractices[Org] ="Large"),SUMIFS(Practices_SubPractices[B],Practices_SubPractices[CP],"10",Practices_SubPractices[Org],"Large"),"TBD"))))))))))))))))))))))))))))))</f>
        <v>7</v>
      </c>
      <c r="P72" s="77">
        <f>IF(AND(Practices_SubPractices[CP]=1,Practices_SubPractices[Org]="Small"),SUMIFS(Practices_SubPractices[C],Practices_SubPractices[CP],"1",Practices_SubPractices[Org],"Small"),IF(AND(Practices_SubPractices[CP]=2,Practices_SubPractices[Org]="Small"),SUMIFS(Practices_SubPractices[C],Practices_SubPractices[CP],"2",Practices_SubPractices[Org],"Small"),IF(AND(Practices_SubPractices[CP]=3,Practices_SubPractices[Org]="Small"),SUMIFS(Practices_SubPractices[C],Practices_SubPractices[CP],"3",Practices_SubPractices[Org],"Small"),IF(AND(Practices_SubPractices[CP]=4,Practices_SubPractices[Org]="Small"),SUMIFS(Practices_SubPractices[C],Practices_SubPractices[CP],"4",Practices_SubPractices[Org],"Small"),IF(AND(Practices_SubPractices[CP]=5,Practices_SubPractices[Org]="Small"),SUMIFS(Practices_SubPractices[C],Practices_SubPractices[CP],"5",Practices_SubPractices[Org],"Small"),IF(AND(Practices_SubPractices[CP]=6,Practices_SubPractices[Org]="Small"),SUMIFS(Practices_SubPractices[C],Practices_SubPractices[CP],"6",Practices_SubPractices[Org],"Small"),IF(AND(Practices_SubPractices[CP]=7,Practices_SubPractices[Org] ="Small"),SUMIFS(Practices_SubPractices[C],Practices_SubPractices[CP],"7",Practices_SubPractices[Org],"Small"),IF(AND(Practices_SubPractices[CP]=8,Practices_SubPractices[Org] ="Small"),SUMIFS(Practices_SubPractices[C],Practices_SubPractices[CP],"8",Practices_SubPractices[Org],"Small"),IF(AND(Practices_SubPractices[CP]=9,Practices_SubPractices[Org] ="Small"),SUMIFS(Practices_SubPractices[C],Practices_SubPractices[CP],"9",Practices_SubPractices[Org],"Small"),IF(AND(Practices_SubPractices[CP]=10,Practices_SubPractices[Org] ="Small"),SUMIFS(Practices_SubPractices[C],Practices_SubPractices[CP],"10",Practices_SubPractices[Org],"Small"),IF(AND(Practices_SubPractices[CP]=1,Practices_SubPractices[Org]="Medium"),SUMIFS(Practices_SubPractices[C],Practices_SubPractices[CP],"1",Practices_SubPractices[Org],"Medium"),IF(AND(Practices_SubPractices[CP]=2,Practices_SubPractices[Org]="Medium"),SUMIFS(Practices_SubPractices[C],Practices_SubPractices[CP],"2",Practices_SubPractices[Org],"Medium"),IF(AND(Practices_SubPractices[CP]=3,Practices_SubPractices[Org]="Medium"),SUMIFS(Practices_SubPractices[C],Practices_SubPractices[CP],"3",Practices_SubPractices[Org],"Medium"),IF(AND(Practices_SubPractices[CP]=4,Practices_SubPractices[Org]="Medium"),SUMIFS(Practices_SubPractices[C],Practices_SubPractices[CP],"4",Practices_SubPractices[Org],"Medium"),IF(AND(Practices_SubPractices[CP]=5,Practices_SubPractices[Org]="Medium"),SUMIFS(Practices_SubPractices[C],Practices_SubPractices[CP],"5",Practices_SubPractices[Org],"Medium"),IF(AND(Practices_SubPractices[CP]=6,Practices_SubPractices[Org]="Medium"),SUMIFS(Practices_SubPractices[C],Practices_SubPractices[CP],"6",Practices_SubPractices[Org],"Medium"),IF(AND(Practices_SubPractices[CP]=7,Practices_SubPractices[Org] ="Medium"),SUMIFS(Practices_SubPractices[C],Practices_SubPractices[CP],"7",Practices_SubPractices[Org],"Medium"),IF(AND(Practices_SubPractices[CP]=8,Practices_SubPractices[Org] ="Medium"),SUMIFS(Practices_SubPractices[C],Practices_SubPractices[CP],"8",Practices_SubPractices[Org],"Medium"),IF(AND(Practices_SubPractices[CP]=9,Practices_SubPractices[Org] ="Medium"),SUMIFS(Practices_SubPractices[C],Practices_SubPractices[CP],"9",Practices_SubPractices[Org],"Medium"),IF(AND(Practices_SubPractices[CP]=10,Practices_SubPractices[Org] ="Medium"),SUMIFS(Practices_SubPractices[C],Practices_SubPractices[CP],"10",Practices_SubPractices[Org],"Medium"),IF(AND(Practices_SubPractices[CP]=1,Practices_SubPractices[Org]="Large"),SUMIFS(Practices_SubPractices[C],Practices_SubPractices[CP],"1",Practices_SubPractices[Org],"Large"),IF(AND(Practices_SubPractices[CP]=2,Practices_SubPractices[Org]="Large"),SUMIFS(Practices_SubPractices[C],Practices_SubPractices[CP],"2",Practices_SubPractices[Org],"Large"),IF(AND(Practices_SubPractices[CP]=3,Practices_SubPractices[Org]="Large"),SUMIFS(Practices_SubPractices[C],Practices_SubPractices[CP],"3",Practices_SubPractices[Org],"Large"),IF(AND(Practices_SubPractices[CP]=4,Practices_SubPractices[Org]="Large"),SUMIFS(Practices_SubPractices[C],Practices_SubPractices[CP],"4",Practices_SubPractices[Org],"Large"),IF(AND(Practices_SubPractices[CP]=5,Practices_SubPractices[Org]="Large"),SUMIFS(Practices_SubPractices[C],Practices_SubPractices[CP],"5",Practices_SubPractices[Org],"Large"),IF(AND(Practices_SubPractices[CP]=6,Practices_SubPractices[Org]="Large"),SUMIFS(Practices_SubPractices[C],Practices_SubPractices[CP],"6",Practices_SubPractices[Org],"Large"),IF(AND(Practices_SubPractices[CP]=7,Practices_SubPractices[Org] ="Large"),SUMIFS(Practices_SubPractices[C],Practices_SubPractices[CP],"7",Practices_SubPractices[Org],"Large"),IF(AND(Practices_SubPractices[CP]=8,Practices_SubPractices[Org] ="Large"),SUMIFS(Practices_SubPractices[C],Practices_SubPractices[CP],"8",Practices_SubPractices[Org],"Large"),IF(AND(Practices_SubPractices[CP]=9,Practices_SubPractices[Org] ="Large"),SUMIFS(Practices_SubPractices[C],Practices_SubPractices[CP],"9",Practices_SubPractices[Org],"Large"),IF(AND(Practices_SubPractices[CP]=10,Practices_SubPractices[Org] ="Large"),SUMIFS(Practices_SubPractices[C],Practices_SubPractices[CP],"10",Practices_SubPractices[Org],"Large"),"TBD"))))))))))))))))))))))))))))))</f>
        <v>0</v>
      </c>
      <c r="Q72" s="77">
        <f>IF(AND(Practices_SubPractices[CP]=1,Practices_SubPractices[Org]="Small"),SUMIFS(Practices_SubPractices[D],Practices_SubPractices[CP],"1",Practices_SubPractices[Org],"Small"),IF(AND(Practices_SubPractices[CP]=2,Practices_SubPractices[Org]="Small"),SUMIFS(Practices_SubPractices[D],Practices_SubPractices[CP],"2",Practices_SubPractices[Org],"Small"),IF(AND(Practices_SubPractices[CP]=3,Practices_SubPractices[Org]="Small"),SUMIFS(Practices_SubPractices[D],Practices_SubPractices[CP],"3",Practices_SubPractices[Org],"Small"),IF(AND(Practices_SubPractices[CP]=4,Practices_SubPractices[Org]="Small"),SUMIFS(Practices_SubPractices[D],Practices_SubPractices[CP],"4",Practices_SubPractices[Org],"Small"),IF(AND(Practices_SubPractices[CP]=5,Practices_SubPractices[Org]="Small"),SUMIFS(Practices_SubPractices[D],Practices_SubPractices[CP],"5",Practices_SubPractices[Org],"Small"),IF(AND(Practices_SubPractices[CP]=6,Practices_SubPractices[Org]="Small"),SUMIFS(Practices_SubPractices[D],Practices_SubPractices[CP],"6",Practices_SubPractices[Org],"Small"),IF(AND(Practices_SubPractices[CP]=7,Practices_SubPractices[Org] ="Small"),SUMIFS(Practices_SubPractices[D],Practices_SubPractices[CP],"7",Practices_SubPractices[Org],"Small"),IF(AND(Practices_SubPractices[CP]=8,Practices_SubPractices[Org] ="Small"),SUMIFS(Practices_SubPractices[D],Practices_SubPractices[CP],"8",Practices_SubPractices[Org],"Small"),IF(AND(Practices_SubPractices[CP]=9,Practices_SubPractices[Org] ="Small"),SUMIFS(Practices_SubPractices[D],Practices_SubPractices[CP],"9",Practices_SubPractices[Org],"Small"),IF(AND(Practices_SubPractices[CP]=10,Practices_SubPractices[Org] ="Small"),SUMIFS(Practices_SubPractices[D],Practices_SubPractices[CP],"10",Practices_SubPractices[Org],"Small"),IF(AND(Practices_SubPractices[CP]=1,Practices_SubPractices[Org]="Medium"),SUMIFS(Practices_SubPractices[D],Practices_SubPractices[CP],"1",Practices_SubPractices[Org],"Medium"),IF(AND(Practices_SubPractices[CP]=2,Practices_SubPractices[Org]="Medium"),SUMIFS(Practices_SubPractices[D],Practices_SubPractices[CP],"2",Practices_SubPractices[Org],"Medium"),IF(AND(Practices_SubPractices[CP]=3,Practices_SubPractices[Org]="Medium"),SUMIFS(Practices_SubPractices[D],Practices_SubPractices[CP],"3",Practices_SubPractices[Org],"Medium"),IF(AND(Practices_SubPractices[CP]=4,Practices_SubPractices[Org]="Medium"),SUMIFS(Practices_SubPractices[D],Practices_SubPractices[CP],"4",Practices_SubPractices[Org],"Medium"),IF(AND(Practices_SubPractices[CP]=5,Practices_SubPractices[Org]="Medium"),SUMIFS(Practices_SubPractices[D],Practices_SubPractices[CP],"5",Practices_SubPractices[Org],"Medium"),IF(AND(Practices_SubPractices[CP]=6,Practices_SubPractices[Org]="Medium"),SUMIFS(Practices_SubPractices[D],Practices_SubPractices[CP],"6",Practices_SubPractices[Org],"Medium"),IF(AND(Practices_SubPractices[CP]=7,Practices_SubPractices[Org] ="Medium"),SUMIFS(Practices_SubPractices[D],Practices_SubPractices[CP],"7",Practices_SubPractices[Org],"Medium"),IF(AND(Practices_SubPractices[CP]=8,Practices_SubPractices[Org] ="Medium"),SUMIFS(Practices_SubPractices[D],Practices_SubPractices[CP],"8",Practices_SubPractices[Org],"Medium"),IF(AND(Practices_SubPractices[CP]=9,Practices_SubPractices[Org] ="Medium"),SUMIFS(Practices_SubPractices[D],Practices_SubPractices[CP],"9",Practices_SubPractices[Org],"Medium"),IF(AND(Practices_SubPractices[CP]=10,Practices_SubPractices[Org] ="Medium"),SUMIFS(Practices_SubPractices[D],Practices_SubPractices[CP],"10",Practices_SubPractices[Org],"Medium"),IF(AND(Practices_SubPractices[CP]=1,Practices_SubPractices[Org]="Large"),SUMIFS(Practices_SubPractices[D],Practices_SubPractices[CP],"1",Practices_SubPractices[Org],"Large"),IF(AND(Practices_SubPractices[CP]=2,Practices_SubPractices[Org]="Large"),SUMIFS(Practices_SubPractices[D],Practices_SubPractices[CP],"2",Practices_SubPractices[Org],"Large"),IF(AND(Practices_SubPractices[CP]=3,Practices_SubPractices[Org]="Large"),SUMIFS(Practices_SubPractices[D],Practices_SubPractices[CP],"3",Practices_SubPractices[Org],"Large"),IF(AND(Practices_SubPractices[CP]=4,Practices_SubPractices[Org]="Large"),SUMIFS(Practices_SubPractices[D],Practices_SubPractices[CP],"4",Practices_SubPractices[Org],"Large"),IF(AND(Practices_SubPractices[CP]=5,Practices_SubPractices[Org]="Large"),SUMIFS(Practices_SubPractices[D],Practices_SubPractices[CP],"5",Practices_SubPractices[Org],"Large"),IF(AND(Practices_SubPractices[CP]=6,Practices_SubPractices[Org]="Large"),SUMIFS(Practices_SubPractices[D],Practices_SubPractices[CP],"6",Practices_SubPractices[Org],"Large"),IF(AND(Practices_SubPractices[CP]=7,Practices_SubPractices[Org] ="Large"),SUMIFS(Practices_SubPractices[D],Practices_SubPractices[CP],"7",Practices_SubPractices[Org],"Large"),IF(AND(Practices_SubPractices[CP]=8,Practices_SubPractices[Org] ="Large"),SUMIFS(Practices_SubPractices[D],Practices_SubPractices[CP],"8",Practices_SubPractices[Org],"Large"),IF(AND(Practices_SubPractices[CP]=9,Practices_SubPractices[Org] ="Large"),SUMIFS(Practices_SubPractices[D],Practices_SubPractices[CP],"9",Practices_SubPractices[Org],"Large"),IF(AND(Practices_SubPractices[CP]=10,Practices_SubPractices[Org] ="Large"),SUMIFS(Practices_SubPractices[D],Practices_SubPractices[CP],"10",Practices_SubPractices[Org],"Large"),"TBD"))))))))))))))))))))))))))))))</f>
        <v>6</v>
      </c>
      <c r="R72" s="77">
        <f>IF(AND(Practices_SubPractices[CP]=1,Practices_SubPractices[Org]="Small"),SUMIFS(Practices_SubPractices[E],Practices_SubPractices[CP],"1",Practices_SubPractices[Org],"Small"),IF(AND(Practices_SubPractices[CP]=2,Practices_SubPractices[Org]="Small"),SUMIFS(Practices_SubPractices[E],Practices_SubPractices[CP],"2",Practices_SubPractices[Org],"Small"),IF(AND(Practices_SubPractices[CP]=3,Practices_SubPractices[Org]="Small"),SUMIFS(Practices_SubPractices[E],Practices_SubPractices[CP],"3",Practices_SubPractices[Org],"Small"),IF(AND(Practices_SubPractices[CP]=4,Practices_SubPractices[Org]="Small"),SUMIFS(Practices_SubPractices[E],Practices_SubPractices[CP],"4",Practices_SubPractices[Org],"Small"),IF(AND(Practices_SubPractices[CP]=5,Practices_SubPractices[Org]="Small"),SUMIFS(Practices_SubPractices[E],Practices_SubPractices[CP],"5",Practices_SubPractices[Org],"Small"),IF(AND(Practices_SubPractices[CP]=6,Practices_SubPractices[Org]="Small"),SUMIFS(Practices_SubPractices[E],Practices_SubPractices[CP],"6",Practices_SubPractices[Org],"Small"),IF(AND(Practices_SubPractices[CP]=7,Practices_SubPractices[Org] ="Small"),SUMIFS(Practices_SubPractices[E],Practices_SubPractices[CP],"7",Practices_SubPractices[Org],"Small"),IF(AND(Practices_SubPractices[CP]=8,Practices_SubPractices[Org] ="Small"),SUMIFS(Practices_SubPractices[E],Practices_SubPractices[CP],"8",Practices_SubPractices[Org],"Small"),IF(AND(Practices_SubPractices[CP]=9,Practices_SubPractices[Org] ="Small"),SUMIFS(Practices_SubPractices[E],Practices_SubPractices[CP],"9",Practices_SubPractices[Org],"Small"),IF(AND(Practices_SubPractices[CP]=10,Practices_SubPractices[Org] ="Small"),SUMIFS(Practices_SubPractices[E],Practices_SubPractices[CP],"10",Practices_SubPractices[Org],"Small"),IF(AND(Practices_SubPractices[CP]=1,Practices_SubPractices[Org]="Medium"),SUMIFS(Practices_SubPractices[E],Practices_SubPractices[CP],"1",Practices_SubPractices[Org],"Medium"),IF(AND(Practices_SubPractices[CP]=2,Practices_SubPractices[Org]="Medium"),SUMIFS(Practices_SubPractices[E],Practices_SubPractices[CP],"2",Practices_SubPractices[Org],"Medium"),IF(AND(Practices_SubPractices[CP]=3,Practices_SubPractices[Org]="Medium"),SUMIFS(Practices_SubPractices[E],Practices_SubPractices[CP],"3",Practices_SubPractices[Org],"Medium"),IF(AND(Practices_SubPractices[CP]=4,Practices_SubPractices[Org]="Medium"),SUMIFS(Practices_SubPractices[E],Practices_SubPractices[CP],"4",Practices_SubPractices[Org],"Medium"),IF(AND(Practices_SubPractices[CP]=5,Practices_SubPractices[Org]="Medium"),SUMIFS(Practices_SubPractices[E],Practices_SubPractices[CP],"5",Practices_SubPractices[Org],"Medium"),IF(AND(Practices_SubPractices[CP]=6,Practices_SubPractices[Org]="Medium"),SUMIFS(Practices_SubPractices[E],Practices_SubPractices[CP],"6",Practices_SubPractices[Org],"Medium"),IF(AND(Practices_SubPractices[CP]=7,Practices_SubPractices[Org] ="Medium"),SUMIFS(Practices_SubPractices[E],Practices_SubPractices[CP],"7",Practices_SubPractices[Org],"Medium"),IF(AND(Practices_SubPractices[CP]=8,Practices_SubPractices[Org] ="Medium"),SUMIFS(Practices_SubPractices[E],Practices_SubPractices[CP],"8",Practices_SubPractices[Org],"Medium"),IF(AND(Practices_SubPractices[CP]=9,Practices_SubPractices[Org] ="Medium"),SUMIFS(Practices_SubPractices[E],Practices_SubPractices[CP],"9",Practices_SubPractices[Org],"Medium"),IF(AND(Practices_SubPractices[CP]=10,Practices_SubPractices[Org] ="Medium"),SUMIFS(Practices_SubPractices[E],Practices_SubPractices[CP],"10",Practices_SubPractices[Org],"Medium"),IF(AND(Practices_SubPractices[CP]=1,Practices_SubPractices[Org]="Large"),SUMIFS(Practices_SubPractices[E],Practices_SubPractices[CP],"1",Practices_SubPractices[Org],"Large"),IF(AND(Practices_SubPractices[CP]=2,Practices_SubPractices[Org]="Large"),SUMIFS(Practices_SubPractices[E],Practices_SubPractices[CP],"2",Practices_SubPractices[Org],"Large"),IF(AND(Practices_SubPractices[CP]=3,Practices_SubPractices[Org]="Large"),SUMIFS(Practices_SubPractices[E],Practices_SubPractices[CP],"3",Practices_SubPractices[Org],"Large"),IF(AND(Practices_SubPractices[CP]=4,Practices_SubPractices[Org]="Large"),SUMIFS(Practices_SubPractices[E],Practices_SubPractices[CP],"4",Practices_SubPractices[Org],"Large"),IF(AND(Practices_SubPractices[CP]=5,Practices_SubPractices[Org]="Large"),SUMIFS(Practices_SubPractices[E],Practices_SubPractices[CP],"5",Practices_SubPractices[Org],"Large"),IF(AND(Practices_SubPractices[CP]=6,Practices_SubPractices[Org]="Large"),SUMIFS(Practices_SubPractices[E],Practices_SubPractices[CP],"6",Practices_SubPractices[Org],"Large"),IF(AND(Practices_SubPractices[CP]=7,Practices_SubPractices[Org] ="Large"),SUMIFS(Practices_SubPractices[E],Practices_SubPractices[CP],"7",Practices_SubPractices[Org],"Large"),IF(AND(Practices_SubPractices[CP]=8,Practices_SubPractices[Org] ="Large"),SUMIFS(Practices_SubPractices[E],Practices_SubPractices[CP],"8",Practices_SubPractices[Org],"Large"),IF(AND(Practices_SubPractices[CP]=9,Practices_SubPractices[Org] ="Large"),SUMIFS(Practices_SubPractices[E],Practices_SubPractices[CP],"9",Practices_SubPractices[Org],"Large"),IF(AND(Practices_SubPractices[CP]=10,Practices_SubPractices[Org] ="Large"),SUMIFS(Practices_SubPractices[E],Practices_SubPractices[CP],"10",Practices_SubPractices[Org],"Large"),"TBD"))))))))))))))))))))))))))))))</f>
        <v>7</v>
      </c>
      <c r="S72" s="87" t="s">
        <v>422</v>
      </c>
    </row>
    <row r="73" spans="1:19" x14ac:dyDescent="0.35">
      <c r="A73" s="73">
        <v>63</v>
      </c>
      <c r="B73" s="73">
        <v>6</v>
      </c>
      <c r="C73" s="73" t="s">
        <v>12</v>
      </c>
      <c r="D73" s="73" t="str">
        <f>Practices_SubPractices[[#This Row],[CP]]&amp;LEFT(Practices_SubPractices[[#This Row],[Org]],1)</f>
        <v>6L</v>
      </c>
      <c r="E73" s="73" t="s">
        <v>268</v>
      </c>
      <c r="F73" s="74" t="s">
        <v>119</v>
      </c>
      <c r="G73" s="74" t="s">
        <v>237</v>
      </c>
      <c r="H73" s="74" t="s">
        <v>238</v>
      </c>
      <c r="I73" s="75">
        <v>2</v>
      </c>
      <c r="J73" s="75">
        <v>2</v>
      </c>
      <c r="K73" s="75">
        <v>0</v>
      </c>
      <c r="L73" s="75">
        <v>1</v>
      </c>
      <c r="M73" s="75">
        <v>1</v>
      </c>
      <c r="N73" s="76"/>
      <c r="O73" s="77">
        <f>IF(AND(Practices_SubPractices[CP]=1,Practices_SubPractices[Org]="Small"),SUMIFS(Practices_SubPractices[B],Practices_SubPractices[CP],"1",Practices_SubPractices[Org],"Small"),IF(AND(Practices_SubPractices[CP]=2,Practices_SubPractices[Org]="Small"),SUMIFS(Practices_SubPractices[B],Practices_SubPractices[CP],"2",Practices_SubPractices[Org],"Small"),IF(AND(Practices_SubPractices[CP]=3,Practices_SubPractices[Org]="Small"),SUMIFS(Practices_SubPractices[B],Practices_SubPractices[CP],"3",Practices_SubPractices[Org],"Small"),IF(AND(Practices_SubPractices[CP]=4,Practices_SubPractices[Org]="Small"),SUMIFS(Practices_SubPractices[B],Practices_SubPractices[CP],"4",Practices_SubPractices[Org],"Small"),IF(AND(Practices_SubPractices[CP]=5,Practices_SubPractices[Org]="Small"),SUMIFS(Practices_SubPractices[B],Practices_SubPractices[CP],"5",Practices_SubPractices[Org],"Small"),IF(AND(Practices_SubPractices[CP]=6,Practices_SubPractices[Org]="Small"),SUMIFS(Practices_SubPractices[B],Practices_SubPractices[CP],"6",Practices_SubPractices[Org],"Small"),IF(AND(Practices_SubPractices[CP]=7,Practices_SubPractices[Org] ="Small"),SUMIFS(Practices_SubPractices[B],Practices_SubPractices[CP],"7",Practices_SubPractices[Org],"Small"),IF(AND(Practices_SubPractices[CP]=8,Practices_SubPractices[Org] ="Small"),SUMIFS(Practices_SubPractices[B],Practices_SubPractices[CP],"8",Practices_SubPractices[Org],"Small"),IF(AND(Practices_SubPractices[CP]=9,Practices_SubPractices[Org] ="Small"),SUMIFS(Practices_SubPractices[B],Practices_SubPractices[CP],"9",Practices_SubPractices[Org],"Small"),IF(AND(Practices_SubPractices[CP]=10,Practices_SubPractices[Org] ="Small"),SUMIFS(Practices_SubPractices[B],Practices_SubPractices[CP],"10",Practices_SubPractices[Org],"Small"),IF(AND(Practices_SubPractices[CP]=1,Practices_SubPractices[Org]="Medium"),SUMIFS(Practices_SubPractices[B],Practices_SubPractices[CP],"1",Practices_SubPractices[Org],"Medium"),IF(AND(Practices_SubPractices[CP]=2,Practices_SubPractices[Org]="Medium"),SUMIFS(Practices_SubPractices[B],Practices_SubPractices[CP],"2",Practices_SubPractices[Org],"Medium"),IF(AND(Practices_SubPractices[CP]=3,Practices_SubPractices[Org]="Medium"),SUMIFS(Practices_SubPractices[B],Practices_SubPractices[CP],"3",Practices_SubPractices[Org],"Medium"),IF(AND(Practices_SubPractices[CP]=4,Practices_SubPractices[Org]="Medium"),SUMIFS(Practices_SubPractices[B],Practices_SubPractices[CP],"4",Practices_SubPractices[Org],"Medium"),IF(AND(Practices_SubPractices[CP]=5,Practices_SubPractices[Org]="Medium"),SUMIFS(Practices_SubPractices[B],Practices_SubPractices[CP],"5",Practices_SubPractices[Org],"Medium"),IF(AND(Practices_SubPractices[CP]=6,Practices_SubPractices[Org]="Medium"),SUMIFS(Practices_SubPractices[B],Practices_SubPractices[CP],"6",Practices_SubPractices[Org],"Medium"),IF(AND(Practices_SubPractices[CP]=7,Practices_SubPractices[Org] ="Medium"),SUMIFS(Practices_SubPractices[B],Practices_SubPractices[CP],"7",Practices_SubPractices[Org],"Medium"),IF(AND(Practices_SubPractices[CP]=8,Practices_SubPractices[Org] ="Medium"),SUMIFS(Practices_SubPractices[B],Practices_SubPractices[CP],"8",Practices_SubPractices[Org],"Medium"),IF(AND(Practices_SubPractices[CP]=9,Practices_SubPractices[Org] ="Medium"),SUMIFS(Practices_SubPractices[B],Practices_SubPractices[CP],"9",Practices_SubPractices[Org],"Medium"),IF(AND(Practices_SubPractices[CP]=10,Practices_SubPractices[Org] ="Medium"),SUMIFS(Practices_SubPractices[B],Practices_SubPractices[CP],"10",Practices_SubPractices[Org],"Medium"),IF(AND(Practices_SubPractices[CP]=1,Practices_SubPractices[Org]="Large"),SUMIFS(Practices_SubPractices[B],Practices_SubPractices[CP],"1",Practices_SubPractices[Org],"Large"),IF(AND(Practices_SubPractices[CP]=2,Practices_SubPractices[Org]="Large"),SUMIFS(Practices_SubPractices[B],Practices_SubPractices[CP],"2",Practices_SubPractices[Org],"Large"),IF(AND(Practices_SubPractices[CP]=3,Practices_SubPractices[Org]="Large"),SUMIFS(Practices_SubPractices[B],Practices_SubPractices[CP],"3",Practices_SubPractices[Org],"Large"),IF(AND(Practices_SubPractices[CP]=4,Practices_SubPractices[Org]="Large"),SUMIFS(Practices_SubPractices[B],Practices_SubPractices[CP],"4",Practices_SubPractices[Org],"Large"),IF(AND(Practices_SubPractices[CP]=5,Practices_SubPractices[Org]="Large"),SUMIFS(Practices_SubPractices[B],Practices_SubPractices[CP],"5",Practices_SubPractices[Org],"Large"),IF(AND(Practices_SubPractices[CP]=6,Practices_SubPractices[Org]="Large"),SUMIFS(Practices_SubPractices[B],Practices_SubPractices[CP],"6",Practices_SubPractices[Org],"Large"),IF(AND(Practices_SubPractices[CP]=7,Practices_SubPractices[Org] ="Large"),SUMIFS(Practices_SubPractices[B],Practices_SubPractices[CP],"7",Practices_SubPractices[Org],"Large"),IF(AND(Practices_SubPractices[CP]=8,Practices_SubPractices[Org] ="Large"),SUMIFS(Practices_SubPractices[B],Practices_SubPractices[CP],"8",Practices_SubPractices[Org],"Large"),IF(AND(Practices_SubPractices[CP]=9,Practices_SubPractices[Org] ="Large"),SUMIFS(Practices_SubPractices[B],Practices_SubPractices[CP],"9",Practices_SubPractices[Org],"Large"),IF(AND(Practices_SubPractices[CP]=10,Practices_SubPractices[Org] ="Large"),SUMIFS(Practices_SubPractices[B],Practices_SubPractices[CP],"10",Practices_SubPractices[Org],"Large"),"TBD"))))))))))))))))))))))))))))))</f>
        <v>15</v>
      </c>
      <c r="P73" s="77">
        <f>IF(AND(Practices_SubPractices[CP]=1,Practices_SubPractices[Org]="Small"),SUMIFS(Practices_SubPractices[C],Practices_SubPractices[CP],"1",Practices_SubPractices[Org],"Small"),IF(AND(Practices_SubPractices[CP]=2,Practices_SubPractices[Org]="Small"),SUMIFS(Practices_SubPractices[C],Practices_SubPractices[CP],"2",Practices_SubPractices[Org],"Small"),IF(AND(Practices_SubPractices[CP]=3,Practices_SubPractices[Org]="Small"),SUMIFS(Practices_SubPractices[C],Practices_SubPractices[CP],"3",Practices_SubPractices[Org],"Small"),IF(AND(Practices_SubPractices[CP]=4,Practices_SubPractices[Org]="Small"),SUMIFS(Practices_SubPractices[C],Practices_SubPractices[CP],"4",Practices_SubPractices[Org],"Small"),IF(AND(Practices_SubPractices[CP]=5,Practices_SubPractices[Org]="Small"),SUMIFS(Practices_SubPractices[C],Practices_SubPractices[CP],"5",Practices_SubPractices[Org],"Small"),IF(AND(Practices_SubPractices[CP]=6,Practices_SubPractices[Org]="Small"),SUMIFS(Practices_SubPractices[C],Practices_SubPractices[CP],"6",Practices_SubPractices[Org],"Small"),IF(AND(Practices_SubPractices[CP]=7,Practices_SubPractices[Org] ="Small"),SUMIFS(Practices_SubPractices[C],Practices_SubPractices[CP],"7",Practices_SubPractices[Org],"Small"),IF(AND(Practices_SubPractices[CP]=8,Practices_SubPractices[Org] ="Small"),SUMIFS(Practices_SubPractices[C],Practices_SubPractices[CP],"8",Practices_SubPractices[Org],"Small"),IF(AND(Practices_SubPractices[CP]=9,Practices_SubPractices[Org] ="Small"),SUMIFS(Practices_SubPractices[C],Practices_SubPractices[CP],"9",Practices_SubPractices[Org],"Small"),IF(AND(Practices_SubPractices[CP]=10,Practices_SubPractices[Org] ="Small"),SUMIFS(Practices_SubPractices[C],Practices_SubPractices[CP],"10",Practices_SubPractices[Org],"Small"),IF(AND(Practices_SubPractices[CP]=1,Practices_SubPractices[Org]="Medium"),SUMIFS(Practices_SubPractices[C],Practices_SubPractices[CP],"1",Practices_SubPractices[Org],"Medium"),IF(AND(Practices_SubPractices[CP]=2,Practices_SubPractices[Org]="Medium"),SUMIFS(Practices_SubPractices[C],Practices_SubPractices[CP],"2",Practices_SubPractices[Org],"Medium"),IF(AND(Practices_SubPractices[CP]=3,Practices_SubPractices[Org]="Medium"),SUMIFS(Practices_SubPractices[C],Practices_SubPractices[CP],"3",Practices_SubPractices[Org],"Medium"),IF(AND(Practices_SubPractices[CP]=4,Practices_SubPractices[Org]="Medium"),SUMIFS(Practices_SubPractices[C],Practices_SubPractices[CP],"4",Practices_SubPractices[Org],"Medium"),IF(AND(Practices_SubPractices[CP]=5,Practices_SubPractices[Org]="Medium"),SUMIFS(Practices_SubPractices[C],Practices_SubPractices[CP],"5",Practices_SubPractices[Org],"Medium"),IF(AND(Practices_SubPractices[CP]=6,Practices_SubPractices[Org]="Medium"),SUMIFS(Practices_SubPractices[C],Practices_SubPractices[CP],"6",Practices_SubPractices[Org],"Medium"),IF(AND(Practices_SubPractices[CP]=7,Practices_SubPractices[Org] ="Medium"),SUMIFS(Practices_SubPractices[C],Practices_SubPractices[CP],"7",Practices_SubPractices[Org],"Medium"),IF(AND(Practices_SubPractices[CP]=8,Practices_SubPractices[Org] ="Medium"),SUMIFS(Practices_SubPractices[C],Practices_SubPractices[CP],"8",Practices_SubPractices[Org],"Medium"),IF(AND(Practices_SubPractices[CP]=9,Practices_SubPractices[Org] ="Medium"),SUMIFS(Practices_SubPractices[C],Practices_SubPractices[CP],"9",Practices_SubPractices[Org],"Medium"),IF(AND(Practices_SubPractices[CP]=10,Practices_SubPractices[Org] ="Medium"),SUMIFS(Practices_SubPractices[C],Practices_SubPractices[CP],"10",Practices_SubPractices[Org],"Medium"),IF(AND(Practices_SubPractices[CP]=1,Practices_SubPractices[Org]="Large"),SUMIFS(Practices_SubPractices[C],Practices_SubPractices[CP],"1",Practices_SubPractices[Org],"Large"),IF(AND(Practices_SubPractices[CP]=2,Practices_SubPractices[Org]="Large"),SUMIFS(Practices_SubPractices[C],Practices_SubPractices[CP],"2",Practices_SubPractices[Org],"Large"),IF(AND(Practices_SubPractices[CP]=3,Practices_SubPractices[Org]="Large"),SUMIFS(Practices_SubPractices[C],Practices_SubPractices[CP],"3",Practices_SubPractices[Org],"Large"),IF(AND(Practices_SubPractices[CP]=4,Practices_SubPractices[Org]="Large"),SUMIFS(Practices_SubPractices[C],Practices_SubPractices[CP],"4",Practices_SubPractices[Org],"Large"),IF(AND(Practices_SubPractices[CP]=5,Practices_SubPractices[Org]="Large"),SUMIFS(Practices_SubPractices[C],Practices_SubPractices[CP],"5",Practices_SubPractices[Org],"Large"),IF(AND(Practices_SubPractices[CP]=6,Practices_SubPractices[Org]="Large"),SUMIFS(Practices_SubPractices[C],Practices_SubPractices[CP],"6",Practices_SubPractices[Org],"Large"),IF(AND(Practices_SubPractices[CP]=7,Practices_SubPractices[Org] ="Large"),SUMIFS(Practices_SubPractices[C],Practices_SubPractices[CP],"7",Practices_SubPractices[Org],"Large"),IF(AND(Practices_SubPractices[CP]=8,Practices_SubPractices[Org] ="Large"),SUMIFS(Practices_SubPractices[C],Practices_SubPractices[CP],"8",Practices_SubPractices[Org],"Large"),IF(AND(Practices_SubPractices[CP]=9,Practices_SubPractices[Org] ="Large"),SUMIFS(Practices_SubPractices[C],Practices_SubPractices[CP],"9",Practices_SubPractices[Org],"Large"),IF(AND(Practices_SubPractices[CP]=10,Practices_SubPractices[Org] ="Large"),SUMIFS(Practices_SubPractices[C],Practices_SubPractices[CP],"10",Practices_SubPractices[Org],"Large"),"TBD"))))))))))))))))))))))))))))))</f>
        <v>2</v>
      </c>
      <c r="Q73" s="77">
        <f>IF(AND(Practices_SubPractices[CP]=1,Practices_SubPractices[Org]="Small"),SUMIFS(Practices_SubPractices[D],Practices_SubPractices[CP],"1",Practices_SubPractices[Org],"Small"),IF(AND(Practices_SubPractices[CP]=2,Practices_SubPractices[Org]="Small"),SUMIFS(Practices_SubPractices[D],Practices_SubPractices[CP],"2",Practices_SubPractices[Org],"Small"),IF(AND(Practices_SubPractices[CP]=3,Practices_SubPractices[Org]="Small"),SUMIFS(Practices_SubPractices[D],Practices_SubPractices[CP],"3",Practices_SubPractices[Org],"Small"),IF(AND(Practices_SubPractices[CP]=4,Practices_SubPractices[Org]="Small"),SUMIFS(Practices_SubPractices[D],Practices_SubPractices[CP],"4",Practices_SubPractices[Org],"Small"),IF(AND(Practices_SubPractices[CP]=5,Practices_SubPractices[Org]="Small"),SUMIFS(Practices_SubPractices[D],Practices_SubPractices[CP],"5",Practices_SubPractices[Org],"Small"),IF(AND(Practices_SubPractices[CP]=6,Practices_SubPractices[Org]="Small"),SUMIFS(Practices_SubPractices[D],Practices_SubPractices[CP],"6",Practices_SubPractices[Org],"Small"),IF(AND(Practices_SubPractices[CP]=7,Practices_SubPractices[Org] ="Small"),SUMIFS(Practices_SubPractices[D],Practices_SubPractices[CP],"7",Practices_SubPractices[Org],"Small"),IF(AND(Practices_SubPractices[CP]=8,Practices_SubPractices[Org] ="Small"),SUMIFS(Practices_SubPractices[D],Practices_SubPractices[CP],"8",Practices_SubPractices[Org],"Small"),IF(AND(Practices_SubPractices[CP]=9,Practices_SubPractices[Org] ="Small"),SUMIFS(Practices_SubPractices[D],Practices_SubPractices[CP],"9",Practices_SubPractices[Org],"Small"),IF(AND(Practices_SubPractices[CP]=10,Practices_SubPractices[Org] ="Small"),SUMIFS(Practices_SubPractices[D],Practices_SubPractices[CP],"10",Practices_SubPractices[Org],"Small"),IF(AND(Practices_SubPractices[CP]=1,Practices_SubPractices[Org]="Medium"),SUMIFS(Practices_SubPractices[D],Practices_SubPractices[CP],"1",Practices_SubPractices[Org],"Medium"),IF(AND(Practices_SubPractices[CP]=2,Practices_SubPractices[Org]="Medium"),SUMIFS(Practices_SubPractices[D],Practices_SubPractices[CP],"2",Practices_SubPractices[Org],"Medium"),IF(AND(Practices_SubPractices[CP]=3,Practices_SubPractices[Org]="Medium"),SUMIFS(Practices_SubPractices[D],Practices_SubPractices[CP],"3",Practices_SubPractices[Org],"Medium"),IF(AND(Practices_SubPractices[CP]=4,Practices_SubPractices[Org]="Medium"),SUMIFS(Practices_SubPractices[D],Practices_SubPractices[CP],"4",Practices_SubPractices[Org],"Medium"),IF(AND(Practices_SubPractices[CP]=5,Practices_SubPractices[Org]="Medium"),SUMIFS(Practices_SubPractices[D],Practices_SubPractices[CP],"5",Practices_SubPractices[Org],"Medium"),IF(AND(Practices_SubPractices[CP]=6,Practices_SubPractices[Org]="Medium"),SUMIFS(Practices_SubPractices[D],Practices_SubPractices[CP],"6",Practices_SubPractices[Org],"Medium"),IF(AND(Practices_SubPractices[CP]=7,Practices_SubPractices[Org] ="Medium"),SUMIFS(Practices_SubPractices[D],Practices_SubPractices[CP],"7",Practices_SubPractices[Org],"Medium"),IF(AND(Practices_SubPractices[CP]=8,Practices_SubPractices[Org] ="Medium"),SUMIFS(Practices_SubPractices[D],Practices_SubPractices[CP],"8",Practices_SubPractices[Org],"Medium"),IF(AND(Practices_SubPractices[CP]=9,Practices_SubPractices[Org] ="Medium"),SUMIFS(Practices_SubPractices[D],Practices_SubPractices[CP],"9",Practices_SubPractices[Org],"Medium"),IF(AND(Practices_SubPractices[CP]=10,Practices_SubPractices[Org] ="Medium"),SUMIFS(Practices_SubPractices[D],Practices_SubPractices[CP],"10",Practices_SubPractices[Org],"Medium"),IF(AND(Practices_SubPractices[CP]=1,Practices_SubPractices[Org]="Large"),SUMIFS(Practices_SubPractices[D],Practices_SubPractices[CP],"1",Practices_SubPractices[Org],"Large"),IF(AND(Practices_SubPractices[CP]=2,Practices_SubPractices[Org]="Large"),SUMIFS(Practices_SubPractices[D],Practices_SubPractices[CP],"2",Practices_SubPractices[Org],"Large"),IF(AND(Practices_SubPractices[CP]=3,Practices_SubPractices[Org]="Large"),SUMIFS(Practices_SubPractices[D],Practices_SubPractices[CP],"3",Practices_SubPractices[Org],"Large"),IF(AND(Practices_SubPractices[CP]=4,Practices_SubPractices[Org]="Large"),SUMIFS(Practices_SubPractices[D],Practices_SubPractices[CP],"4",Practices_SubPractices[Org],"Large"),IF(AND(Practices_SubPractices[CP]=5,Practices_SubPractices[Org]="Large"),SUMIFS(Practices_SubPractices[D],Practices_SubPractices[CP],"5",Practices_SubPractices[Org],"Large"),IF(AND(Practices_SubPractices[CP]=6,Practices_SubPractices[Org]="Large"),SUMIFS(Practices_SubPractices[D],Practices_SubPractices[CP],"6",Practices_SubPractices[Org],"Large"),IF(AND(Practices_SubPractices[CP]=7,Practices_SubPractices[Org] ="Large"),SUMIFS(Practices_SubPractices[D],Practices_SubPractices[CP],"7",Practices_SubPractices[Org],"Large"),IF(AND(Practices_SubPractices[CP]=8,Practices_SubPractices[Org] ="Large"),SUMIFS(Practices_SubPractices[D],Practices_SubPractices[CP],"8",Practices_SubPractices[Org],"Large"),IF(AND(Practices_SubPractices[CP]=9,Practices_SubPractices[Org] ="Large"),SUMIFS(Practices_SubPractices[D],Practices_SubPractices[CP],"9",Practices_SubPractices[Org],"Large"),IF(AND(Practices_SubPractices[CP]=10,Practices_SubPractices[Org] ="Large"),SUMIFS(Practices_SubPractices[D],Practices_SubPractices[CP],"10",Practices_SubPractices[Org],"Large"),"TBD"))))))))))))))))))))))))))))))</f>
        <v>13</v>
      </c>
      <c r="R73" s="77">
        <f>IF(AND(Practices_SubPractices[CP]=1,Practices_SubPractices[Org]="Small"),SUMIFS(Practices_SubPractices[E],Practices_SubPractices[CP],"1",Practices_SubPractices[Org],"Small"),IF(AND(Practices_SubPractices[CP]=2,Practices_SubPractices[Org]="Small"),SUMIFS(Practices_SubPractices[E],Practices_SubPractices[CP],"2",Practices_SubPractices[Org],"Small"),IF(AND(Practices_SubPractices[CP]=3,Practices_SubPractices[Org]="Small"),SUMIFS(Practices_SubPractices[E],Practices_SubPractices[CP],"3",Practices_SubPractices[Org],"Small"),IF(AND(Practices_SubPractices[CP]=4,Practices_SubPractices[Org]="Small"),SUMIFS(Practices_SubPractices[E],Practices_SubPractices[CP],"4",Practices_SubPractices[Org],"Small"),IF(AND(Practices_SubPractices[CP]=5,Practices_SubPractices[Org]="Small"),SUMIFS(Practices_SubPractices[E],Practices_SubPractices[CP],"5",Practices_SubPractices[Org],"Small"),IF(AND(Practices_SubPractices[CP]=6,Practices_SubPractices[Org]="Small"),SUMIFS(Practices_SubPractices[E],Practices_SubPractices[CP],"6",Practices_SubPractices[Org],"Small"),IF(AND(Practices_SubPractices[CP]=7,Practices_SubPractices[Org] ="Small"),SUMIFS(Practices_SubPractices[E],Practices_SubPractices[CP],"7",Practices_SubPractices[Org],"Small"),IF(AND(Practices_SubPractices[CP]=8,Practices_SubPractices[Org] ="Small"),SUMIFS(Practices_SubPractices[E],Practices_SubPractices[CP],"8",Practices_SubPractices[Org],"Small"),IF(AND(Practices_SubPractices[CP]=9,Practices_SubPractices[Org] ="Small"),SUMIFS(Practices_SubPractices[E],Practices_SubPractices[CP],"9",Practices_SubPractices[Org],"Small"),IF(AND(Practices_SubPractices[CP]=10,Practices_SubPractices[Org] ="Small"),SUMIFS(Practices_SubPractices[E],Practices_SubPractices[CP],"10",Practices_SubPractices[Org],"Small"),IF(AND(Practices_SubPractices[CP]=1,Practices_SubPractices[Org]="Medium"),SUMIFS(Practices_SubPractices[E],Practices_SubPractices[CP],"1",Practices_SubPractices[Org],"Medium"),IF(AND(Practices_SubPractices[CP]=2,Practices_SubPractices[Org]="Medium"),SUMIFS(Practices_SubPractices[E],Practices_SubPractices[CP],"2",Practices_SubPractices[Org],"Medium"),IF(AND(Practices_SubPractices[CP]=3,Practices_SubPractices[Org]="Medium"),SUMIFS(Practices_SubPractices[E],Practices_SubPractices[CP],"3",Practices_SubPractices[Org],"Medium"),IF(AND(Practices_SubPractices[CP]=4,Practices_SubPractices[Org]="Medium"),SUMIFS(Practices_SubPractices[E],Practices_SubPractices[CP],"4",Practices_SubPractices[Org],"Medium"),IF(AND(Practices_SubPractices[CP]=5,Practices_SubPractices[Org]="Medium"),SUMIFS(Practices_SubPractices[E],Practices_SubPractices[CP],"5",Practices_SubPractices[Org],"Medium"),IF(AND(Practices_SubPractices[CP]=6,Practices_SubPractices[Org]="Medium"),SUMIFS(Practices_SubPractices[E],Practices_SubPractices[CP],"6",Practices_SubPractices[Org],"Medium"),IF(AND(Practices_SubPractices[CP]=7,Practices_SubPractices[Org] ="Medium"),SUMIFS(Practices_SubPractices[E],Practices_SubPractices[CP],"7",Practices_SubPractices[Org],"Medium"),IF(AND(Practices_SubPractices[CP]=8,Practices_SubPractices[Org] ="Medium"),SUMIFS(Practices_SubPractices[E],Practices_SubPractices[CP],"8",Practices_SubPractices[Org],"Medium"),IF(AND(Practices_SubPractices[CP]=9,Practices_SubPractices[Org] ="Medium"),SUMIFS(Practices_SubPractices[E],Practices_SubPractices[CP],"9",Practices_SubPractices[Org],"Medium"),IF(AND(Practices_SubPractices[CP]=10,Practices_SubPractices[Org] ="Medium"),SUMIFS(Practices_SubPractices[E],Practices_SubPractices[CP],"10",Practices_SubPractices[Org],"Medium"),IF(AND(Practices_SubPractices[CP]=1,Practices_SubPractices[Org]="Large"),SUMIFS(Practices_SubPractices[E],Practices_SubPractices[CP],"1",Practices_SubPractices[Org],"Large"),IF(AND(Practices_SubPractices[CP]=2,Practices_SubPractices[Org]="Large"),SUMIFS(Practices_SubPractices[E],Practices_SubPractices[CP],"2",Practices_SubPractices[Org],"Large"),IF(AND(Practices_SubPractices[CP]=3,Practices_SubPractices[Org]="Large"),SUMIFS(Practices_SubPractices[E],Practices_SubPractices[CP],"3",Practices_SubPractices[Org],"Large"),IF(AND(Practices_SubPractices[CP]=4,Practices_SubPractices[Org]="Large"),SUMIFS(Practices_SubPractices[E],Practices_SubPractices[CP],"4",Practices_SubPractices[Org],"Large"),IF(AND(Practices_SubPractices[CP]=5,Practices_SubPractices[Org]="Large"),SUMIFS(Practices_SubPractices[E],Practices_SubPractices[CP],"5",Practices_SubPractices[Org],"Large"),IF(AND(Practices_SubPractices[CP]=6,Practices_SubPractices[Org]="Large"),SUMIFS(Practices_SubPractices[E],Practices_SubPractices[CP],"6",Practices_SubPractices[Org],"Large"),IF(AND(Practices_SubPractices[CP]=7,Practices_SubPractices[Org] ="Large"),SUMIFS(Practices_SubPractices[E],Practices_SubPractices[CP],"7",Practices_SubPractices[Org],"Large"),IF(AND(Practices_SubPractices[CP]=8,Practices_SubPractices[Org] ="Large"),SUMIFS(Practices_SubPractices[E],Practices_SubPractices[CP],"8",Practices_SubPractices[Org],"Large"),IF(AND(Practices_SubPractices[CP]=9,Practices_SubPractices[Org] ="Large"),SUMIFS(Practices_SubPractices[E],Practices_SubPractices[CP],"9",Practices_SubPractices[Org],"Large"),IF(AND(Practices_SubPractices[CP]=10,Practices_SubPractices[Org] ="Large"),SUMIFS(Practices_SubPractices[E],Practices_SubPractices[CP],"10",Practices_SubPractices[Org],"Large"),"TBD"))))))))))))))))))))))))))))))</f>
        <v>12</v>
      </c>
      <c r="S73" s="87" t="s">
        <v>422</v>
      </c>
    </row>
    <row r="74" spans="1:19" x14ac:dyDescent="0.35">
      <c r="A74" s="73">
        <v>64</v>
      </c>
      <c r="B74" s="73">
        <v>6</v>
      </c>
      <c r="C74" s="73" t="s">
        <v>11</v>
      </c>
      <c r="D74" s="73" t="str">
        <f>Practices_SubPractices[[#This Row],[CP]]&amp;LEFT(Practices_SubPractices[[#This Row],[Org]],1)</f>
        <v>6M</v>
      </c>
      <c r="E74" s="73" t="s">
        <v>212</v>
      </c>
      <c r="F74" s="74" t="s">
        <v>235</v>
      </c>
      <c r="G74" s="74" t="s">
        <v>121</v>
      </c>
      <c r="H74" s="74" t="s">
        <v>239</v>
      </c>
      <c r="I74" s="75">
        <v>0</v>
      </c>
      <c r="J74" s="75">
        <v>0</v>
      </c>
      <c r="K74" s="75">
        <v>0</v>
      </c>
      <c r="L74" s="75">
        <v>1</v>
      </c>
      <c r="M74" s="75">
        <v>1</v>
      </c>
      <c r="N74" s="76"/>
      <c r="O74" s="77">
        <f>IF(AND(Practices_SubPractices[CP]=1,Practices_SubPractices[Org]="Small"),SUMIFS(Practices_SubPractices[B],Practices_SubPractices[CP],"1",Practices_SubPractices[Org],"Small"),IF(AND(Practices_SubPractices[CP]=2,Practices_SubPractices[Org]="Small"),SUMIFS(Practices_SubPractices[B],Practices_SubPractices[CP],"2",Practices_SubPractices[Org],"Small"),IF(AND(Practices_SubPractices[CP]=3,Practices_SubPractices[Org]="Small"),SUMIFS(Practices_SubPractices[B],Practices_SubPractices[CP],"3",Practices_SubPractices[Org],"Small"),IF(AND(Practices_SubPractices[CP]=4,Practices_SubPractices[Org]="Small"),SUMIFS(Practices_SubPractices[B],Practices_SubPractices[CP],"4",Practices_SubPractices[Org],"Small"),IF(AND(Practices_SubPractices[CP]=5,Practices_SubPractices[Org]="Small"),SUMIFS(Practices_SubPractices[B],Practices_SubPractices[CP],"5",Practices_SubPractices[Org],"Small"),IF(AND(Practices_SubPractices[CP]=6,Practices_SubPractices[Org]="Small"),SUMIFS(Practices_SubPractices[B],Practices_SubPractices[CP],"6",Practices_SubPractices[Org],"Small"),IF(AND(Practices_SubPractices[CP]=7,Practices_SubPractices[Org] ="Small"),SUMIFS(Practices_SubPractices[B],Practices_SubPractices[CP],"7",Practices_SubPractices[Org],"Small"),IF(AND(Practices_SubPractices[CP]=8,Practices_SubPractices[Org] ="Small"),SUMIFS(Practices_SubPractices[B],Practices_SubPractices[CP],"8",Practices_SubPractices[Org],"Small"),IF(AND(Practices_SubPractices[CP]=9,Practices_SubPractices[Org] ="Small"),SUMIFS(Practices_SubPractices[B],Practices_SubPractices[CP],"9",Practices_SubPractices[Org],"Small"),IF(AND(Practices_SubPractices[CP]=10,Practices_SubPractices[Org] ="Small"),SUMIFS(Practices_SubPractices[B],Practices_SubPractices[CP],"10",Practices_SubPractices[Org],"Small"),IF(AND(Practices_SubPractices[CP]=1,Practices_SubPractices[Org]="Medium"),SUMIFS(Practices_SubPractices[B],Practices_SubPractices[CP],"1",Practices_SubPractices[Org],"Medium"),IF(AND(Practices_SubPractices[CP]=2,Practices_SubPractices[Org]="Medium"),SUMIFS(Practices_SubPractices[B],Practices_SubPractices[CP],"2",Practices_SubPractices[Org],"Medium"),IF(AND(Practices_SubPractices[CP]=3,Practices_SubPractices[Org]="Medium"),SUMIFS(Practices_SubPractices[B],Practices_SubPractices[CP],"3",Practices_SubPractices[Org],"Medium"),IF(AND(Practices_SubPractices[CP]=4,Practices_SubPractices[Org]="Medium"),SUMIFS(Practices_SubPractices[B],Practices_SubPractices[CP],"4",Practices_SubPractices[Org],"Medium"),IF(AND(Practices_SubPractices[CP]=5,Practices_SubPractices[Org]="Medium"),SUMIFS(Practices_SubPractices[B],Practices_SubPractices[CP],"5",Practices_SubPractices[Org],"Medium"),IF(AND(Practices_SubPractices[CP]=6,Practices_SubPractices[Org]="Medium"),SUMIFS(Practices_SubPractices[B],Practices_SubPractices[CP],"6",Practices_SubPractices[Org],"Medium"),IF(AND(Practices_SubPractices[CP]=7,Practices_SubPractices[Org] ="Medium"),SUMIFS(Practices_SubPractices[B],Practices_SubPractices[CP],"7",Practices_SubPractices[Org],"Medium"),IF(AND(Practices_SubPractices[CP]=8,Practices_SubPractices[Org] ="Medium"),SUMIFS(Practices_SubPractices[B],Practices_SubPractices[CP],"8",Practices_SubPractices[Org],"Medium"),IF(AND(Practices_SubPractices[CP]=9,Practices_SubPractices[Org] ="Medium"),SUMIFS(Practices_SubPractices[B],Practices_SubPractices[CP],"9",Practices_SubPractices[Org],"Medium"),IF(AND(Practices_SubPractices[CP]=10,Practices_SubPractices[Org] ="Medium"),SUMIFS(Practices_SubPractices[B],Practices_SubPractices[CP],"10",Practices_SubPractices[Org],"Medium"),IF(AND(Practices_SubPractices[CP]=1,Practices_SubPractices[Org]="Large"),SUMIFS(Practices_SubPractices[B],Practices_SubPractices[CP],"1",Practices_SubPractices[Org],"Large"),IF(AND(Practices_SubPractices[CP]=2,Practices_SubPractices[Org]="Large"),SUMIFS(Practices_SubPractices[B],Practices_SubPractices[CP],"2",Practices_SubPractices[Org],"Large"),IF(AND(Practices_SubPractices[CP]=3,Practices_SubPractices[Org]="Large"),SUMIFS(Practices_SubPractices[B],Practices_SubPractices[CP],"3",Practices_SubPractices[Org],"Large"),IF(AND(Practices_SubPractices[CP]=4,Practices_SubPractices[Org]="Large"),SUMIFS(Practices_SubPractices[B],Practices_SubPractices[CP],"4",Practices_SubPractices[Org],"Large"),IF(AND(Practices_SubPractices[CP]=5,Practices_SubPractices[Org]="Large"),SUMIFS(Practices_SubPractices[B],Practices_SubPractices[CP],"5",Practices_SubPractices[Org],"Large"),IF(AND(Practices_SubPractices[CP]=6,Practices_SubPractices[Org]="Large"),SUMIFS(Practices_SubPractices[B],Practices_SubPractices[CP],"6",Practices_SubPractices[Org],"Large"),IF(AND(Practices_SubPractices[CP]=7,Practices_SubPractices[Org] ="Large"),SUMIFS(Practices_SubPractices[B],Practices_SubPractices[CP],"7",Practices_SubPractices[Org],"Large"),IF(AND(Practices_SubPractices[CP]=8,Practices_SubPractices[Org] ="Large"),SUMIFS(Practices_SubPractices[B],Practices_SubPractices[CP],"8",Practices_SubPractices[Org],"Large"),IF(AND(Practices_SubPractices[CP]=9,Practices_SubPractices[Org] ="Large"),SUMIFS(Practices_SubPractices[B],Practices_SubPractices[CP],"9",Practices_SubPractices[Org],"Large"),IF(AND(Practices_SubPractices[CP]=10,Practices_SubPractices[Org] ="Large"),SUMIFS(Practices_SubPractices[B],Practices_SubPractices[CP],"10",Practices_SubPractices[Org],"Large"),"TBD"))))))))))))))))))))))))))))))</f>
        <v>7</v>
      </c>
      <c r="P74" s="77">
        <f>IF(AND(Practices_SubPractices[CP]=1,Practices_SubPractices[Org]="Small"),SUMIFS(Practices_SubPractices[C],Practices_SubPractices[CP],"1",Practices_SubPractices[Org],"Small"),IF(AND(Practices_SubPractices[CP]=2,Practices_SubPractices[Org]="Small"),SUMIFS(Practices_SubPractices[C],Practices_SubPractices[CP],"2",Practices_SubPractices[Org],"Small"),IF(AND(Practices_SubPractices[CP]=3,Practices_SubPractices[Org]="Small"),SUMIFS(Practices_SubPractices[C],Practices_SubPractices[CP],"3",Practices_SubPractices[Org],"Small"),IF(AND(Practices_SubPractices[CP]=4,Practices_SubPractices[Org]="Small"),SUMIFS(Practices_SubPractices[C],Practices_SubPractices[CP],"4",Practices_SubPractices[Org],"Small"),IF(AND(Practices_SubPractices[CP]=5,Practices_SubPractices[Org]="Small"),SUMIFS(Practices_SubPractices[C],Practices_SubPractices[CP],"5",Practices_SubPractices[Org],"Small"),IF(AND(Practices_SubPractices[CP]=6,Practices_SubPractices[Org]="Small"),SUMIFS(Practices_SubPractices[C],Practices_SubPractices[CP],"6",Practices_SubPractices[Org],"Small"),IF(AND(Practices_SubPractices[CP]=7,Practices_SubPractices[Org] ="Small"),SUMIFS(Practices_SubPractices[C],Practices_SubPractices[CP],"7",Practices_SubPractices[Org],"Small"),IF(AND(Practices_SubPractices[CP]=8,Practices_SubPractices[Org] ="Small"),SUMIFS(Practices_SubPractices[C],Practices_SubPractices[CP],"8",Practices_SubPractices[Org],"Small"),IF(AND(Practices_SubPractices[CP]=9,Practices_SubPractices[Org] ="Small"),SUMIFS(Practices_SubPractices[C],Practices_SubPractices[CP],"9",Practices_SubPractices[Org],"Small"),IF(AND(Practices_SubPractices[CP]=10,Practices_SubPractices[Org] ="Small"),SUMIFS(Practices_SubPractices[C],Practices_SubPractices[CP],"10",Practices_SubPractices[Org],"Small"),IF(AND(Practices_SubPractices[CP]=1,Practices_SubPractices[Org]="Medium"),SUMIFS(Practices_SubPractices[C],Practices_SubPractices[CP],"1",Practices_SubPractices[Org],"Medium"),IF(AND(Practices_SubPractices[CP]=2,Practices_SubPractices[Org]="Medium"),SUMIFS(Practices_SubPractices[C],Practices_SubPractices[CP],"2",Practices_SubPractices[Org],"Medium"),IF(AND(Practices_SubPractices[CP]=3,Practices_SubPractices[Org]="Medium"),SUMIFS(Practices_SubPractices[C],Practices_SubPractices[CP],"3",Practices_SubPractices[Org],"Medium"),IF(AND(Practices_SubPractices[CP]=4,Practices_SubPractices[Org]="Medium"),SUMIFS(Practices_SubPractices[C],Practices_SubPractices[CP],"4",Practices_SubPractices[Org],"Medium"),IF(AND(Practices_SubPractices[CP]=5,Practices_SubPractices[Org]="Medium"),SUMIFS(Practices_SubPractices[C],Practices_SubPractices[CP],"5",Practices_SubPractices[Org],"Medium"),IF(AND(Practices_SubPractices[CP]=6,Practices_SubPractices[Org]="Medium"),SUMIFS(Practices_SubPractices[C],Practices_SubPractices[CP],"6",Practices_SubPractices[Org],"Medium"),IF(AND(Practices_SubPractices[CP]=7,Practices_SubPractices[Org] ="Medium"),SUMIFS(Practices_SubPractices[C],Practices_SubPractices[CP],"7",Practices_SubPractices[Org],"Medium"),IF(AND(Practices_SubPractices[CP]=8,Practices_SubPractices[Org] ="Medium"),SUMIFS(Practices_SubPractices[C],Practices_SubPractices[CP],"8",Practices_SubPractices[Org],"Medium"),IF(AND(Practices_SubPractices[CP]=9,Practices_SubPractices[Org] ="Medium"),SUMIFS(Practices_SubPractices[C],Practices_SubPractices[CP],"9",Practices_SubPractices[Org],"Medium"),IF(AND(Practices_SubPractices[CP]=10,Practices_SubPractices[Org] ="Medium"),SUMIFS(Practices_SubPractices[C],Practices_SubPractices[CP],"10",Practices_SubPractices[Org],"Medium"),IF(AND(Practices_SubPractices[CP]=1,Practices_SubPractices[Org]="Large"),SUMIFS(Practices_SubPractices[C],Practices_SubPractices[CP],"1",Practices_SubPractices[Org],"Large"),IF(AND(Practices_SubPractices[CP]=2,Practices_SubPractices[Org]="Large"),SUMIFS(Practices_SubPractices[C],Practices_SubPractices[CP],"2",Practices_SubPractices[Org],"Large"),IF(AND(Practices_SubPractices[CP]=3,Practices_SubPractices[Org]="Large"),SUMIFS(Practices_SubPractices[C],Practices_SubPractices[CP],"3",Practices_SubPractices[Org],"Large"),IF(AND(Practices_SubPractices[CP]=4,Practices_SubPractices[Org]="Large"),SUMIFS(Practices_SubPractices[C],Practices_SubPractices[CP],"4",Practices_SubPractices[Org],"Large"),IF(AND(Practices_SubPractices[CP]=5,Practices_SubPractices[Org]="Large"),SUMIFS(Practices_SubPractices[C],Practices_SubPractices[CP],"5",Practices_SubPractices[Org],"Large"),IF(AND(Practices_SubPractices[CP]=6,Practices_SubPractices[Org]="Large"),SUMIFS(Practices_SubPractices[C],Practices_SubPractices[CP],"6",Practices_SubPractices[Org],"Large"),IF(AND(Practices_SubPractices[CP]=7,Practices_SubPractices[Org] ="Large"),SUMIFS(Practices_SubPractices[C],Practices_SubPractices[CP],"7",Practices_SubPractices[Org],"Large"),IF(AND(Practices_SubPractices[CP]=8,Practices_SubPractices[Org] ="Large"),SUMIFS(Practices_SubPractices[C],Practices_SubPractices[CP],"8",Practices_SubPractices[Org],"Large"),IF(AND(Practices_SubPractices[CP]=9,Practices_SubPractices[Org] ="Large"),SUMIFS(Practices_SubPractices[C],Practices_SubPractices[CP],"9",Practices_SubPractices[Org],"Large"),IF(AND(Practices_SubPractices[CP]=10,Practices_SubPractices[Org] ="Large"),SUMIFS(Practices_SubPractices[C],Practices_SubPractices[CP],"10",Practices_SubPractices[Org],"Large"),"TBD"))))))))))))))))))))))))))))))</f>
        <v>0</v>
      </c>
      <c r="Q74" s="77">
        <f>IF(AND(Practices_SubPractices[CP]=1,Practices_SubPractices[Org]="Small"),SUMIFS(Practices_SubPractices[D],Practices_SubPractices[CP],"1",Practices_SubPractices[Org],"Small"),IF(AND(Practices_SubPractices[CP]=2,Practices_SubPractices[Org]="Small"),SUMIFS(Practices_SubPractices[D],Practices_SubPractices[CP],"2",Practices_SubPractices[Org],"Small"),IF(AND(Practices_SubPractices[CP]=3,Practices_SubPractices[Org]="Small"),SUMIFS(Practices_SubPractices[D],Practices_SubPractices[CP],"3",Practices_SubPractices[Org],"Small"),IF(AND(Practices_SubPractices[CP]=4,Practices_SubPractices[Org]="Small"),SUMIFS(Practices_SubPractices[D],Practices_SubPractices[CP],"4",Practices_SubPractices[Org],"Small"),IF(AND(Practices_SubPractices[CP]=5,Practices_SubPractices[Org]="Small"),SUMIFS(Practices_SubPractices[D],Practices_SubPractices[CP],"5",Practices_SubPractices[Org],"Small"),IF(AND(Practices_SubPractices[CP]=6,Practices_SubPractices[Org]="Small"),SUMIFS(Practices_SubPractices[D],Practices_SubPractices[CP],"6",Practices_SubPractices[Org],"Small"),IF(AND(Practices_SubPractices[CP]=7,Practices_SubPractices[Org] ="Small"),SUMIFS(Practices_SubPractices[D],Practices_SubPractices[CP],"7",Practices_SubPractices[Org],"Small"),IF(AND(Practices_SubPractices[CP]=8,Practices_SubPractices[Org] ="Small"),SUMIFS(Practices_SubPractices[D],Practices_SubPractices[CP],"8",Practices_SubPractices[Org],"Small"),IF(AND(Practices_SubPractices[CP]=9,Practices_SubPractices[Org] ="Small"),SUMIFS(Practices_SubPractices[D],Practices_SubPractices[CP],"9",Practices_SubPractices[Org],"Small"),IF(AND(Practices_SubPractices[CP]=10,Practices_SubPractices[Org] ="Small"),SUMIFS(Practices_SubPractices[D],Practices_SubPractices[CP],"10",Practices_SubPractices[Org],"Small"),IF(AND(Practices_SubPractices[CP]=1,Practices_SubPractices[Org]="Medium"),SUMIFS(Practices_SubPractices[D],Practices_SubPractices[CP],"1",Practices_SubPractices[Org],"Medium"),IF(AND(Practices_SubPractices[CP]=2,Practices_SubPractices[Org]="Medium"),SUMIFS(Practices_SubPractices[D],Practices_SubPractices[CP],"2",Practices_SubPractices[Org],"Medium"),IF(AND(Practices_SubPractices[CP]=3,Practices_SubPractices[Org]="Medium"),SUMIFS(Practices_SubPractices[D],Practices_SubPractices[CP],"3",Practices_SubPractices[Org],"Medium"),IF(AND(Practices_SubPractices[CP]=4,Practices_SubPractices[Org]="Medium"),SUMIFS(Practices_SubPractices[D],Practices_SubPractices[CP],"4",Practices_SubPractices[Org],"Medium"),IF(AND(Practices_SubPractices[CP]=5,Practices_SubPractices[Org]="Medium"),SUMIFS(Practices_SubPractices[D],Practices_SubPractices[CP],"5",Practices_SubPractices[Org],"Medium"),IF(AND(Practices_SubPractices[CP]=6,Practices_SubPractices[Org]="Medium"),SUMIFS(Practices_SubPractices[D],Practices_SubPractices[CP],"6",Practices_SubPractices[Org],"Medium"),IF(AND(Practices_SubPractices[CP]=7,Practices_SubPractices[Org] ="Medium"),SUMIFS(Practices_SubPractices[D],Practices_SubPractices[CP],"7",Practices_SubPractices[Org],"Medium"),IF(AND(Practices_SubPractices[CP]=8,Practices_SubPractices[Org] ="Medium"),SUMIFS(Practices_SubPractices[D],Practices_SubPractices[CP],"8",Practices_SubPractices[Org],"Medium"),IF(AND(Practices_SubPractices[CP]=9,Practices_SubPractices[Org] ="Medium"),SUMIFS(Practices_SubPractices[D],Practices_SubPractices[CP],"9",Practices_SubPractices[Org],"Medium"),IF(AND(Practices_SubPractices[CP]=10,Practices_SubPractices[Org] ="Medium"),SUMIFS(Practices_SubPractices[D],Practices_SubPractices[CP],"10",Practices_SubPractices[Org],"Medium"),IF(AND(Practices_SubPractices[CP]=1,Practices_SubPractices[Org]="Large"),SUMIFS(Practices_SubPractices[D],Practices_SubPractices[CP],"1",Practices_SubPractices[Org],"Large"),IF(AND(Practices_SubPractices[CP]=2,Practices_SubPractices[Org]="Large"),SUMIFS(Practices_SubPractices[D],Practices_SubPractices[CP],"2",Practices_SubPractices[Org],"Large"),IF(AND(Practices_SubPractices[CP]=3,Practices_SubPractices[Org]="Large"),SUMIFS(Practices_SubPractices[D],Practices_SubPractices[CP],"3",Practices_SubPractices[Org],"Large"),IF(AND(Practices_SubPractices[CP]=4,Practices_SubPractices[Org]="Large"),SUMIFS(Practices_SubPractices[D],Practices_SubPractices[CP],"4",Practices_SubPractices[Org],"Large"),IF(AND(Practices_SubPractices[CP]=5,Practices_SubPractices[Org]="Large"),SUMIFS(Practices_SubPractices[D],Practices_SubPractices[CP],"5",Practices_SubPractices[Org],"Large"),IF(AND(Practices_SubPractices[CP]=6,Practices_SubPractices[Org]="Large"),SUMIFS(Practices_SubPractices[D],Practices_SubPractices[CP],"6",Practices_SubPractices[Org],"Large"),IF(AND(Practices_SubPractices[CP]=7,Practices_SubPractices[Org] ="Large"),SUMIFS(Practices_SubPractices[D],Practices_SubPractices[CP],"7",Practices_SubPractices[Org],"Large"),IF(AND(Practices_SubPractices[CP]=8,Practices_SubPractices[Org] ="Large"),SUMIFS(Practices_SubPractices[D],Practices_SubPractices[CP],"8",Practices_SubPractices[Org],"Large"),IF(AND(Practices_SubPractices[CP]=9,Practices_SubPractices[Org] ="Large"),SUMIFS(Practices_SubPractices[D],Practices_SubPractices[CP],"9",Practices_SubPractices[Org],"Large"),IF(AND(Practices_SubPractices[CP]=10,Practices_SubPractices[Org] ="Large"),SUMIFS(Practices_SubPractices[D],Practices_SubPractices[CP],"10",Practices_SubPractices[Org],"Large"),"TBD"))))))))))))))))))))))))))))))</f>
        <v>6</v>
      </c>
      <c r="R74" s="77">
        <f>IF(AND(Practices_SubPractices[CP]=1,Practices_SubPractices[Org]="Small"),SUMIFS(Practices_SubPractices[E],Practices_SubPractices[CP],"1",Practices_SubPractices[Org],"Small"),IF(AND(Practices_SubPractices[CP]=2,Practices_SubPractices[Org]="Small"),SUMIFS(Practices_SubPractices[E],Practices_SubPractices[CP],"2",Practices_SubPractices[Org],"Small"),IF(AND(Practices_SubPractices[CP]=3,Practices_SubPractices[Org]="Small"),SUMIFS(Practices_SubPractices[E],Practices_SubPractices[CP],"3",Practices_SubPractices[Org],"Small"),IF(AND(Practices_SubPractices[CP]=4,Practices_SubPractices[Org]="Small"),SUMIFS(Practices_SubPractices[E],Practices_SubPractices[CP],"4",Practices_SubPractices[Org],"Small"),IF(AND(Practices_SubPractices[CP]=5,Practices_SubPractices[Org]="Small"),SUMIFS(Practices_SubPractices[E],Practices_SubPractices[CP],"5",Practices_SubPractices[Org],"Small"),IF(AND(Practices_SubPractices[CP]=6,Practices_SubPractices[Org]="Small"),SUMIFS(Practices_SubPractices[E],Practices_SubPractices[CP],"6",Practices_SubPractices[Org],"Small"),IF(AND(Practices_SubPractices[CP]=7,Practices_SubPractices[Org] ="Small"),SUMIFS(Practices_SubPractices[E],Practices_SubPractices[CP],"7",Practices_SubPractices[Org],"Small"),IF(AND(Practices_SubPractices[CP]=8,Practices_SubPractices[Org] ="Small"),SUMIFS(Practices_SubPractices[E],Practices_SubPractices[CP],"8",Practices_SubPractices[Org],"Small"),IF(AND(Practices_SubPractices[CP]=9,Practices_SubPractices[Org] ="Small"),SUMIFS(Practices_SubPractices[E],Practices_SubPractices[CP],"9",Practices_SubPractices[Org],"Small"),IF(AND(Practices_SubPractices[CP]=10,Practices_SubPractices[Org] ="Small"),SUMIFS(Practices_SubPractices[E],Practices_SubPractices[CP],"10",Practices_SubPractices[Org],"Small"),IF(AND(Practices_SubPractices[CP]=1,Practices_SubPractices[Org]="Medium"),SUMIFS(Practices_SubPractices[E],Practices_SubPractices[CP],"1",Practices_SubPractices[Org],"Medium"),IF(AND(Practices_SubPractices[CP]=2,Practices_SubPractices[Org]="Medium"),SUMIFS(Practices_SubPractices[E],Practices_SubPractices[CP],"2",Practices_SubPractices[Org],"Medium"),IF(AND(Practices_SubPractices[CP]=3,Practices_SubPractices[Org]="Medium"),SUMIFS(Practices_SubPractices[E],Practices_SubPractices[CP],"3",Practices_SubPractices[Org],"Medium"),IF(AND(Practices_SubPractices[CP]=4,Practices_SubPractices[Org]="Medium"),SUMIFS(Practices_SubPractices[E],Practices_SubPractices[CP],"4",Practices_SubPractices[Org],"Medium"),IF(AND(Practices_SubPractices[CP]=5,Practices_SubPractices[Org]="Medium"),SUMIFS(Practices_SubPractices[E],Practices_SubPractices[CP],"5",Practices_SubPractices[Org],"Medium"),IF(AND(Practices_SubPractices[CP]=6,Practices_SubPractices[Org]="Medium"),SUMIFS(Practices_SubPractices[E],Practices_SubPractices[CP],"6",Practices_SubPractices[Org],"Medium"),IF(AND(Practices_SubPractices[CP]=7,Practices_SubPractices[Org] ="Medium"),SUMIFS(Practices_SubPractices[E],Practices_SubPractices[CP],"7",Practices_SubPractices[Org],"Medium"),IF(AND(Practices_SubPractices[CP]=8,Practices_SubPractices[Org] ="Medium"),SUMIFS(Practices_SubPractices[E],Practices_SubPractices[CP],"8",Practices_SubPractices[Org],"Medium"),IF(AND(Practices_SubPractices[CP]=9,Practices_SubPractices[Org] ="Medium"),SUMIFS(Practices_SubPractices[E],Practices_SubPractices[CP],"9",Practices_SubPractices[Org],"Medium"),IF(AND(Practices_SubPractices[CP]=10,Practices_SubPractices[Org] ="Medium"),SUMIFS(Practices_SubPractices[E],Practices_SubPractices[CP],"10",Practices_SubPractices[Org],"Medium"),IF(AND(Practices_SubPractices[CP]=1,Practices_SubPractices[Org]="Large"),SUMIFS(Practices_SubPractices[E],Practices_SubPractices[CP],"1",Practices_SubPractices[Org],"Large"),IF(AND(Practices_SubPractices[CP]=2,Practices_SubPractices[Org]="Large"),SUMIFS(Practices_SubPractices[E],Practices_SubPractices[CP],"2",Practices_SubPractices[Org],"Large"),IF(AND(Practices_SubPractices[CP]=3,Practices_SubPractices[Org]="Large"),SUMIFS(Practices_SubPractices[E],Practices_SubPractices[CP],"3",Practices_SubPractices[Org],"Large"),IF(AND(Practices_SubPractices[CP]=4,Practices_SubPractices[Org]="Large"),SUMIFS(Practices_SubPractices[E],Practices_SubPractices[CP],"4",Practices_SubPractices[Org],"Large"),IF(AND(Practices_SubPractices[CP]=5,Practices_SubPractices[Org]="Large"),SUMIFS(Practices_SubPractices[E],Practices_SubPractices[CP],"5",Practices_SubPractices[Org],"Large"),IF(AND(Practices_SubPractices[CP]=6,Practices_SubPractices[Org]="Large"),SUMIFS(Practices_SubPractices[E],Practices_SubPractices[CP],"6",Practices_SubPractices[Org],"Large"),IF(AND(Practices_SubPractices[CP]=7,Practices_SubPractices[Org] ="Large"),SUMIFS(Practices_SubPractices[E],Practices_SubPractices[CP],"7",Practices_SubPractices[Org],"Large"),IF(AND(Practices_SubPractices[CP]=8,Practices_SubPractices[Org] ="Large"),SUMIFS(Practices_SubPractices[E],Practices_SubPractices[CP],"8",Practices_SubPractices[Org],"Large"),IF(AND(Practices_SubPractices[CP]=9,Practices_SubPractices[Org] ="Large"),SUMIFS(Practices_SubPractices[E],Practices_SubPractices[CP],"9",Practices_SubPractices[Org],"Large"),IF(AND(Practices_SubPractices[CP]=10,Practices_SubPractices[Org] ="Large"),SUMIFS(Practices_SubPractices[E],Practices_SubPractices[CP],"10",Practices_SubPractices[Org],"Large"),"TBD"))))))))))))))))))))))))))))))</f>
        <v>7</v>
      </c>
      <c r="S74" s="87" t="s">
        <v>418</v>
      </c>
    </row>
    <row r="75" spans="1:19" x14ac:dyDescent="0.35">
      <c r="A75" s="73">
        <v>65</v>
      </c>
      <c r="B75" s="73">
        <v>6</v>
      </c>
      <c r="C75" s="73" t="s">
        <v>12</v>
      </c>
      <c r="D75" s="73" t="str">
        <f>Practices_SubPractices[[#This Row],[CP]]&amp;LEFT(Practices_SubPractices[[#This Row],[Org]],1)</f>
        <v>6L</v>
      </c>
      <c r="E75" s="73" t="s">
        <v>212</v>
      </c>
      <c r="F75" s="74" t="s">
        <v>235</v>
      </c>
      <c r="G75" s="74" t="s">
        <v>121</v>
      </c>
      <c r="H75" s="74" t="s">
        <v>239</v>
      </c>
      <c r="I75" s="75">
        <v>0</v>
      </c>
      <c r="J75" s="75">
        <v>0</v>
      </c>
      <c r="K75" s="75">
        <v>0</v>
      </c>
      <c r="L75" s="75">
        <v>1</v>
      </c>
      <c r="M75" s="75">
        <v>1</v>
      </c>
      <c r="N75" s="76"/>
      <c r="O75" s="77">
        <f>IF(AND(Practices_SubPractices[CP]=1,Practices_SubPractices[Org]="Small"),SUMIFS(Practices_SubPractices[B],Practices_SubPractices[CP],"1",Practices_SubPractices[Org],"Small"),IF(AND(Practices_SubPractices[CP]=2,Practices_SubPractices[Org]="Small"),SUMIFS(Practices_SubPractices[B],Practices_SubPractices[CP],"2",Practices_SubPractices[Org],"Small"),IF(AND(Practices_SubPractices[CP]=3,Practices_SubPractices[Org]="Small"),SUMIFS(Practices_SubPractices[B],Practices_SubPractices[CP],"3",Practices_SubPractices[Org],"Small"),IF(AND(Practices_SubPractices[CP]=4,Practices_SubPractices[Org]="Small"),SUMIFS(Practices_SubPractices[B],Practices_SubPractices[CP],"4",Practices_SubPractices[Org],"Small"),IF(AND(Practices_SubPractices[CP]=5,Practices_SubPractices[Org]="Small"),SUMIFS(Practices_SubPractices[B],Practices_SubPractices[CP],"5",Practices_SubPractices[Org],"Small"),IF(AND(Practices_SubPractices[CP]=6,Practices_SubPractices[Org]="Small"),SUMIFS(Practices_SubPractices[B],Practices_SubPractices[CP],"6",Practices_SubPractices[Org],"Small"),IF(AND(Practices_SubPractices[CP]=7,Practices_SubPractices[Org] ="Small"),SUMIFS(Practices_SubPractices[B],Practices_SubPractices[CP],"7",Practices_SubPractices[Org],"Small"),IF(AND(Practices_SubPractices[CP]=8,Practices_SubPractices[Org] ="Small"),SUMIFS(Practices_SubPractices[B],Practices_SubPractices[CP],"8",Practices_SubPractices[Org],"Small"),IF(AND(Practices_SubPractices[CP]=9,Practices_SubPractices[Org] ="Small"),SUMIFS(Practices_SubPractices[B],Practices_SubPractices[CP],"9",Practices_SubPractices[Org],"Small"),IF(AND(Practices_SubPractices[CP]=10,Practices_SubPractices[Org] ="Small"),SUMIFS(Practices_SubPractices[B],Practices_SubPractices[CP],"10",Practices_SubPractices[Org],"Small"),IF(AND(Practices_SubPractices[CP]=1,Practices_SubPractices[Org]="Medium"),SUMIFS(Practices_SubPractices[B],Practices_SubPractices[CP],"1",Practices_SubPractices[Org],"Medium"),IF(AND(Practices_SubPractices[CP]=2,Practices_SubPractices[Org]="Medium"),SUMIFS(Practices_SubPractices[B],Practices_SubPractices[CP],"2",Practices_SubPractices[Org],"Medium"),IF(AND(Practices_SubPractices[CP]=3,Practices_SubPractices[Org]="Medium"),SUMIFS(Practices_SubPractices[B],Practices_SubPractices[CP],"3",Practices_SubPractices[Org],"Medium"),IF(AND(Practices_SubPractices[CP]=4,Practices_SubPractices[Org]="Medium"),SUMIFS(Practices_SubPractices[B],Practices_SubPractices[CP],"4",Practices_SubPractices[Org],"Medium"),IF(AND(Practices_SubPractices[CP]=5,Practices_SubPractices[Org]="Medium"),SUMIFS(Practices_SubPractices[B],Practices_SubPractices[CP],"5",Practices_SubPractices[Org],"Medium"),IF(AND(Practices_SubPractices[CP]=6,Practices_SubPractices[Org]="Medium"),SUMIFS(Practices_SubPractices[B],Practices_SubPractices[CP],"6",Practices_SubPractices[Org],"Medium"),IF(AND(Practices_SubPractices[CP]=7,Practices_SubPractices[Org] ="Medium"),SUMIFS(Practices_SubPractices[B],Practices_SubPractices[CP],"7",Practices_SubPractices[Org],"Medium"),IF(AND(Practices_SubPractices[CP]=8,Practices_SubPractices[Org] ="Medium"),SUMIFS(Practices_SubPractices[B],Practices_SubPractices[CP],"8",Practices_SubPractices[Org],"Medium"),IF(AND(Practices_SubPractices[CP]=9,Practices_SubPractices[Org] ="Medium"),SUMIFS(Practices_SubPractices[B],Practices_SubPractices[CP],"9",Practices_SubPractices[Org],"Medium"),IF(AND(Practices_SubPractices[CP]=10,Practices_SubPractices[Org] ="Medium"),SUMIFS(Practices_SubPractices[B],Practices_SubPractices[CP],"10",Practices_SubPractices[Org],"Medium"),IF(AND(Practices_SubPractices[CP]=1,Practices_SubPractices[Org]="Large"),SUMIFS(Practices_SubPractices[B],Practices_SubPractices[CP],"1",Practices_SubPractices[Org],"Large"),IF(AND(Practices_SubPractices[CP]=2,Practices_SubPractices[Org]="Large"),SUMIFS(Practices_SubPractices[B],Practices_SubPractices[CP],"2",Practices_SubPractices[Org],"Large"),IF(AND(Practices_SubPractices[CP]=3,Practices_SubPractices[Org]="Large"),SUMIFS(Practices_SubPractices[B],Practices_SubPractices[CP],"3",Practices_SubPractices[Org],"Large"),IF(AND(Practices_SubPractices[CP]=4,Practices_SubPractices[Org]="Large"),SUMIFS(Practices_SubPractices[B],Practices_SubPractices[CP],"4",Practices_SubPractices[Org],"Large"),IF(AND(Practices_SubPractices[CP]=5,Practices_SubPractices[Org]="Large"),SUMIFS(Practices_SubPractices[B],Practices_SubPractices[CP],"5",Practices_SubPractices[Org],"Large"),IF(AND(Practices_SubPractices[CP]=6,Practices_SubPractices[Org]="Large"),SUMIFS(Practices_SubPractices[B],Practices_SubPractices[CP],"6",Practices_SubPractices[Org],"Large"),IF(AND(Practices_SubPractices[CP]=7,Practices_SubPractices[Org] ="Large"),SUMIFS(Practices_SubPractices[B],Practices_SubPractices[CP],"7",Practices_SubPractices[Org],"Large"),IF(AND(Practices_SubPractices[CP]=8,Practices_SubPractices[Org] ="Large"),SUMIFS(Practices_SubPractices[B],Practices_SubPractices[CP],"8",Practices_SubPractices[Org],"Large"),IF(AND(Practices_SubPractices[CP]=9,Practices_SubPractices[Org] ="Large"),SUMIFS(Practices_SubPractices[B],Practices_SubPractices[CP],"9",Practices_SubPractices[Org],"Large"),IF(AND(Practices_SubPractices[CP]=10,Practices_SubPractices[Org] ="Large"),SUMIFS(Practices_SubPractices[B],Practices_SubPractices[CP],"10",Practices_SubPractices[Org],"Large"),"TBD"))))))))))))))))))))))))))))))</f>
        <v>15</v>
      </c>
      <c r="P75" s="77">
        <f>IF(AND(Practices_SubPractices[CP]=1,Practices_SubPractices[Org]="Small"),SUMIFS(Practices_SubPractices[C],Practices_SubPractices[CP],"1",Practices_SubPractices[Org],"Small"),IF(AND(Practices_SubPractices[CP]=2,Practices_SubPractices[Org]="Small"),SUMIFS(Practices_SubPractices[C],Practices_SubPractices[CP],"2",Practices_SubPractices[Org],"Small"),IF(AND(Practices_SubPractices[CP]=3,Practices_SubPractices[Org]="Small"),SUMIFS(Practices_SubPractices[C],Practices_SubPractices[CP],"3",Practices_SubPractices[Org],"Small"),IF(AND(Practices_SubPractices[CP]=4,Practices_SubPractices[Org]="Small"),SUMIFS(Practices_SubPractices[C],Practices_SubPractices[CP],"4",Practices_SubPractices[Org],"Small"),IF(AND(Practices_SubPractices[CP]=5,Practices_SubPractices[Org]="Small"),SUMIFS(Practices_SubPractices[C],Practices_SubPractices[CP],"5",Practices_SubPractices[Org],"Small"),IF(AND(Practices_SubPractices[CP]=6,Practices_SubPractices[Org]="Small"),SUMIFS(Practices_SubPractices[C],Practices_SubPractices[CP],"6",Practices_SubPractices[Org],"Small"),IF(AND(Practices_SubPractices[CP]=7,Practices_SubPractices[Org] ="Small"),SUMIFS(Practices_SubPractices[C],Practices_SubPractices[CP],"7",Practices_SubPractices[Org],"Small"),IF(AND(Practices_SubPractices[CP]=8,Practices_SubPractices[Org] ="Small"),SUMIFS(Practices_SubPractices[C],Practices_SubPractices[CP],"8",Practices_SubPractices[Org],"Small"),IF(AND(Practices_SubPractices[CP]=9,Practices_SubPractices[Org] ="Small"),SUMIFS(Practices_SubPractices[C],Practices_SubPractices[CP],"9",Practices_SubPractices[Org],"Small"),IF(AND(Practices_SubPractices[CP]=10,Practices_SubPractices[Org] ="Small"),SUMIFS(Practices_SubPractices[C],Practices_SubPractices[CP],"10",Practices_SubPractices[Org],"Small"),IF(AND(Practices_SubPractices[CP]=1,Practices_SubPractices[Org]="Medium"),SUMIFS(Practices_SubPractices[C],Practices_SubPractices[CP],"1",Practices_SubPractices[Org],"Medium"),IF(AND(Practices_SubPractices[CP]=2,Practices_SubPractices[Org]="Medium"),SUMIFS(Practices_SubPractices[C],Practices_SubPractices[CP],"2",Practices_SubPractices[Org],"Medium"),IF(AND(Practices_SubPractices[CP]=3,Practices_SubPractices[Org]="Medium"),SUMIFS(Practices_SubPractices[C],Practices_SubPractices[CP],"3",Practices_SubPractices[Org],"Medium"),IF(AND(Practices_SubPractices[CP]=4,Practices_SubPractices[Org]="Medium"),SUMIFS(Practices_SubPractices[C],Practices_SubPractices[CP],"4",Practices_SubPractices[Org],"Medium"),IF(AND(Practices_SubPractices[CP]=5,Practices_SubPractices[Org]="Medium"),SUMIFS(Practices_SubPractices[C],Practices_SubPractices[CP],"5",Practices_SubPractices[Org],"Medium"),IF(AND(Practices_SubPractices[CP]=6,Practices_SubPractices[Org]="Medium"),SUMIFS(Practices_SubPractices[C],Practices_SubPractices[CP],"6",Practices_SubPractices[Org],"Medium"),IF(AND(Practices_SubPractices[CP]=7,Practices_SubPractices[Org] ="Medium"),SUMIFS(Practices_SubPractices[C],Practices_SubPractices[CP],"7",Practices_SubPractices[Org],"Medium"),IF(AND(Practices_SubPractices[CP]=8,Practices_SubPractices[Org] ="Medium"),SUMIFS(Practices_SubPractices[C],Practices_SubPractices[CP],"8",Practices_SubPractices[Org],"Medium"),IF(AND(Practices_SubPractices[CP]=9,Practices_SubPractices[Org] ="Medium"),SUMIFS(Practices_SubPractices[C],Practices_SubPractices[CP],"9",Practices_SubPractices[Org],"Medium"),IF(AND(Practices_SubPractices[CP]=10,Practices_SubPractices[Org] ="Medium"),SUMIFS(Practices_SubPractices[C],Practices_SubPractices[CP],"10",Practices_SubPractices[Org],"Medium"),IF(AND(Practices_SubPractices[CP]=1,Practices_SubPractices[Org]="Large"),SUMIFS(Practices_SubPractices[C],Practices_SubPractices[CP],"1",Practices_SubPractices[Org],"Large"),IF(AND(Practices_SubPractices[CP]=2,Practices_SubPractices[Org]="Large"),SUMIFS(Practices_SubPractices[C],Practices_SubPractices[CP],"2",Practices_SubPractices[Org],"Large"),IF(AND(Practices_SubPractices[CP]=3,Practices_SubPractices[Org]="Large"),SUMIFS(Practices_SubPractices[C],Practices_SubPractices[CP],"3",Practices_SubPractices[Org],"Large"),IF(AND(Practices_SubPractices[CP]=4,Practices_SubPractices[Org]="Large"),SUMIFS(Practices_SubPractices[C],Practices_SubPractices[CP],"4",Practices_SubPractices[Org],"Large"),IF(AND(Practices_SubPractices[CP]=5,Practices_SubPractices[Org]="Large"),SUMIFS(Practices_SubPractices[C],Practices_SubPractices[CP],"5",Practices_SubPractices[Org],"Large"),IF(AND(Practices_SubPractices[CP]=6,Practices_SubPractices[Org]="Large"),SUMIFS(Practices_SubPractices[C],Practices_SubPractices[CP],"6",Practices_SubPractices[Org],"Large"),IF(AND(Practices_SubPractices[CP]=7,Practices_SubPractices[Org] ="Large"),SUMIFS(Practices_SubPractices[C],Practices_SubPractices[CP],"7",Practices_SubPractices[Org],"Large"),IF(AND(Practices_SubPractices[CP]=8,Practices_SubPractices[Org] ="Large"),SUMIFS(Practices_SubPractices[C],Practices_SubPractices[CP],"8",Practices_SubPractices[Org],"Large"),IF(AND(Practices_SubPractices[CP]=9,Practices_SubPractices[Org] ="Large"),SUMIFS(Practices_SubPractices[C],Practices_SubPractices[CP],"9",Practices_SubPractices[Org],"Large"),IF(AND(Practices_SubPractices[CP]=10,Practices_SubPractices[Org] ="Large"),SUMIFS(Practices_SubPractices[C],Practices_SubPractices[CP],"10",Practices_SubPractices[Org],"Large"),"TBD"))))))))))))))))))))))))))))))</f>
        <v>2</v>
      </c>
      <c r="Q75" s="77">
        <f>IF(AND(Practices_SubPractices[CP]=1,Practices_SubPractices[Org]="Small"),SUMIFS(Practices_SubPractices[D],Practices_SubPractices[CP],"1",Practices_SubPractices[Org],"Small"),IF(AND(Practices_SubPractices[CP]=2,Practices_SubPractices[Org]="Small"),SUMIFS(Practices_SubPractices[D],Practices_SubPractices[CP],"2",Practices_SubPractices[Org],"Small"),IF(AND(Practices_SubPractices[CP]=3,Practices_SubPractices[Org]="Small"),SUMIFS(Practices_SubPractices[D],Practices_SubPractices[CP],"3",Practices_SubPractices[Org],"Small"),IF(AND(Practices_SubPractices[CP]=4,Practices_SubPractices[Org]="Small"),SUMIFS(Practices_SubPractices[D],Practices_SubPractices[CP],"4",Practices_SubPractices[Org],"Small"),IF(AND(Practices_SubPractices[CP]=5,Practices_SubPractices[Org]="Small"),SUMIFS(Practices_SubPractices[D],Practices_SubPractices[CP],"5",Practices_SubPractices[Org],"Small"),IF(AND(Practices_SubPractices[CP]=6,Practices_SubPractices[Org]="Small"),SUMIFS(Practices_SubPractices[D],Practices_SubPractices[CP],"6",Practices_SubPractices[Org],"Small"),IF(AND(Practices_SubPractices[CP]=7,Practices_SubPractices[Org] ="Small"),SUMIFS(Practices_SubPractices[D],Practices_SubPractices[CP],"7",Practices_SubPractices[Org],"Small"),IF(AND(Practices_SubPractices[CP]=8,Practices_SubPractices[Org] ="Small"),SUMIFS(Practices_SubPractices[D],Practices_SubPractices[CP],"8",Practices_SubPractices[Org],"Small"),IF(AND(Practices_SubPractices[CP]=9,Practices_SubPractices[Org] ="Small"),SUMIFS(Practices_SubPractices[D],Practices_SubPractices[CP],"9",Practices_SubPractices[Org],"Small"),IF(AND(Practices_SubPractices[CP]=10,Practices_SubPractices[Org] ="Small"),SUMIFS(Practices_SubPractices[D],Practices_SubPractices[CP],"10",Practices_SubPractices[Org],"Small"),IF(AND(Practices_SubPractices[CP]=1,Practices_SubPractices[Org]="Medium"),SUMIFS(Practices_SubPractices[D],Practices_SubPractices[CP],"1",Practices_SubPractices[Org],"Medium"),IF(AND(Practices_SubPractices[CP]=2,Practices_SubPractices[Org]="Medium"),SUMIFS(Practices_SubPractices[D],Practices_SubPractices[CP],"2",Practices_SubPractices[Org],"Medium"),IF(AND(Practices_SubPractices[CP]=3,Practices_SubPractices[Org]="Medium"),SUMIFS(Practices_SubPractices[D],Practices_SubPractices[CP],"3",Practices_SubPractices[Org],"Medium"),IF(AND(Practices_SubPractices[CP]=4,Practices_SubPractices[Org]="Medium"),SUMIFS(Practices_SubPractices[D],Practices_SubPractices[CP],"4",Practices_SubPractices[Org],"Medium"),IF(AND(Practices_SubPractices[CP]=5,Practices_SubPractices[Org]="Medium"),SUMIFS(Practices_SubPractices[D],Practices_SubPractices[CP],"5",Practices_SubPractices[Org],"Medium"),IF(AND(Practices_SubPractices[CP]=6,Practices_SubPractices[Org]="Medium"),SUMIFS(Practices_SubPractices[D],Practices_SubPractices[CP],"6",Practices_SubPractices[Org],"Medium"),IF(AND(Practices_SubPractices[CP]=7,Practices_SubPractices[Org] ="Medium"),SUMIFS(Practices_SubPractices[D],Practices_SubPractices[CP],"7",Practices_SubPractices[Org],"Medium"),IF(AND(Practices_SubPractices[CP]=8,Practices_SubPractices[Org] ="Medium"),SUMIFS(Practices_SubPractices[D],Practices_SubPractices[CP],"8",Practices_SubPractices[Org],"Medium"),IF(AND(Practices_SubPractices[CP]=9,Practices_SubPractices[Org] ="Medium"),SUMIFS(Practices_SubPractices[D],Practices_SubPractices[CP],"9",Practices_SubPractices[Org],"Medium"),IF(AND(Practices_SubPractices[CP]=10,Practices_SubPractices[Org] ="Medium"),SUMIFS(Practices_SubPractices[D],Practices_SubPractices[CP],"10",Practices_SubPractices[Org],"Medium"),IF(AND(Practices_SubPractices[CP]=1,Practices_SubPractices[Org]="Large"),SUMIFS(Practices_SubPractices[D],Practices_SubPractices[CP],"1",Practices_SubPractices[Org],"Large"),IF(AND(Practices_SubPractices[CP]=2,Practices_SubPractices[Org]="Large"),SUMIFS(Practices_SubPractices[D],Practices_SubPractices[CP],"2",Practices_SubPractices[Org],"Large"),IF(AND(Practices_SubPractices[CP]=3,Practices_SubPractices[Org]="Large"),SUMIFS(Practices_SubPractices[D],Practices_SubPractices[CP],"3",Practices_SubPractices[Org],"Large"),IF(AND(Practices_SubPractices[CP]=4,Practices_SubPractices[Org]="Large"),SUMIFS(Practices_SubPractices[D],Practices_SubPractices[CP],"4",Practices_SubPractices[Org],"Large"),IF(AND(Practices_SubPractices[CP]=5,Practices_SubPractices[Org]="Large"),SUMIFS(Practices_SubPractices[D],Practices_SubPractices[CP],"5",Practices_SubPractices[Org],"Large"),IF(AND(Practices_SubPractices[CP]=6,Practices_SubPractices[Org]="Large"),SUMIFS(Practices_SubPractices[D],Practices_SubPractices[CP],"6",Practices_SubPractices[Org],"Large"),IF(AND(Practices_SubPractices[CP]=7,Practices_SubPractices[Org] ="Large"),SUMIFS(Practices_SubPractices[D],Practices_SubPractices[CP],"7",Practices_SubPractices[Org],"Large"),IF(AND(Practices_SubPractices[CP]=8,Practices_SubPractices[Org] ="Large"),SUMIFS(Practices_SubPractices[D],Practices_SubPractices[CP],"8",Practices_SubPractices[Org],"Large"),IF(AND(Practices_SubPractices[CP]=9,Practices_SubPractices[Org] ="Large"),SUMIFS(Practices_SubPractices[D],Practices_SubPractices[CP],"9",Practices_SubPractices[Org],"Large"),IF(AND(Practices_SubPractices[CP]=10,Practices_SubPractices[Org] ="Large"),SUMIFS(Practices_SubPractices[D],Practices_SubPractices[CP],"10",Practices_SubPractices[Org],"Large"),"TBD"))))))))))))))))))))))))))))))</f>
        <v>13</v>
      </c>
      <c r="R75" s="77">
        <f>IF(AND(Practices_SubPractices[CP]=1,Practices_SubPractices[Org]="Small"),SUMIFS(Practices_SubPractices[E],Practices_SubPractices[CP],"1",Practices_SubPractices[Org],"Small"),IF(AND(Practices_SubPractices[CP]=2,Practices_SubPractices[Org]="Small"),SUMIFS(Practices_SubPractices[E],Practices_SubPractices[CP],"2",Practices_SubPractices[Org],"Small"),IF(AND(Practices_SubPractices[CP]=3,Practices_SubPractices[Org]="Small"),SUMIFS(Practices_SubPractices[E],Practices_SubPractices[CP],"3",Practices_SubPractices[Org],"Small"),IF(AND(Practices_SubPractices[CP]=4,Practices_SubPractices[Org]="Small"),SUMIFS(Practices_SubPractices[E],Practices_SubPractices[CP],"4",Practices_SubPractices[Org],"Small"),IF(AND(Practices_SubPractices[CP]=5,Practices_SubPractices[Org]="Small"),SUMIFS(Practices_SubPractices[E],Practices_SubPractices[CP],"5",Practices_SubPractices[Org],"Small"),IF(AND(Practices_SubPractices[CP]=6,Practices_SubPractices[Org]="Small"),SUMIFS(Practices_SubPractices[E],Practices_SubPractices[CP],"6",Practices_SubPractices[Org],"Small"),IF(AND(Practices_SubPractices[CP]=7,Practices_SubPractices[Org] ="Small"),SUMIFS(Practices_SubPractices[E],Practices_SubPractices[CP],"7",Practices_SubPractices[Org],"Small"),IF(AND(Practices_SubPractices[CP]=8,Practices_SubPractices[Org] ="Small"),SUMIFS(Practices_SubPractices[E],Practices_SubPractices[CP],"8",Practices_SubPractices[Org],"Small"),IF(AND(Practices_SubPractices[CP]=9,Practices_SubPractices[Org] ="Small"),SUMIFS(Practices_SubPractices[E],Practices_SubPractices[CP],"9",Practices_SubPractices[Org],"Small"),IF(AND(Practices_SubPractices[CP]=10,Practices_SubPractices[Org] ="Small"),SUMIFS(Practices_SubPractices[E],Practices_SubPractices[CP],"10",Practices_SubPractices[Org],"Small"),IF(AND(Practices_SubPractices[CP]=1,Practices_SubPractices[Org]="Medium"),SUMIFS(Practices_SubPractices[E],Practices_SubPractices[CP],"1",Practices_SubPractices[Org],"Medium"),IF(AND(Practices_SubPractices[CP]=2,Practices_SubPractices[Org]="Medium"),SUMIFS(Practices_SubPractices[E],Practices_SubPractices[CP],"2",Practices_SubPractices[Org],"Medium"),IF(AND(Practices_SubPractices[CP]=3,Practices_SubPractices[Org]="Medium"),SUMIFS(Practices_SubPractices[E],Practices_SubPractices[CP],"3",Practices_SubPractices[Org],"Medium"),IF(AND(Practices_SubPractices[CP]=4,Practices_SubPractices[Org]="Medium"),SUMIFS(Practices_SubPractices[E],Practices_SubPractices[CP],"4",Practices_SubPractices[Org],"Medium"),IF(AND(Practices_SubPractices[CP]=5,Practices_SubPractices[Org]="Medium"),SUMIFS(Practices_SubPractices[E],Practices_SubPractices[CP],"5",Practices_SubPractices[Org],"Medium"),IF(AND(Practices_SubPractices[CP]=6,Practices_SubPractices[Org]="Medium"),SUMIFS(Practices_SubPractices[E],Practices_SubPractices[CP],"6",Practices_SubPractices[Org],"Medium"),IF(AND(Practices_SubPractices[CP]=7,Practices_SubPractices[Org] ="Medium"),SUMIFS(Practices_SubPractices[E],Practices_SubPractices[CP],"7",Practices_SubPractices[Org],"Medium"),IF(AND(Practices_SubPractices[CP]=8,Practices_SubPractices[Org] ="Medium"),SUMIFS(Practices_SubPractices[E],Practices_SubPractices[CP],"8",Practices_SubPractices[Org],"Medium"),IF(AND(Practices_SubPractices[CP]=9,Practices_SubPractices[Org] ="Medium"),SUMIFS(Practices_SubPractices[E],Practices_SubPractices[CP],"9",Practices_SubPractices[Org],"Medium"),IF(AND(Practices_SubPractices[CP]=10,Practices_SubPractices[Org] ="Medium"),SUMIFS(Practices_SubPractices[E],Practices_SubPractices[CP],"10",Practices_SubPractices[Org],"Medium"),IF(AND(Practices_SubPractices[CP]=1,Practices_SubPractices[Org]="Large"),SUMIFS(Practices_SubPractices[E],Practices_SubPractices[CP],"1",Practices_SubPractices[Org],"Large"),IF(AND(Practices_SubPractices[CP]=2,Practices_SubPractices[Org]="Large"),SUMIFS(Practices_SubPractices[E],Practices_SubPractices[CP],"2",Practices_SubPractices[Org],"Large"),IF(AND(Practices_SubPractices[CP]=3,Practices_SubPractices[Org]="Large"),SUMIFS(Practices_SubPractices[E],Practices_SubPractices[CP],"3",Practices_SubPractices[Org],"Large"),IF(AND(Practices_SubPractices[CP]=4,Practices_SubPractices[Org]="Large"),SUMIFS(Practices_SubPractices[E],Practices_SubPractices[CP],"4",Practices_SubPractices[Org],"Large"),IF(AND(Practices_SubPractices[CP]=5,Practices_SubPractices[Org]="Large"),SUMIFS(Practices_SubPractices[E],Practices_SubPractices[CP],"5",Practices_SubPractices[Org],"Large"),IF(AND(Practices_SubPractices[CP]=6,Practices_SubPractices[Org]="Large"),SUMIFS(Practices_SubPractices[E],Practices_SubPractices[CP],"6",Practices_SubPractices[Org],"Large"),IF(AND(Practices_SubPractices[CP]=7,Practices_SubPractices[Org] ="Large"),SUMIFS(Practices_SubPractices[E],Practices_SubPractices[CP],"7",Practices_SubPractices[Org],"Large"),IF(AND(Practices_SubPractices[CP]=8,Practices_SubPractices[Org] ="Large"),SUMIFS(Practices_SubPractices[E],Practices_SubPractices[CP],"8",Practices_SubPractices[Org],"Large"),IF(AND(Practices_SubPractices[CP]=9,Practices_SubPractices[Org] ="Large"),SUMIFS(Practices_SubPractices[E],Practices_SubPractices[CP],"9",Practices_SubPractices[Org],"Large"),IF(AND(Practices_SubPractices[CP]=10,Practices_SubPractices[Org] ="Large"),SUMIFS(Practices_SubPractices[E],Practices_SubPractices[CP],"10",Practices_SubPractices[Org],"Large"),"TBD"))))))))))))))))))))))))))))))</f>
        <v>12</v>
      </c>
      <c r="S75" s="87" t="s">
        <v>418</v>
      </c>
    </row>
    <row r="76" spans="1:19" x14ac:dyDescent="0.35">
      <c r="A76" s="73">
        <v>66</v>
      </c>
      <c r="B76" s="73">
        <v>7</v>
      </c>
      <c r="C76" s="73" t="s">
        <v>11</v>
      </c>
      <c r="D76" s="73" t="str">
        <f>Practices_SubPractices[[#This Row],[CP]]&amp;LEFT(Practices_SubPractices[[#This Row],[Org]],1)</f>
        <v>7M</v>
      </c>
      <c r="E76" s="73" t="s">
        <v>265</v>
      </c>
      <c r="F76" s="74" t="s">
        <v>18</v>
      </c>
      <c r="G76" s="74" t="s">
        <v>135</v>
      </c>
      <c r="H76" s="74" t="s">
        <v>245</v>
      </c>
      <c r="I76" s="75">
        <v>0</v>
      </c>
      <c r="J76" s="75">
        <v>2</v>
      </c>
      <c r="K76" s="75">
        <v>0</v>
      </c>
      <c r="L76" s="75">
        <v>2</v>
      </c>
      <c r="M76" s="75">
        <v>1</v>
      </c>
      <c r="N76" s="76"/>
      <c r="O76" s="77">
        <f>IF(AND(Practices_SubPractices[CP]=1,Practices_SubPractices[Org]="Small"),SUMIFS(Practices_SubPractices[B],Practices_SubPractices[CP],"1",Practices_SubPractices[Org],"Small"),IF(AND(Practices_SubPractices[CP]=2,Practices_SubPractices[Org]="Small"),SUMIFS(Practices_SubPractices[B],Practices_SubPractices[CP],"2",Practices_SubPractices[Org],"Small"),IF(AND(Practices_SubPractices[CP]=3,Practices_SubPractices[Org]="Small"),SUMIFS(Practices_SubPractices[B],Practices_SubPractices[CP],"3",Practices_SubPractices[Org],"Small"),IF(AND(Practices_SubPractices[CP]=4,Practices_SubPractices[Org]="Small"),SUMIFS(Practices_SubPractices[B],Practices_SubPractices[CP],"4",Practices_SubPractices[Org],"Small"),IF(AND(Practices_SubPractices[CP]=5,Practices_SubPractices[Org]="Small"),SUMIFS(Practices_SubPractices[B],Practices_SubPractices[CP],"5",Practices_SubPractices[Org],"Small"),IF(AND(Practices_SubPractices[CP]=6,Practices_SubPractices[Org]="Small"),SUMIFS(Practices_SubPractices[B],Practices_SubPractices[CP],"6",Practices_SubPractices[Org],"Small"),IF(AND(Practices_SubPractices[CP]=7,Practices_SubPractices[Org] ="Small"),SUMIFS(Practices_SubPractices[B],Practices_SubPractices[CP],"7",Practices_SubPractices[Org],"Small"),IF(AND(Practices_SubPractices[CP]=8,Practices_SubPractices[Org] ="Small"),SUMIFS(Practices_SubPractices[B],Practices_SubPractices[CP],"8",Practices_SubPractices[Org],"Small"),IF(AND(Practices_SubPractices[CP]=9,Practices_SubPractices[Org] ="Small"),SUMIFS(Practices_SubPractices[B],Practices_SubPractices[CP],"9",Practices_SubPractices[Org],"Small"),IF(AND(Practices_SubPractices[CP]=10,Practices_SubPractices[Org] ="Small"),SUMIFS(Practices_SubPractices[B],Practices_SubPractices[CP],"10",Practices_SubPractices[Org],"Small"),IF(AND(Practices_SubPractices[CP]=1,Practices_SubPractices[Org]="Medium"),SUMIFS(Practices_SubPractices[B],Practices_SubPractices[CP],"1",Practices_SubPractices[Org],"Medium"),IF(AND(Practices_SubPractices[CP]=2,Practices_SubPractices[Org]="Medium"),SUMIFS(Practices_SubPractices[B],Practices_SubPractices[CP],"2",Practices_SubPractices[Org],"Medium"),IF(AND(Practices_SubPractices[CP]=3,Practices_SubPractices[Org]="Medium"),SUMIFS(Practices_SubPractices[B],Practices_SubPractices[CP],"3",Practices_SubPractices[Org],"Medium"),IF(AND(Practices_SubPractices[CP]=4,Practices_SubPractices[Org]="Medium"),SUMIFS(Practices_SubPractices[B],Practices_SubPractices[CP],"4",Practices_SubPractices[Org],"Medium"),IF(AND(Practices_SubPractices[CP]=5,Practices_SubPractices[Org]="Medium"),SUMIFS(Practices_SubPractices[B],Practices_SubPractices[CP],"5",Practices_SubPractices[Org],"Medium"),IF(AND(Practices_SubPractices[CP]=6,Practices_SubPractices[Org]="Medium"),SUMIFS(Practices_SubPractices[B],Practices_SubPractices[CP],"6",Practices_SubPractices[Org],"Medium"),IF(AND(Practices_SubPractices[CP]=7,Practices_SubPractices[Org] ="Medium"),SUMIFS(Practices_SubPractices[B],Practices_SubPractices[CP],"7",Practices_SubPractices[Org],"Medium"),IF(AND(Practices_SubPractices[CP]=8,Practices_SubPractices[Org] ="Medium"),SUMIFS(Practices_SubPractices[B],Practices_SubPractices[CP],"8",Practices_SubPractices[Org],"Medium"),IF(AND(Practices_SubPractices[CP]=9,Practices_SubPractices[Org] ="Medium"),SUMIFS(Practices_SubPractices[B],Practices_SubPractices[CP],"9",Practices_SubPractices[Org],"Medium"),IF(AND(Practices_SubPractices[CP]=10,Practices_SubPractices[Org] ="Medium"),SUMIFS(Practices_SubPractices[B],Practices_SubPractices[CP],"10",Practices_SubPractices[Org],"Medium"),IF(AND(Practices_SubPractices[CP]=1,Practices_SubPractices[Org]="Large"),SUMIFS(Practices_SubPractices[B],Practices_SubPractices[CP],"1",Practices_SubPractices[Org],"Large"),IF(AND(Practices_SubPractices[CP]=2,Practices_SubPractices[Org]="Large"),SUMIFS(Practices_SubPractices[B],Practices_SubPractices[CP],"2",Practices_SubPractices[Org],"Large"),IF(AND(Practices_SubPractices[CP]=3,Practices_SubPractices[Org]="Large"),SUMIFS(Practices_SubPractices[B],Practices_SubPractices[CP],"3",Practices_SubPractices[Org],"Large"),IF(AND(Practices_SubPractices[CP]=4,Practices_SubPractices[Org]="Large"),SUMIFS(Practices_SubPractices[B],Practices_SubPractices[CP],"4",Practices_SubPractices[Org],"Large"),IF(AND(Practices_SubPractices[CP]=5,Practices_SubPractices[Org]="Large"),SUMIFS(Practices_SubPractices[B],Practices_SubPractices[CP],"5",Practices_SubPractices[Org],"Large"),IF(AND(Practices_SubPractices[CP]=6,Practices_SubPractices[Org]="Large"),SUMIFS(Practices_SubPractices[B],Practices_SubPractices[CP],"6",Practices_SubPractices[Org],"Large"),IF(AND(Practices_SubPractices[CP]=7,Practices_SubPractices[Org] ="Large"),SUMIFS(Practices_SubPractices[B],Practices_SubPractices[CP],"7",Practices_SubPractices[Org],"Large"),IF(AND(Practices_SubPractices[CP]=8,Practices_SubPractices[Org] ="Large"),SUMIFS(Practices_SubPractices[B],Practices_SubPractices[CP],"8",Practices_SubPractices[Org],"Large"),IF(AND(Practices_SubPractices[CP]=9,Practices_SubPractices[Org] ="Large"),SUMIFS(Practices_SubPractices[B],Practices_SubPractices[CP],"9",Practices_SubPractices[Org],"Large"),IF(AND(Practices_SubPractices[CP]=10,Practices_SubPractices[Org] ="Large"),SUMIFS(Practices_SubPractices[B],Practices_SubPractices[CP],"10",Practices_SubPractices[Org],"Large"),"TBD"))))))))))))))))))))))))))))))</f>
        <v>7</v>
      </c>
      <c r="P76" s="77">
        <f>IF(AND(Practices_SubPractices[CP]=1,Practices_SubPractices[Org]="Small"),SUMIFS(Practices_SubPractices[C],Practices_SubPractices[CP],"1",Practices_SubPractices[Org],"Small"),IF(AND(Practices_SubPractices[CP]=2,Practices_SubPractices[Org]="Small"),SUMIFS(Practices_SubPractices[C],Practices_SubPractices[CP],"2",Practices_SubPractices[Org],"Small"),IF(AND(Practices_SubPractices[CP]=3,Practices_SubPractices[Org]="Small"),SUMIFS(Practices_SubPractices[C],Practices_SubPractices[CP],"3",Practices_SubPractices[Org],"Small"),IF(AND(Practices_SubPractices[CP]=4,Practices_SubPractices[Org]="Small"),SUMIFS(Practices_SubPractices[C],Practices_SubPractices[CP],"4",Practices_SubPractices[Org],"Small"),IF(AND(Practices_SubPractices[CP]=5,Practices_SubPractices[Org]="Small"),SUMIFS(Practices_SubPractices[C],Practices_SubPractices[CP],"5",Practices_SubPractices[Org],"Small"),IF(AND(Practices_SubPractices[CP]=6,Practices_SubPractices[Org]="Small"),SUMIFS(Practices_SubPractices[C],Practices_SubPractices[CP],"6",Practices_SubPractices[Org],"Small"),IF(AND(Practices_SubPractices[CP]=7,Practices_SubPractices[Org] ="Small"),SUMIFS(Practices_SubPractices[C],Practices_SubPractices[CP],"7",Practices_SubPractices[Org],"Small"),IF(AND(Practices_SubPractices[CP]=8,Practices_SubPractices[Org] ="Small"),SUMIFS(Practices_SubPractices[C],Practices_SubPractices[CP],"8",Practices_SubPractices[Org],"Small"),IF(AND(Practices_SubPractices[CP]=9,Practices_SubPractices[Org] ="Small"),SUMIFS(Practices_SubPractices[C],Practices_SubPractices[CP],"9",Practices_SubPractices[Org],"Small"),IF(AND(Practices_SubPractices[CP]=10,Practices_SubPractices[Org] ="Small"),SUMIFS(Practices_SubPractices[C],Practices_SubPractices[CP],"10",Practices_SubPractices[Org],"Small"),IF(AND(Practices_SubPractices[CP]=1,Practices_SubPractices[Org]="Medium"),SUMIFS(Practices_SubPractices[C],Practices_SubPractices[CP],"1",Practices_SubPractices[Org],"Medium"),IF(AND(Practices_SubPractices[CP]=2,Practices_SubPractices[Org]="Medium"),SUMIFS(Practices_SubPractices[C],Practices_SubPractices[CP],"2",Practices_SubPractices[Org],"Medium"),IF(AND(Practices_SubPractices[CP]=3,Practices_SubPractices[Org]="Medium"),SUMIFS(Practices_SubPractices[C],Practices_SubPractices[CP],"3",Practices_SubPractices[Org],"Medium"),IF(AND(Practices_SubPractices[CP]=4,Practices_SubPractices[Org]="Medium"),SUMIFS(Practices_SubPractices[C],Practices_SubPractices[CP],"4",Practices_SubPractices[Org],"Medium"),IF(AND(Practices_SubPractices[CP]=5,Practices_SubPractices[Org]="Medium"),SUMIFS(Practices_SubPractices[C],Practices_SubPractices[CP],"5",Practices_SubPractices[Org],"Medium"),IF(AND(Practices_SubPractices[CP]=6,Practices_SubPractices[Org]="Medium"),SUMIFS(Practices_SubPractices[C],Practices_SubPractices[CP],"6",Practices_SubPractices[Org],"Medium"),IF(AND(Practices_SubPractices[CP]=7,Practices_SubPractices[Org] ="Medium"),SUMIFS(Practices_SubPractices[C],Practices_SubPractices[CP],"7",Practices_SubPractices[Org],"Medium"),IF(AND(Practices_SubPractices[CP]=8,Practices_SubPractices[Org] ="Medium"),SUMIFS(Practices_SubPractices[C],Practices_SubPractices[CP],"8",Practices_SubPractices[Org],"Medium"),IF(AND(Practices_SubPractices[CP]=9,Practices_SubPractices[Org] ="Medium"),SUMIFS(Practices_SubPractices[C],Practices_SubPractices[CP],"9",Practices_SubPractices[Org],"Medium"),IF(AND(Practices_SubPractices[CP]=10,Practices_SubPractices[Org] ="Medium"),SUMIFS(Practices_SubPractices[C],Practices_SubPractices[CP],"10",Practices_SubPractices[Org],"Medium"),IF(AND(Practices_SubPractices[CP]=1,Practices_SubPractices[Org]="Large"),SUMIFS(Practices_SubPractices[C],Practices_SubPractices[CP],"1",Practices_SubPractices[Org],"Large"),IF(AND(Practices_SubPractices[CP]=2,Practices_SubPractices[Org]="Large"),SUMIFS(Practices_SubPractices[C],Practices_SubPractices[CP],"2",Practices_SubPractices[Org],"Large"),IF(AND(Practices_SubPractices[CP]=3,Practices_SubPractices[Org]="Large"),SUMIFS(Practices_SubPractices[C],Practices_SubPractices[CP],"3",Practices_SubPractices[Org],"Large"),IF(AND(Practices_SubPractices[CP]=4,Practices_SubPractices[Org]="Large"),SUMIFS(Practices_SubPractices[C],Practices_SubPractices[CP],"4",Practices_SubPractices[Org],"Large"),IF(AND(Practices_SubPractices[CP]=5,Practices_SubPractices[Org]="Large"),SUMIFS(Practices_SubPractices[C],Practices_SubPractices[CP],"5",Practices_SubPractices[Org],"Large"),IF(AND(Practices_SubPractices[CP]=6,Practices_SubPractices[Org]="Large"),SUMIFS(Practices_SubPractices[C],Practices_SubPractices[CP],"6",Practices_SubPractices[Org],"Large"),IF(AND(Practices_SubPractices[CP]=7,Practices_SubPractices[Org] ="Large"),SUMIFS(Practices_SubPractices[C],Practices_SubPractices[CP],"7",Practices_SubPractices[Org],"Large"),IF(AND(Practices_SubPractices[CP]=8,Practices_SubPractices[Org] ="Large"),SUMIFS(Practices_SubPractices[C],Practices_SubPractices[CP],"8",Practices_SubPractices[Org],"Large"),IF(AND(Practices_SubPractices[CP]=9,Practices_SubPractices[Org] ="Large"),SUMIFS(Practices_SubPractices[C],Practices_SubPractices[CP],"9",Practices_SubPractices[Org],"Large"),IF(AND(Practices_SubPractices[CP]=10,Practices_SubPractices[Org] ="Large"),SUMIFS(Practices_SubPractices[C],Practices_SubPractices[CP],"10",Practices_SubPractices[Org],"Large"),"TBD"))))))))))))))))))))))))))))))</f>
        <v>0</v>
      </c>
      <c r="Q76" s="77">
        <f>IF(AND(Practices_SubPractices[CP]=1,Practices_SubPractices[Org]="Small"),SUMIFS(Practices_SubPractices[D],Practices_SubPractices[CP],"1",Practices_SubPractices[Org],"Small"),IF(AND(Practices_SubPractices[CP]=2,Practices_SubPractices[Org]="Small"),SUMIFS(Practices_SubPractices[D],Practices_SubPractices[CP],"2",Practices_SubPractices[Org],"Small"),IF(AND(Practices_SubPractices[CP]=3,Practices_SubPractices[Org]="Small"),SUMIFS(Practices_SubPractices[D],Practices_SubPractices[CP],"3",Practices_SubPractices[Org],"Small"),IF(AND(Practices_SubPractices[CP]=4,Practices_SubPractices[Org]="Small"),SUMIFS(Practices_SubPractices[D],Practices_SubPractices[CP],"4",Practices_SubPractices[Org],"Small"),IF(AND(Practices_SubPractices[CP]=5,Practices_SubPractices[Org]="Small"),SUMIFS(Practices_SubPractices[D],Practices_SubPractices[CP],"5",Practices_SubPractices[Org],"Small"),IF(AND(Practices_SubPractices[CP]=6,Practices_SubPractices[Org]="Small"),SUMIFS(Practices_SubPractices[D],Practices_SubPractices[CP],"6",Practices_SubPractices[Org],"Small"),IF(AND(Practices_SubPractices[CP]=7,Practices_SubPractices[Org] ="Small"),SUMIFS(Practices_SubPractices[D],Practices_SubPractices[CP],"7",Practices_SubPractices[Org],"Small"),IF(AND(Practices_SubPractices[CP]=8,Practices_SubPractices[Org] ="Small"),SUMIFS(Practices_SubPractices[D],Practices_SubPractices[CP],"8",Practices_SubPractices[Org],"Small"),IF(AND(Practices_SubPractices[CP]=9,Practices_SubPractices[Org] ="Small"),SUMIFS(Practices_SubPractices[D],Practices_SubPractices[CP],"9",Practices_SubPractices[Org],"Small"),IF(AND(Practices_SubPractices[CP]=10,Practices_SubPractices[Org] ="Small"),SUMIFS(Practices_SubPractices[D],Practices_SubPractices[CP],"10",Practices_SubPractices[Org],"Small"),IF(AND(Practices_SubPractices[CP]=1,Practices_SubPractices[Org]="Medium"),SUMIFS(Practices_SubPractices[D],Practices_SubPractices[CP],"1",Practices_SubPractices[Org],"Medium"),IF(AND(Practices_SubPractices[CP]=2,Practices_SubPractices[Org]="Medium"),SUMIFS(Practices_SubPractices[D],Practices_SubPractices[CP],"2",Practices_SubPractices[Org],"Medium"),IF(AND(Practices_SubPractices[CP]=3,Practices_SubPractices[Org]="Medium"),SUMIFS(Practices_SubPractices[D],Practices_SubPractices[CP],"3",Practices_SubPractices[Org],"Medium"),IF(AND(Practices_SubPractices[CP]=4,Practices_SubPractices[Org]="Medium"),SUMIFS(Practices_SubPractices[D],Practices_SubPractices[CP],"4",Practices_SubPractices[Org],"Medium"),IF(AND(Practices_SubPractices[CP]=5,Practices_SubPractices[Org]="Medium"),SUMIFS(Practices_SubPractices[D],Practices_SubPractices[CP],"5",Practices_SubPractices[Org],"Medium"),IF(AND(Practices_SubPractices[CP]=6,Practices_SubPractices[Org]="Medium"),SUMIFS(Practices_SubPractices[D],Practices_SubPractices[CP],"6",Practices_SubPractices[Org],"Medium"),IF(AND(Practices_SubPractices[CP]=7,Practices_SubPractices[Org] ="Medium"),SUMIFS(Practices_SubPractices[D],Practices_SubPractices[CP],"7",Practices_SubPractices[Org],"Medium"),IF(AND(Practices_SubPractices[CP]=8,Practices_SubPractices[Org] ="Medium"),SUMIFS(Practices_SubPractices[D],Practices_SubPractices[CP],"8",Practices_SubPractices[Org],"Medium"),IF(AND(Practices_SubPractices[CP]=9,Practices_SubPractices[Org] ="Medium"),SUMIFS(Practices_SubPractices[D],Practices_SubPractices[CP],"9",Practices_SubPractices[Org],"Medium"),IF(AND(Practices_SubPractices[CP]=10,Practices_SubPractices[Org] ="Medium"),SUMIFS(Practices_SubPractices[D],Practices_SubPractices[CP],"10",Practices_SubPractices[Org],"Medium"),IF(AND(Practices_SubPractices[CP]=1,Practices_SubPractices[Org]="Large"),SUMIFS(Practices_SubPractices[D],Practices_SubPractices[CP],"1",Practices_SubPractices[Org],"Large"),IF(AND(Practices_SubPractices[CP]=2,Practices_SubPractices[Org]="Large"),SUMIFS(Practices_SubPractices[D],Practices_SubPractices[CP],"2",Practices_SubPractices[Org],"Large"),IF(AND(Practices_SubPractices[CP]=3,Practices_SubPractices[Org]="Large"),SUMIFS(Practices_SubPractices[D],Practices_SubPractices[CP],"3",Practices_SubPractices[Org],"Large"),IF(AND(Practices_SubPractices[CP]=4,Practices_SubPractices[Org]="Large"),SUMIFS(Practices_SubPractices[D],Practices_SubPractices[CP],"4",Practices_SubPractices[Org],"Large"),IF(AND(Practices_SubPractices[CP]=5,Practices_SubPractices[Org]="Large"),SUMIFS(Practices_SubPractices[D],Practices_SubPractices[CP],"5",Practices_SubPractices[Org],"Large"),IF(AND(Practices_SubPractices[CP]=6,Practices_SubPractices[Org]="Large"),SUMIFS(Practices_SubPractices[D],Practices_SubPractices[CP],"6",Practices_SubPractices[Org],"Large"),IF(AND(Practices_SubPractices[CP]=7,Practices_SubPractices[Org] ="Large"),SUMIFS(Practices_SubPractices[D],Practices_SubPractices[CP],"7",Practices_SubPractices[Org],"Large"),IF(AND(Practices_SubPractices[CP]=8,Practices_SubPractices[Org] ="Large"),SUMIFS(Practices_SubPractices[D],Practices_SubPractices[CP],"8",Practices_SubPractices[Org],"Large"),IF(AND(Practices_SubPractices[CP]=9,Practices_SubPractices[Org] ="Large"),SUMIFS(Practices_SubPractices[D],Practices_SubPractices[CP],"9",Practices_SubPractices[Org],"Large"),IF(AND(Practices_SubPractices[CP]=10,Practices_SubPractices[Org] ="Large"),SUMIFS(Practices_SubPractices[D],Practices_SubPractices[CP],"10",Practices_SubPractices[Org],"Large"),"TBD"))))))))))))))))))))))))))))))</f>
        <v>7</v>
      </c>
      <c r="R76" s="77">
        <f>IF(AND(Practices_SubPractices[CP]=1,Practices_SubPractices[Org]="Small"),SUMIFS(Practices_SubPractices[E],Practices_SubPractices[CP],"1",Practices_SubPractices[Org],"Small"),IF(AND(Practices_SubPractices[CP]=2,Practices_SubPractices[Org]="Small"),SUMIFS(Practices_SubPractices[E],Practices_SubPractices[CP],"2",Practices_SubPractices[Org],"Small"),IF(AND(Practices_SubPractices[CP]=3,Practices_SubPractices[Org]="Small"),SUMIFS(Practices_SubPractices[E],Practices_SubPractices[CP],"3",Practices_SubPractices[Org],"Small"),IF(AND(Practices_SubPractices[CP]=4,Practices_SubPractices[Org]="Small"),SUMIFS(Practices_SubPractices[E],Practices_SubPractices[CP],"4",Practices_SubPractices[Org],"Small"),IF(AND(Practices_SubPractices[CP]=5,Practices_SubPractices[Org]="Small"),SUMIFS(Practices_SubPractices[E],Practices_SubPractices[CP],"5",Practices_SubPractices[Org],"Small"),IF(AND(Practices_SubPractices[CP]=6,Practices_SubPractices[Org]="Small"),SUMIFS(Practices_SubPractices[E],Practices_SubPractices[CP],"6",Practices_SubPractices[Org],"Small"),IF(AND(Practices_SubPractices[CP]=7,Practices_SubPractices[Org] ="Small"),SUMIFS(Practices_SubPractices[E],Practices_SubPractices[CP],"7",Practices_SubPractices[Org],"Small"),IF(AND(Practices_SubPractices[CP]=8,Practices_SubPractices[Org] ="Small"),SUMIFS(Practices_SubPractices[E],Practices_SubPractices[CP],"8",Practices_SubPractices[Org],"Small"),IF(AND(Practices_SubPractices[CP]=9,Practices_SubPractices[Org] ="Small"),SUMIFS(Practices_SubPractices[E],Practices_SubPractices[CP],"9",Practices_SubPractices[Org],"Small"),IF(AND(Practices_SubPractices[CP]=10,Practices_SubPractices[Org] ="Small"),SUMIFS(Practices_SubPractices[E],Practices_SubPractices[CP],"10",Practices_SubPractices[Org],"Small"),IF(AND(Practices_SubPractices[CP]=1,Practices_SubPractices[Org]="Medium"),SUMIFS(Practices_SubPractices[E],Practices_SubPractices[CP],"1",Practices_SubPractices[Org],"Medium"),IF(AND(Practices_SubPractices[CP]=2,Practices_SubPractices[Org]="Medium"),SUMIFS(Practices_SubPractices[E],Practices_SubPractices[CP],"2",Practices_SubPractices[Org],"Medium"),IF(AND(Practices_SubPractices[CP]=3,Practices_SubPractices[Org]="Medium"),SUMIFS(Practices_SubPractices[E],Practices_SubPractices[CP],"3",Practices_SubPractices[Org],"Medium"),IF(AND(Practices_SubPractices[CP]=4,Practices_SubPractices[Org]="Medium"),SUMIFS(Practices_SubPractices[E],Practices_SubPractices[CP],"4",Practices_SubPractices[Org],"Medium"),IF(AND(Practices_SubPractices[CP]=5,Practices_SubPractices[Org]="Medium"),SUMIFS(Practices_SubPractices[E],Practices_SubPractices[CP],"5",Practices_SubPractices[Org],"Medium"),IF(AND(Practices_SubPractices[CP]=6,Practices_SubPractices[Org]="Medium"),SUMIFS(Practices_SubPractices[E],Practices_SubPractices[CP],"6",Practices_SubPractices[Org],"Medium"),IF(AND(Practices_SubPractices[CP]=7,Practices_SubPractices[Org] ="Medium"),SUMIFS(Practices_SubPractices[E],Practices_SubPractices[CP],"7",Practices_SubPractices[Org],"Medium"),IF(AND(Practices_SubPractices[CP]=8,Practices_SubPractices[Org] ="Medium"),SUMIFS(Practices_SubPractices[E],Practices_SubPractices[CP],"8",Practices_SubPractices[Org],"Medium"),IF(AND(Practices_SubPractices[CP]=9,Practices_SubPractices[Org] ="Medium"),SUMIFS(Practices_SubPractices[E],Practices_SubPractices[CP],"9",Practices_SubPractices[Org],"Medium"),IF(AND(Practices_SubPractices[CP]=10,Practices_SubPractices[Org] ="Medium"),SUMIFS(Practices_SubPractices[E],Practices_SubPractices[CP],"10",Practices_SubPractices[Org],"Medium"),IF(AND(Practices_SubPractices[CP]=1,Practices_SubPractices[Org]="Large"),SUMIFS(Practices_SubPractices[E],Practices_SubPractices[CP],"1",Practices_SubPractices[Org],"Large"),IF(AND(Practices_SubPractices[CP]=2,Practices_SubPractices[Org]="Large"),SUMIFS(Practices_SubPractices[E],Practices_SubPractices[CP],"2",Practices_SubPractices[Org],"Large"),IF(AND(Practices_SubPractices[CP]=3,Practices_SubPractices[Org]="Large"),SUMIFS(Practices_SubPractices[E],Practices_SubPractices[CP],"3",Practices_SubPractices[Org],"Large"),IF(AND(Practices_SubPractices[CP]=4,Practices_SubPractices[Org]="Large"),SUMIFS(Practices_SubPractices[E],Practices_SubPractices[CP],"4",Practices_SubPractices[Org],"Large"),IF(AND(Practices_SubPractices[CP]=5,Practices_SubPractices[Org]="Large"),SUMIFS(Practices_SubPractices[E],Practices_SubPractices[CP],"5",Practices_SubPractices[Org],"Large"),IF(AND(Practices_SubPractices[CP]=6,Practices_SubPractices[Org]="Large"),SUMIFS(Practices_SubPractices[E],Practices_SubPractices[CP],"6",Practices_SubPractices[Org],"Large"),IF(AND(Practices_SubPractices[CP]=7,Practices_SubPractices[Org] ="Large"),SUMIFS(Practices_SubPractices[E],Practices_SubPractices[CP],"7",Practices_SubPractices[Org],"Large"),IF(AND(Practices_SubPractices[CP]=8,Practices_SubPractices[Org] ="Large"),SUMIFS(Practices_SubPractices[E],Practices_SubPractices[CP],"8",Practices_SubPractices[Org],"Large"),IF(AND(Practices_SubPractices[CP]=9,Practices_SubPractices[Org] ="Large"),SUMIFS(Practices_SubPractices[E],Practices_SubPractices[CP],"9",Practices_SubPractices[Org],"Large"),IF(AND(Practices_SubPractices[CP]=10,Practices_SubPractices[Org] ="Large"),SUMIFS(Practices_SubPractices[E],Practices_SubPractices[CP],"10",Practices_SubPractices[Org],"Large"),"TBD"))))))))))))))))))))))))))))))</f>
        <v>2</v>
      </c>
      <c r="S76" s="87" t="s">
        <v>423</v>
      </c>
    </row>
    <row r="77" spans="1:19" x14ac:dyDescent="0.35">
      <c r="A77" s="73">
        <v>67</v>
      </c>
      <c r="B77" s="73">
        <v>7</v>
      </c>
      <c r="C77" s="73" t="s">
        <v>12</v>
      </c>
      <c r="D77" s="73" t="str">
        <f>Practices_SubPractices[[#This Row],[CP]]&amp;LEFT(Practices_SubPractices[[#This Row],[Org]],1)</f>
        <v>7L</v>
      </c>
      <c r="E77" s="73" t="s">
        <v>265</v>
      </c>
      <c r="F77" s="74" t="s">
        <v>18</v>
      </c>
      <c r="G77" s="74" t="s">
        <v>135</v>
      </c>
      <c r="H77" s="74" t="s">
        <v>245</v>
      </c>
      <c r="I77" s="75">
        <v>0</v>
      </c>
      <c r="J77" s="75">
        <v>2</v>
      </c>
      <c r="K77" s="75">
        <v>0</v>
      </c>
      <c r="L77" s="75">
        <v>2</v>
      </c>
      <c r="M77" s="75">
        <v>1</v>
      </c>
      <c r="N77" s="76"/>
      <c r="O77" s="77">
        <f>IF(AND(Practices_SubPractices[CP]=1,Practices_SubPractices[Org]="Small"),SUMIFS(Practices_SubPractices[B],Practices_SubPractices[CP],"1",Practices_SubPractices[Org],"Small"),IF(AND(Practices_SubPractices[CP]=2,Practices_SubPractices[Org]="Small"),SUMIFS(Practices_SubPractices[B],Practices_SubPractices[CP],"2",Practices_SubPractices[Org],"Small"),IF(AND(Practices_SubPractices[CP]=3,Practices_SubPractices[Org]="Small"),SUMIFS(Practices_SubPractices[B],Practices_SubPractices[CP],"3",Practices_SubPractices[Org],"Small"),IF(AND(Practices_SubPractices[CP]=4,Practices_SubPractices[Org]="Small"),SUMIFS(Practices_SubPractices[B],Practices_SubPractices[CP],"4",Practices_SubPractices[Org],"Small"),IF(AND(Practices_SubPractices[CP]=5,Practices_SubPractices[Org]="Small"),SUMIFS(Practices_SubPractices[B],Practices_SubPractices[CP],"5",Practices_SubPractices[Org],"Small"),IF(AND(Practices_SubPractices[CP]=6,Practices_SubPractices[Org]="Small"),SUMIFS(Practices_SubPractices[B],Practices_SubPractices[CP],"6",Practices_SubPractices[Org],"Small"),IF(AND(Practices_SubPractices[CP]=7,Practices_SubPractices[Org] ="Small"),SUMIFS(Practices_SubPractices[B],Practices_SubPractices[CP],"7",Practices_SubPractices[Org],"Small"),IF(AND(Practices_SubPractices[CP]=8,Practices_SubPractices[Org] ="Small"),SUMIFS(Practices_SubPractices[B],Practices_SubPractices[CP],"8",Practices_SubPractices[Org],"Small"),IF(AND(Practices_SubPractices[CP]=9,Practices_SubPractices[Org] ="Small"),SUMIFS(Practices_SubPractices[B],Practices_SubPractices[CP],"9",Practices_SubPractices[Org],"Small"),IF(AND(Practices_SubPractices[CP]=10,Practices_SubPractices[Org] ="Small"),SUMIFS(Practices_SubPractices[B],Practices_SubPractices[CP],"10",Practices_SubPractices[Org],"Small"),IF(AND(Practices_SubPractices[CP]=1,Practices_SubPractices[Org]="Medium"),SUMIFS(Practices_SubPractices[B],Practices_SubPractices[CP],"1",Practices_SubPractices[Org],"Medium"),IF(AND(Practices_SubPractices[CP]=2,Practices_SubPractices[Org]="Medium"),SUMIFS(Practices_SubPractices[B],Practices_SubPractices[CP],"2",Practices_SubPractices[Org],"Medium"),IF(AND(Practices_SubPractices[CP]=3,Practices_SubPractices[Org]="Medium"),SUMIFS(Practices_SubPractices[B],Practices_SubPractices[CP],"3",Practices_SubPractices[Org],"Medium"),IF(AND(Practices_SubPractices[CP]=4,Practices_SubPractices[Org]="Medium"),SUMIFS(Practices_SubPractices[B],Practices_SubPractices[CP],"4",Practices_SubPractices[Org],"Medium"),IF(AND(Practices_SubPractices[CP]=5,Practices_SubPractices[Org]="Medium"),SUMIFS(Practices_SubPractices[B],Practices_SubPractices[CP],"5",Practices_SubPractices[Org],"Medium"),IF(AND(Practices_SubPractices[CP]=6,Practices_SubPractices[Org]="Medium"),SUMIFS(Practices_SubPractices[B],Practices_SubPractices[CP],"6",Practices_SubPractices[Org],"Medium"),IF(AND(Practices_SubPractices[CP]=7,Practices_SubPractices[Org] ="Medium"),SUMIFS(Practices_SubPractices[B],Practices_SubPractices[CP],"7",Practices_SubPractices[Org],"Medium"),IF(AND(Practices_SubPractices[CP]=8,Practices_SubPractices[Org] ="Medium"),SUMIFS(Practices_SubPractices[B],Practices_SubPractices[CP],"8",Practices_SubPractices[Org],"Medium"),IF(AND(Practices_SubPractices[CP]=9,Practices_SubPractices[Org] ="Medium"),SUMIFS(Practices_SubPractices[B],Practices_SubPractices[CP],"9",Practices_SubPractices[Org],"Medium"),IF(AND(Practices_SubPractices[CP]=10,Practices_SubPractices[Org] ="Medium"),SUMIFS(Practices_SubPractices[B],Practices_SubPractices[CP],"10",Practices_SubPractices[Org],"Medium"),IF(AND(Practices_SubPractices[CP]=1,Practices_SubPractices[Org]="Large"),SUMIFS(Practices_SubPractices[B],Practices_SubPractices[CP],"1",Practices_SubPractices[Org],"Large"),IF(AND(Practices_SubPractices[CP]=2,Practices_SubPractices[Org]="Large"),SUMIFS(Practices_SubPractices[B],Practices_SubPractices[CP],"2",Practices_SubPractices[Org],"Large"),IF(AND(Practices_SubPractices[CP]=3,Practices_SubPractices[Org]="Large"),SUMIFS(Practices_SubPractices[B],Practices_SubPractices[CP],"3",Practices_SubPractices[Org],"Large"),IF(AND(Practices_SubPractices[CP]=4,Practices_SubPractices[Org]="Large"),SUMIFS(Practices_SubPractices[B],Practices_SubPractices[CP],"4",Practices_SubPractices[Org],"Large"),IF(AND(Practices_SubPractices[CP]=5,Practices_SubPractices[Org]="Large"),SUMIFS(Practices_SubPractices[B],Practices_SubPractices[CP],"5",Practices_SubPractices[Org],"Large"),IF(AND(Practices_SubPractices[CP]=6,Practices_SubPractices[Org]="Large"),SUMIFS(Practices_SubPractices[B],Practices_SubPractices[CP],"6",Practices_SubPractices[Org],"Large"),IF(AND(Practices_SubPractices[CP]=7,Practices_SubPractices[Org] ="Large"),SUMIFS(Practices_SubPractices[B],Practices_SubPractices[CP],"7",Practices_SubPractices[Org],"Large"),IF(AND(Practices_SubPractices[CP]=8,Practices_SubPractices[Org] ="Large"),SUMIFS(Practices_SubPractices[B],Practices_SubPractices[CP],"8",Practices_SubPractices[Org],"Large"),IF(AND(Practices_SubPractices[CP]=9,Practices_SubPractices[Org] ="Large"),SUMIFS(Practices_SubPractices[B],Practices_SubPractices[CP],"9",Practices_SubPractices[Org],"Large"),IF(AND(Practices_SubPractices[CP]=10,Practices_SubPractices[Org] ="Large"),SUMIFS(Practices_SubPractices[B],Practices_SubPractices[CP],"10",Practices_SubPractices[Org],"Large"),"TBD"))))))))))))))))))))))))))))))</f>
        <v>11</v>
      </c>
      <c r="P77" s="77">
        <f>IF(AND(Practices_SubPractices[CP]=1,Practices_SubPractices[Org]="Small"),SUMIFS(Practices_SubPractices[C],Practices_SubPractices[CP],"1",Practices_SubPractices[Org],"Small"),IF(AND(Practices_SubPractices[CP]=2,Practices_SubPractices[Org]="Small"),SUMIFS(Practices_SubPractices[C],Practices_SubPractices[CP],"2",Practices_SubPractices[Org],"Small"),IF(AND(Practices_SubPractices[CP]=3,Practices_SubPractices[Org]="Small"),SUMIFS(Practices_SubPractices[C],Practices_SubPractices[CP],"3",Practices_SubPractices[Org],"Small"),IF(AND(Practices_SubPractices[CP]=4,Practices_SubPractices[Org]="Small"),SUMIFS(Practices_SubPractices[C],Practices_SubPractices[CP],"4",Practices_SubPractices[Org],"Small"),IF(AND(Practices_SubPractices[CP]=5,Practices_SubPractices[Org]="Small"),SUMIFS(Practices_SubPractices[C],Practices_SubPractices[CP],"5",Practices_SubPractices[Org],"Small"),IF(AND(Practices_SubPractices[CP]=6,Practices_SubPractices[Org]="Small"),SUMIFS(Practices_SubPractices[C],Practices_SubPractices[CP],"6",Practices_SubPractices[Org],"Small"),IF(AND(Practices_SubPractices[CP]=7,Practices_SubPractices[Org] ="Small"),SUMIFS(Practices_SubPractices[C],Practices_SubPractices[CP],"7",Practices_SubPractices[Org],"Small"),IF(AND(Practices_SubPractices[CP]=8,Practices_SubPractices[Org] ="Small"),SUMIFS(Practices_SubPractices[C],Practices_SubPractices[CP],"8",Practices_SubPractices[Org],"Small"),IF(AND(Practices_SubPractices[CP]=9,Practices_SubPractices[Org] ="Small"),SUMIFS(Practices_SubPractices[C],Practices_SubPractices[CP],"9",Practices_SubPractices[Org],"Small"),IF(AND(Practices_SubPractices[CP]=10,Practices_SubPractices[Org] ="Small"),SUMIFS(Practices_SubPractices[C],Practices_SubPractices[CP],"10",Practices_SubPractices[Org],"Small"),IF(AND(Practices_SubPractices[CP]=1,Practices_SubPractices[Org]="Medium"),SUMIFS(Practices_SubPractices[C],Practices_SubPractices[CP],"1",Practices_SubPractices[Org],"Medium"),IF(AND(Practices_SubPractices[CP]=2,Practices_SubPractices[Org]="Medium"),SUMIFS(Practices_SubPractices[C],Practices_SubPractices[CP],"2",Practices_SubPractices[Org],"Medium"),IF(AND(Practices_SubPractices[CP]=3,Practices_SubPractices[Org]="Medium"),SUMIFS(Practices_SubPractices[C],Practices_SubPractices[CP],"3",Practices_SubPractices[Org],"Medium"),IF(AND(Practices_SubPractices[CP]=4,Practices_SubPractices[Org]="Medium"),SUMIFS(Practices_SubPractices[C],Practices_SubPractices[CP],"4",Practices_SubPractices[Org],"Medium"),IF(AND(Practices_SubPractices[CP]=5,Practices_SubPractices[Org]="Medium"),SUMIFS(Practices_SubPractices[C],Practices_SubPractices[CP],"5",Practices_SubPractices[Org],"Medium"),IF(AND(Practices_SubPractices[CP]=6,Practices_SubPractices[Org]="Medium"),SUMIFS(Practices_SubPractices[C],Practices_SubPractices[CP],"6",Practices_SubPractices[Org],"Medium"),IF(AND(Practices_SubPractices[CP]=7,Practices_SubPractices[Org] ="Medium"),SUMIFS(Practices_SubPractices[C],Practices_SubPractices[CP],"7",Practices_SubPractices[Org],"Medium"),IF(AND(Practices_SubPractices[CP]=8,Practices_SubPractices[Org] ="Medium"),SUMIFS(Practices_SubPractices[C],Practices_SubPractices[CP],"8",Practices_SubPractices[Org],"Medium"),IF(AND(Practices_SubPractices[CP]=9,Practices_SubPractices[Org] ="Medium"),SUMIFS(Practices_SubPractices[C],Practices_SubPractices[CP],"9",Practices_SubPractices[Org],"Medium"),IF(AND(Practices_SubPractices[CP]=10,Practices_SubPractices[Org] ="Medium"),SUMIFS(Practices_SubPractices[C],Practices_SubPractices[CP],"10",Practices_SubPractices[Org],"Medium"),IF(AND(Practices_SubPractices[CP]=1,Practices_SubPractices[Org]="Large"),SUMIFS(Practices_SubPractices[C],Practices_SubPractices[CP],"1",Practices_SubPractices[Org],"Large"),IF(AND(Practices_SubPractices[CP]=2,Practices_SubPractices[Org]="Large"),SUMIFS(Practices_SubPractices[C],Practices_SubPractices[CP],"2",Practices_SubPractices[Org],"Large"),IF(AND(Practices_SubPractices[CP]=3,Practices_SubPractices[Org]="Large"),SUMIFS(Practices_SubPractices[C],Practices_SubPractices[CP],"3",Practices_SubPractices[Org],"Large"),IF(AND(Practices_SubPractices[CP]=4,Practices_SubPractices[Org]="Large"),SUMIFS(Practices_SubPractices[C],Practices_SubPractices[CP],"4",Practices_SubPractices[Org],"Large"),IF(AND(Practices_SubPractices[CP]=5,Practices_SubPractices[Org]="Large"),SUMIFS(Practices_SubPractices[C],Practices_SubPractices[CP],"5",Practices_SubPractices[Org],"Large"),IF(AND(Practices_SubPractices[CP]=6,Practices_SubPractices[Org]="Large"),SUMIFS(Practices_SubPractices[C],Practices_SubPractices[CP],"6",Practices_SubPractices[Org],"Large"),IF(AND(Practices_SubPractices[CP]=7,Practices_SubPractices[Org] ="Large"),SUMIFS(Practices_SubPractices[C],Practices_SubPractices[CP],"7",Practices_SubPractices[Org],"Large"),IF(AND(Practices_SubPractices[CP]=8,Practices_SubPractices[Org] ="Large"),SUMIFS(Practices_SubPractices[C],Practices_SubPractices[CP],"8",Practices_SubPractices[Org],"Large"),IF(AND(Practices_SubPractices[CP]=9,Practices_SubPractices[Org] ="Large"),SUMIFS(Practices_SubPractices[C],Practices_SubPractices[CP],"9",Practices_SubPractices[Org],"Large"),IF(AND(Practices_SubPractices[CP]=10,Practices_SubPractices[Org] ="Large"),SUMIFS(Practices_SubPractices[C],Practices_SubPractices[CP],"10",Practices_SubPractices[Org],"Large"),"TBD"))))))))))))))))))))))))))))))</f>
        <v>1</v>
      </c>
      <c r="Q77" s="77">
        <f>IF(AND(Practices_SubPractices[CP]=1,Practices_SubPractices[Org]="Small"),SUMIFS(Practices_SubPractices[D],Practices_SubPractices[CP],"1",Practices_SubPractices[Org],"Small"),IF(AND(Practices_SubPractices[CP]=2,Practices_SubPractices[Org]="Small"),SUMIFS(Practices_SubPractices[D],Practices_SubPractices[CP],"2",Practices_SubPractices[Org],"Small"),IF(AND(Practices_SubPractices[CP]=3,Practices_SubPractices[Org]="Small"),SUMIFS(Practices_SubPractices[D],Practices_SubPractices[CP],"3",Practices_SubPractices[Org],"Small"),IF(AND(Practices_SubPractices[CP]=4,Practices_SubPractices[Org]="Small"),SUMIFS(Practices_SubPractices[D],Practices_SubPractices[CP],"4",Practices_SubPractices[Org],"Small"),IF(AND(Practices_SubPractices[CP]=5,Practices_SubPractices[Org]="Small"),SUMIFS(Practices_SubPractices[D],Practices_SubPractices[CP],"5",Practices_SubPractices[Org],"Small"),IF(AND(Practices_SubPractices[CP]=6,Practices_SubPractices[Org]="Small"),SUMIFS(Practices_SubPractices[D],Practices_SubPractices[CP],"6",Practices_SubPractices[Org],"Small"),IF(AND(Practices_SubPractices[CP]=7,Practices_SubPractices[Org] ="Small"),SUMIFS(Practices_SubPractices[D],Practices_SubPractices[CP],"7",Practices_SubPractices[Org],"Small"),IF(AND(Practices_SubPractices[CP]=8,Practices_SubPractices[Org] ="Small"),SUMIFS(Practices_SubPractices[D],Practices_SubPractices[CP],"8",Practices_SubPractices[Org],"Small"),IF(AND(Practices_SubPractices[CP]=9,Practices_SubPractices[Org] ="Small"),SUMIFS(Practices_SubPractices[D],Practices_SubPractices[CP],"9",Practices_SubPractices[Org],"Small"),IF(AND(Practices_SubPractices[CP]=10,Practices_SubPractices[Org] ="Small"),SUMIFS(Practices_SubPractices[D],Practices_SubPractices[CP],"10",Practices_SubPractices[Org],"Small"),IF(AND(Practices_SubPractices[CP]=1,Practices_SubPractices[Org]="Medium"),SUMIFS(Practices_SubPractices[D],Practices_SubPractices[CP],"1",Practices_SubPractices[Org],"Medium"),IF(AND(Practices_SubPractices[CP]=2,Practices_SubPractices[Org]="Medium"),SUMIFS(Practices_SubPractices[D],Practices_SubPractices[CP],"2",Practices_SubPractices[Org],"Medium"),IF(AND(Practices_SubPractices[CP]=3,Practices_SubPractices[Org]="Medium"),SUMIFS(Practices_SubPractices[D],Practices_SubPractices[CP],"3",Practices_SubPractices[Org],"Medium"),IF(AND(Practices_SubPractices[CP]=4,Practices_SubPractices[Org]="Medium"),SUMIFS(Practices_SubPractices[D],Practices_SubPractices[CP],"4",Practices_SubPractices[Org],"Medium"),IF(AND(Practices_SubPractices[CP]=5,Practices_SubPractices[Org]="Medium"),SUMIFS(Practices_SubPractices[D],Practices_SubPractices[CP],"5",Practices_SubPractices[Org],"Medium"),IF(AND(Practices_SubPractices[CP]=6,Practices_SubPractices[Org]="Medium"),SUMIFS(Practices_SubPractices[D],Practices_SubPractices[CP],"6",Practices_SubPractices[Org],"Medium"),IF(AND(Practices_SubPractices[CP]=7,Practices_SubPractices[Org] ="Medium"),SUMIFS(Practices_SubPractices[D],Practices_SubPractices[CP],"7",Practices_SubPractices[Org],"Medium"),IF(AND(Practices_SubPractices[CP]=8,Practices_SubPractices[Org] ="Medium"),SUMIFS(Practices_SubPractices[D],Practices_SubPractices[CP],"8",Practices_SubPractices[Org],"Medium"),IF(AND(Practices_SubPractices[CP]=9,Practices_SubPractices[Org] ="Medium"),SUMIFS(Practices_SubPractices[D],Practices_SubPractices[CP],"9",Practices_SubPractices[Org],"Medium"),IF(AND(Practices_SubPractices[CP]=10,Practices_SubPractices[Org] ="Medium"),SUMIFS(Practices_SubPractices[D],Practices_SubPractices[CP],"10",Practices_SubPractices[Org],"Medium"),IF(AND(Practices_SubPractices[CP]=1,Practices_SubPractices[Org]="Large"),SUMIFS(Practices_SubPractices[D],Practices_SubPractices[CP],"1",Practices_SubPractices[Org],"Large"),IF(AND(Practices_SubPractices[CP]=2,Practices_SubPractices[Org]="Large"),SUMIFS(Practices_SubPractices[D],Practices_SubPractices[CP],"2",Practices_SubPractices[Org],"Large"),IF(AND(Practices_SubPractices[CP]=3,Practices_SubPractices[Org]="Large"),SUMIFS(Practices_SubPractices[D],Practices_SubPractices[CP],"3",Practices_SubPractices[Org],"Large"),IF(AND(Practices_SubPractices[CP]=4,Practices_SubPractices[Org]="Large"),SUMIFS(Practices_SubPractices[D],Practices_SubPractices[CP],"4",Practices_SubPractices[Org],"Large"),IF(AND(Practices_SubPractices[CP]=5,Practices_SubPractices[Org]="Large"),SUMIFS(Practices_SubPractices[D],Practices_SubPractices[CP],"5",Practices_SubPractices[Org],"Large"),IF(AND(Practices_SubPractices[CP]=6,Practices_SubPractices[Org]="Large"),SUMIFS(Practices_SubPractices[D],Practices_SubPractices[CP],"6",Practices_SubPractices[Org],"Large"),IF(AND(Practices_SubPractices[CP]=7,Practices_SubPractices[Org] ="Large"),SUMIFS(Practices_SubPractices[D],Practices_SubPractices[CP],"7",Practices_SubPractices[Org],"Large"),IF(AND(Practices_SubPractices[CP]=8,Practices_SubPractices[Org] ="Large"),SUMIFS(Practices_SubPractices[D],Practices_SubPractices[CP],"8",Practices_SubPractices[Org],"Large"),IF(AND(Practices_SubPractices[CP]=9,Practices_SubPractices[Org] ="Large"),SUMIFS(Practices_SubPractices[D],Practices_SubPractices[CP],"9",Practices_SubPractices[Org],"Large"),IF(AND(Practices_SubPractices[CP]=10,Practices_SubPractices[Org] ="Large"),SUMIFS(Practices_SubPractices[D],Practices_SubPractices[CP],"10",Practices_SubPractices[Org],"Large"),"TBD"))))))))))))))))))))))))))))))</f>
        <v>11</v>
      </c>
      <c r="R77" s="77">
        <f>IF(AND(Practices_SubPractices[CP]=1,Practices_SubPractices[Org]="Small"),SUMIFS(Practices_SubPractices[E],Practices_SubPractices[CP],"1",Practices_SubPractices[Org],"Small"),IF(AND(Practices_SubPractices[CP]=2,Practices_SubPractices[Org]="Small"),SUMIFS(Practices_SubPractices[E],Practices_SubPractices[CP],"2",Practices_SubPractices[Org],"Small"),IF(AND(Practices_SubPractices[CP]=3,Practices_SubPractices[Org]="Small"),SUMIFS(Practices_SubPractices[E],Practices_SubPractices[CP],"3",Practices_SubPractices[Org],"Small"),IF(AND(Practices_SubPractices[CP]=4,Practices_SubPractices[Org]="Small"),SUMIFS(Practices_SubPractices[E],Practices_SubPractices[CP],"4",Practices_SubPractices[Org],"Small"),IF(AND(Practices_SubPractices[CP]=5,Practices_SubPractices[Org]="Small"),SUMIFS(Practices_SubPractices[E],Practices_SubPractices[CP],"5",Practices_SubPractices[Org],"Small"),IF(AND(Practices_SubPractices[CP]=6,Practices_SubPractices[Org]="Small"),SUMIFS(Practices_SubPractices[E],Practices_SubPractices[CP],"6",Practices_SubPractices[Org],"Small"),IF(AND(Practices_SubPractices[CP]=7,Practices_SubPractices[Org] ="Small"),SUMIFS(Practices_SubPractices[E],Practices_SubPractices[CP],"7",Practices_SubPractices[Org],"Small"),IF(AND(Practices_SubPractices[CP]=8,Practices_SubPractices[Org] ="Small"),SUMIFS(Practices_SubPractices[E],Practices_SubPractices[CP],"8",Practices_SubPractices[Org],"Small"),IF(AND(Practices_SubPractices[CP]=9,Practices_SubPractices[Org] ="Small"),SUMIFS(Practices_SubPractices[E],Practices_SubPractices[CP],"9",Practices_SubPractices[Org],"Small"),IF(AND(Practices_SubPractices[CP]=10,Practices_SubPractices[Org] ="Small"),SUMIFS(Practices_SubPractices[E],Practices_SubPractices[CP],"10",Practices_SubPractices[Org],"Small"),IF(AND(Practices_SubPractices[CP]=1,Practices_SubPractices[Org]="Medium"),SUMIFS(Practices_SubPractices[E],Practices_SubPractices[CP],"1",Practices_SubPractices[Org],"Medium"),IF(AND(Practices_SubPractices[CP]=2,Practices_SubPractices[Org]="Medium"),SUMIFS(Practices_SubPractices[E],Practices_SubPractices[CP],"2",Practices_SubPractices[Org],"Medium"),IF(AND(Practices_SubPractices[CP]=3,Practices_SubPractices[Org]="Medium"),SUMIFS(Practices_SubPractices[E],Practices_SubPractices[CP],"3",Practices_SubPractices[Org],"Medium"),IF(AND(Practices_SubPractices[CP]=4,Practices_SubPractices[Org]="Medium"),SUMIFS(Practices_SubPractices[E],Practices_SubPractices[CP],"4",Practices_SubPractices[Org],"Medium"),IF(AND(Practices_SubPractices[CP]=5,Practices_SubPractices[Org]="Medium"),SUMIFS(Practices_SubPractices[E],Practices_SubPractices[CP],"5",Practices_SubPractices[Org],"Medium"),IF(AND(Practices_SubPractices[CP]=6,Practices_SubPractices[Org]="Medium"),SUMIFS(Practices_SubPractices[E],Practices_SubPractices[CP],"6",Practices_SubPractices[Org],"Medium"),IF(AND(Practices_SubPractices[CP]=7,Practices_SubPractices[Org] ="Medium"),SUMIFS(Practices_SubPractices[E],Practices_SubPractices[CP],"7",Practices_SubPractices[Org],"Medium"),IF(AND(Practices_SubPractices[CP]=8,Practices_SubPractices[Org] ="Medium"),SUMIFS(Practices_SubPractices[E],Practices_SubPractices[CP],"8",Practices_SubPractices[Org],"Medium"),IF(AND(Practices_SubPractices[CP]=9,Practices_SubPractices[Org] ="Medium"),SUMIFS(Practices_SubPractices[E],Practices_SubPractices[CP],"9",Practices_SubPractices[Org],"Medium"),IF(AND(Practices_SubPractices[CP]=10,Practices_SubPractices[Org] ="Medium"),SUMIFS(Practices_SubPractices[E],Practices_SubPractices[CP],"10",Practices_SubPractices[Org],"Medium"),IF(AND(Practices_SubPractices[CP]=1,Practices_SubPractices[Org]="Large"),SUMIFS(Practices_SubPractices[E],Practices_SubPractices[CP],"1",Practices_SubPractices[Org],"Large"),IF(AND(Practices_SubPractices[CP]=2,Practices_SubPractices[Org]="Large"),SUMIFS(Practices_SubPractices[E],Practices_SubPractices[CP],"2",Practices_SubPractices[Org],"Large"),IF(AND(Practices_SubPractices[CP]=3,Practices_SubPractices[Org]="Large"),SUMIFS(Practices_SubPractices[E],Practices_SubPractices[CP],"3",Practices_SubPractices[Org],"Large"),IF(AND(Practices_SubPractices[CP]=4,Practices_SubPractices[Org]="Large"),SUMIFS(Practices_SubPractices[E],Practices_SubPractices[CP],"4",Practices_SubPractices[Org],"Large"),IF(AND(Practices_SubPractices[CP]=5,Practices_SubPractices[Org]="Large"),SUMIFS(Practices_SubPractices[E],Practices_SubPractices[CP],"5",Practices_SubPractices[Org],"Large"),IF(AND(Practices_SubPractices[CP]=6,Practices_SubPractices[Org]="Large"),SUMIFS(Practices_SubPractices[E],Practices_SubPractices[CP],"6",Practices_SubPractices[Org],"Large"),IF(AND(Practices_SubPractices[CP]=7,Practices_SubPractices[Org] ="Large"),SUMIFS(Practices_SubPractices[E],Practices_SubPractices[CP],"7",Practices_SubPractices[Org],"Large"),IF(AND(Practices_SubPractices[CP]=8,Practices_SubPractices[Org] ="Large"),SUMIFS(Practices_SubPractices[E],Practices_SubPractices[CP],"8",Practices_SubPractices[Org],"Large"),IF(AND(Practices_SubPractices[CP]=9,Practices_SubPractices[Org] ="Large"),SUMIFS(Practices_SubPractices[E],Practices_SubPractices[CP],"9",Practices_SubPractices[Org],"Large"),IF(AND(Practices_SubPractices[CP]=10,Practices_SubPractices[Org] ="Large"),SUMIFS(Practices_SubPractices[E],Practices_SubPractices[CP],"10",Practices_SubPractices[Org],"Large"),"TBD"))))))))))))))))))))))))))))))</f>
        <v>4</v>
      </c>
      <c r="S77" s="87" t="s">
        <v>423</v>
      </c>
    </row>
    <row r="78" spans="1:19" x14ac:dyDescent="0.35">
      <c r="A78" s="73">
        <v>68</v>
      </c>
      <c r="B78" s="73">
        <v>7</v>
      </c>
      <c r="C78" s="73" t="s">
        <v>11</v>
      </c>
      <c r="D78" s="73" t="str">
        <f>Practices_SubPractices[[#This Row],[CP]]&amp;LEFT(Practices_SubPractices[[#This Row],[Org]],1)</f>
        <v>7M</v>
      </c>
      <c r="E78" s="73" t="s">
        <v>266</v>
      </c>
      <c r="F78" s="74" t="s">
        <v>132</v>
      </c>
      <c r="G78" s="74" t="s">
        <v>136</v>
      </c>
      <c r="H78" s="74" t="s">
        <v>368</v>
      </c>
      <c r="I78" s="75">
        <v>0</v>
      </c>
      <c r="J78" s="75">
        <v>2</v>
      </c>
      <c r="K78" s="75">
        <v>0</v>
      </c>
      <c r="L78" s="75">
        <v>2</v>
      </c>
      <c r="M78" s="75">
        <v>0</v>
      </c>
      <c r="N78" s="76"/>
      <c r="O78" s="77">
        <f>IF(AND(Practices_SubPractices[CP]=1,Practices_SubPractices[Org]="Small"),SUMIFS(Practices_SubPractices[B],Practices_SubPractices[CP],"1",Practices_SubPractices[Org],"Small"),IF(AND(Practices_SubPractices[CP]=2,Practices_SubPractices[Org]="Small"),SUMIFS(Practices_SubPractices[B],Practices_SubPractices[CP],"2",Practices_SubPractices[Org],"Small"),IF(AND(Practices_SubPractices[CP]=3,Practices_SubPractices[Org]="Small"),SUMIFS(Practices_SubPractices[B],Practices_SubPractices[CP],"3",Practices_SubPractices[Org],"Small"),IF(AND(Practices_SubPractices[CP]=4,Practices_SubPractices[Org]="Small"),SUMIFS(Practices_SubPractices[B],Practices_SubPractices[CP],"4",Practices_SubPractices[Org],"Small"),IF(AND(Practices_SubPractices[CP]=5,Practices_SubPractices[Org]="Small"),SUMIFS(Practices_SubPractices[B],Practices_SubPractices[CP],"5",Practices_SubPractices[Org],"Small"),IF(AND(Practices_SubPractices[CP]=6,Practices_SubPractices[Org]="Small"),SUMIFS(Practices_SubPractices[B],Practices_SubPractices[CP],"6",Practices_SubPractices[Org],"Small"),IF(AND(Practices_SubPractices[CP]=7,Practices_SubPractices[Org] ="Small"),SUMIFS(Practices_SubPractices[B],Practices_SubPractices[CP],"7",Practices_SubPractices[Org],"Small"),IF(AND(Practices_SubPractices[CP]=8,Practices_SubPractices[Org] ="Small"),SUMIFS(Practices_SubPractices[B],Practices_SubPractices[CP],"8",Practices_SubPractices[Org],"Small"),IF(AND(Practices_SubPractices[CP]=9,Practices_SubPractices[Org] ="Small"),SUMIFS(Practices_SubPractices[B],Practices_SubPractices[CP],"9",Practices_SubPractices[Org],"Small"),IF(AND(Practices_SubPractices[CP]=10,Practices_SubPractices[Org] ="Small"),SUMIFS(Practices_SubPractices[B],Practices_SubPractices[CP],"10",Practices_SubPractices[Org],"Small"),IF(AND(Practices_SubPractices[CP]=1,Practices_SubPractices[Org]="Medium"),SUMIFS(Practices_SubPractices[B],Practices_SubPractices[CP],"1",Practices_SubPractices[Org],"Medium"),IF(AND(Practices_SubPractices[CP]=2,Practices_SubPractices[Org]="Medium"),SUMIFS(Practices_SubPractices[B],Practices_SubPractices[CP],"2",Practices_SubPractices[Org],"Medium"),IF(AND(Practices_SubPractices[CP]=3,Practices_SubPractices[Org]="Medium"),SUMIFS(Practices_SubPractices[B],Practices_SubPractices[CP],"3",Practices_SubPractices[Org],"Medium"),IF(AND(Practices_SubPractices[CP]=4,Practices_SubPractices[Org]="Medium"),SUMIFS(Practices_SubPractices[B],Practices_SubPractices[CP],"4",Practices_SubPractices[Org],"Medium"),IF(AND(Practices_SubPractices[CP]=5,Practices_SubPractices[Org]="Medium"),SUMIFS(Practices_SubPractices[B],Practices_SubPractices[CP],"5",Practices_SubPractices[Org],"Medium"),IF(AND(Practices_SubPractices[CP]=6,Practices_SubPractices[Org]="Medium"),SUMIFS(Practices_SubPractices[B],Practices_SubPractices[CP],"6",Practices_SubPractices[Org],"Medium"),IF(AND(Practices_SubPractices[CP]=7,Practices_SubPractices[Org] ="Medium"),SUMIFS(Practices_SubPractices[B],Practices_SubPractices[CP],"7",Practices_SubPractices[Org],"Medium"),IF(AND(Practices_SubPractices[CP]=8,Practices_SubPractices[Org] ="Medium"),SUMIFS(Practices_SubPractices[B],Practices_SubPractices[CP],"8",Practices_SubPractices[Org],"Medium"),IF(AND(Practices_SubPractices[CP]=9,Practices_SubPractices[Org] ="Medium"),SUMIFS(Practices_SubPractices[B],Practices_SubPractices[CP],"9",Practices_SubPractices[Org],"Medium"),IF(AND(Practices_SubPractices[CP]=10,Practices_SubPractices[Org] ="Medium"),SUMIFS(Practices_SubPractices[B],Practices_SubPractices[CP],"10",Practices_SubPractices[Org],"Medium"),IF(AND(Practices_SubPractices[CP]=1,Practices_SubPractices[Org]="Large"),SUMIFS(Practices_SubPractices[B],Practices_SubPractices[CP],"1",Practices_SubPractices[Org],"Large"),IF(AND(Practices_SubPractices[CP]=2,Practices_SubPractices[Org]="Large"),SUMIFS(Practices_SubPractices[B],Practices_SubPractices[CP],"2",Practices_SubPractices[Org],"Large"),IF(AND(Practices_SubPractices[CP]=3,Practices_SubPractices[Org]="Large"),SUMIFS(Practices_SubPractices[B],Practices_SubPractices[CP],"3",Practices_SubPractices[Org],"Large"),IF(AND(Practices_SubPractices[CP]=4,Practices_SubPractices[Org]="Large"),SUMIFS(Practices_SubPractices[B],Practices_SubPractices[CP],"4",Practices_SubPractices[Org],"Large"),IF(AND(Practices_SubPractices[CP]=5,Practices_SubPractices[Org]="Large"),SUMIFS(Practices_SubPractices[B],Practices_SubPractices[CP],"5",Practices_SubPractices[Org],"Large"),IF(AND(Practices_SubPractices[CP]=6,Practices_SubPractices[Org]="Large"),SUMIFS(Practices_SubPractices[B],Practices_SubPractices[CP],"6",Practices_SubPractices[Org],"Large"),IF(AND(Practices_SubPractices[CP]=7,Practices_SubPractices[Org] ="Large"),SUMIFS(Practices_SubPractices[B],Practices_SubPractices[CP],"7",Practices_SubPractices[Org],"Large"),IF(AND(Practices_SubPractices[CP]=8,Practices_SubPractices[Org] ="Large"),SUMIFS(Practices_SubPractices[B],Practices_SubPractices[CP],"8",Practices_SubPractices[Org],"Large"),IF(AND(Practices_SubPractices[CP]=9,Practices_SubPractices[Org] ="Large"),SUMIFS(Practices_SubPractices[B],Practices_SubPractices[CP],"9",Practices_SubPractices[Org],"Large"),IF(AND(Practices_SubPractices[CP]=10,Practices_SubPractices[Org] ="Large"),SUMIFS(Practices_SubPractices[B],Practices_SubPractices[CP],"10",Practices_SubPractices[Org],"Large"),"TBD"))))))))))))))))))))))))))))))</f>
        <v>7</v>
      </c>
      <c r="P78" s="77">
        <f>IF(AND(Practices_SubPractices[CP]=1,Practices_SubPractices[Org]="Small"),SUMIFS(Practices_SubPractices[C],Practices_SubPractices[CP],"1",Practices_SubPractices[Org],"Small"),IF(AND(Practices_SubPractices[CP]=2,Practices_SubPractices[Org]="Small"),SUMIFS(Practices_SubPractices[C],Practices_SubPractices[CP],"2",Practices_SubPractices[Org],"Small"),IF(AND(Practices_SubPractices[CP]=3,Practices_SubPractices[Org]="Small"),SUMIFS(Practices_SubPractices[C],Practices_SubPractices[CP],"3",Practices_SubPractices[Org],"Small"),IF(AND(Practices_SubPractices[CP]=4,Practices_SubPractices[Org]="Small"),SUMIFS(Practices_SubPractices[C],Practices_SubPractices[CP],"4",Practices_SubPractices[Org],"Small"),IF(AND(Practices_SubPractices[CP]=5,Practices_SubPractices[Org]="Small"),SUMIFS(Practices_SubPractices[C],Practices_SubPractices[CP],"5",Practices_SubPractices[Org],"Small"),IF(AND(Practices_SubPractices[CP]=6,Practices_SubPractices[Org]="Small"),SUMIFS(Practices_SubPractices[C],Practices_SubPractices[CP],"6",Practices_SubPractices[Org],"Small"),IF(AND(Practices_SubPractices[CP]=7,Practices_SubPractices[Org] ="Small"),SUMIFS(Practices_SubPractices[C],Practices_SubPractices[CP],"7",Practices_SubPractices[Org],"Small"),IF(AND(Practices_SubPractices[CP]=8,Practices_SubPractices[Org] ="Small"),SUMIFS(Practices_SubPractices[C],Practices_SubPractices[CP],"8",Practices_SubPractices[Org],"Small"),IF(AND(Practices_SubPractices[CP]=9,Practices_SubPractices[Org] ="Small"),SUMIFS(Practices_SubPractices[C],Practices_SubPractices[CP],"9",Practices_SubPractices[Org],"Small"),IF(AND(Practices_SubPractices[CP]=10,Practices_SubPractices[Org] ="Small"),SUMIFS(Practices_SubPractices[C],Practices_SubPractices[CP],"10",Practices_SubPractices[Org],"Small"),IF(AND(Practices_SubPractices[CP]=1,Practices_SubPractices[Org]="Medium"),SUMIFS(Practices_SubPractices[C],Practices_SubPractices[CP],"1",Practices_SubPractices[Org],"Medium"),IF(AND(Practices_SubPractices[CP]=2,Practices_SubPractices[Org]="Medium"),SUMIFS(Practices_SubPractices[C],Practices_SubPractices[CP],"2",Practices_SubPractices[Org],"Medium"),IF(AND(Practices_SubPractices[CP]=3,Practices_SubPractices[Org]="Medium"),SUMIFS(Practices_SubPractices[C],Practices_SubPractices[CP],"3",Practices_SubPractices[Org],"Medium"),IF(AND(Practices_SubPractices[CP]=4,Practices_SubPractices[Org]="Medium"),SUMIFS(Practices_SubPractices[C],Practices_SubPractices[CP],"4",Practices_SubPractices[Org],"Medium"),IF(AND(Practices_SubPractices[CP]=5,Practices_SubPractices[Org]="Medium"),SUMIFS(Practices_SubPractices[C],Practices_SubPractices[CP],"5",Practices_SubPractices[Org],"Medium"),IF(AND(Practices_SubPractices[CP]=6,Practices_SubPractices[Org]="Medium"),SUMIFS(Practices_SubPractices[C],Practices_SubPractices[CP],"6",Practices_SubPractices[Org],"Medium"),IF(AND(Practices_SubPractices[CP]=7,Practices_SubPractices[Org] ="Medium"),SUMIFS(Practices_SubPractices[C],Practices_SubPractices[CP],"7",Practices_SubPractices[Org],"Medium"),IF(AND(Practices_SubPractices[CP]=8,Practices_SubPractices[Org] ="Medium"),SUMIFS(Practices_SubPractices[C],Practices_SubPractices[CP],"8",Practices_SubPractices[Org],"Medium"),IF(AND(Practices_SubPractices[CP]=9,Practices_SubPractices[Org] ="Medium"),SUMIFS(Practices_SubPractices[C],Practices_SubPractices[CP],"9",Practices_SubPractices[Org],"Medium"),IF(AND(Practices_SubPractices[CP]=10,Practices_SubPractices[Org] ="Medium"),SUMIFS(Practices_SubPractices[C],Practices_SubPractices[CP],"10",Practices_SubPractices[Org],"Medium"),IF(AND(Practices_SubPractices[CP]=1,Practices_SubPractices[Org]="Large"),SUMIFS(Practices_SubPractices[C],Practices_SubPractices[CP],"1",Practices_SubPractices[Org],"Large"),IF(AND(Practices_SubPractices[CP]=2,Practices_SubPractices[Org]="Large"),SUMIFS(Practices_SubPractices[C],Practices_SubPractices[CP],"2",Practices_SubPractices[Org],"Large"),IF(AND(Practices_SubPractices[CP]=3,Practices_SubPractices[Org]="Large"),SUMIFS(Practices_SubPractices[C],Practices_SubPractices[CP],"3",Practices_SubPractices[Org],"Large"),IF(AND(Practices_SubPractices[CP]=4,Practices_SubPractices[Org]="Large"),SUMIFS(Practices_SubPractices[C],Practices_SubPractices[CP],"4",Practices_SubPractices[Org],"Large"),IF(AND(Practices_SubPractices[CP]=5,Practices_SubPractices[Org]="Large"),SUMIFS(Practices_SubPractices[C],Practices_SubPractices[CP],"5",Practices_SubPractices[Org],"Large"),IF(AND(Practices_SubPractices[CP]=6,Practices_SubPractices[Org]="Large"),SUMIFS(Practices_SubPractices[C],Practices_SubPractices[CP],"6",Practices_SubPractices[Org],"Large"),IF(AND(Practices_SubPractices[CP]=7,Practices_SubPractices[Org] ="Large"),SUMIFS(Practices_SubPractices[C],Practices_SubPractices[CP],"7",Practices_SubPractices[Org],"Large"),IF(AND(Practices_SubPractices[CP]=8,Practices_SubPractices[Org] ="Large"),SUMIFS(Practices_SubPractices[C],Practices_SubPractices[CP],"8",Practices_SubPractices[Org],"Large"),IF(AND(Practices_SubPractices[CP]=9,Practices_SubPractices[Org] ="Large"),SUMIFS(Practices_SubPractices[C],Practices_SubPractices[CP],"9",Practices_SubPractices[Org],"Large"),IF(AND(Practices_SubPractices[CP]=10,Practices_SubPractices[Org] ="Large"),SUMIFS(Practices_SubPractices[C],Practices_SubPractices[CP],"10",Practices_SubPractices[Org],"Large"),"TBD"))))))))))))))))))))))))))))))</f>
        <v>0</v>
      </c>
      <c r="Q78" s="77">
        <f>IF(AND(Practices_SubPractices[CP]=1,Practices_SubPractices[Org]="Small"),SUMIFS(Practices_SubPractices[D],Practices_SubPractices[CP],"1",Practices_SubPractices[Org],"Small"),IF(AND(Practices_SubPractices[CP]=2,Practices_SubPractices[Org]="Small"),SUMIFS(Practices_SubPractices[D],Practices_SubPractices[CP],"2",Practices_SubPractices[Org],"Small"),IF(AND(Practices_SubPractices[CP]=3,Practices_SubPractices[Org]="Small"),SUMIFS(Practices_SubPractices[D],Practices_SubPractices[CP],"3",Practices_SubPractices[Org],"Small"),IF(AND(Practices_SubPractices[CP]=4,Practices_SubPractices[Org]="Small"),SUMIFS(Practices_SubPractices[D],Practices_SubPractices[CP],"4",Practices_SubPractices[Org],"Small"),IF(AND(Practices_SubPractices[CP]=5,Practices_SubPractices[Org]="Small"),SUMIFS(Practices_SubPractices[D],Practices_SubPractices[CP],"5",Practices_SubPractices[Org],"Small"),IF(AND(Practices_SubPractices[CP]=6,Practices_SubPractices[Org]="Small"),SUMIFS(Practices_SubPractices[D],Practices_SubPractices[CP],"6",Practices_SubPractices[Org],"Small"),IF(AND(Practices_SubPractices[CP]=7,Practices_SubPractices[Org] ="Small"),SUMIFS(Practices_SubPractices[D],Practices_SubPractices[CP],"7",Practices_SubPractices[Org],"Small"),IF(AND(Practices_SubPractices[CP]=8,Practices_SubPractices[Org] ="Small"),SUMIFS(Practices_SubPractices[D],Practices_SubPractices[CP],"8",Practices_SubPractices[Org],"Small"),IF(AND(Practices_SubPractices[CP]=9,Practices_SubPractices[Org] ="Small"),SUMIFS(Practices_SubPractices[D],Practices_SubPractices[CP],"9",Practices_SubPractices[Org],"Small"),IF(AND(Practices_SubPractices[CP]=10,Practices_SubPractices[Org] ="Small"),SUMIFS(Practices_SubPractices[D],Practices_SubPractices[CP],"10",Practices_SubPractices[Org],"Small"),IF(AND(Practices_SubPractices[CP]=1,Practices_SubPractices[Org]="Medium"),SUMIFS(Practices_SubPractices[D],Practices_SubPractices[CP],"1",Practices_SubPractices[Org],"Medium"),IF(AND(Practices_SubPractices[CP]=2,Practices_SubPractices[Org]="Medium"),SUMIFS(Practices_SubPractices[D],Practices_SubPractices[CP],"2",Practices_SubPractices[Org],"Medium"),IF(AND(Practices_SubPractices[CP]=3,Practices_SubPractices[Org]="Medium"),SUMIFS(Practices_SubPractices[D],Practices_SubPractices[CP],"3",Practices_SubPractices[Org],"Medium"),IF(AND(Practices_SubPractices[CP]=4,Practices_SubPractices[Org]="Medium"),SUMIFS(Practices_SubPractices[D],Practices_SubPractices[CP],"4",Practices_SubPractices[Org],"Medium"),IF(AND(Practices_SubPractices[CP]=5,Practices_SubPractices[Org]="Medium"),SUMIFS(Practices_SubPractices[D],Practices_SubPractices[CP],"5",Practices_SubPractices[Org],"Medium"),IF(AND(Practices_SubPractices[CP]=6,Practices_SubPractices[Org]="Medium"),SUMIFS(Practices_SubPractices[D],Practices_SubPractices[CP],"6",Practices_SubPractices[Org],"Medium"),IF(AND(Practices_SubPractices[CP]=7,Practices_SubPractices[Org] ="Medium"),SUMIFS(Practices_SubPractices[D],Practices_SubPractices[CP],"7",Practices_SubPractices[Org],"Medium"),IF(AND(Practices_SubPractices[CP]=8,Practices_SubPractices[Org] ="Medium"),SUMIFS(Practices_SubPractices[D],Practices_SubPractices[CP],"8",Practices_SubPractices[Org],"Medium"),IF(AND(Practices_SubPractices[CP]=9,Practices_SubPractices[Org] ="Medium"),SUMIFS(Practices_SubPractices[D],Practices_SubPractices[CP],"9",Practices_SubPractices[Org],"Medium"),IF(AND(Practices_SubPractices[CP]=10,Practices_SubPractices[Org] ="Medium"),SUMIFS(Practices_SubPractices[D],Practices_SubPractices[CP],"10",Practices_SubPractices[Org],"Medium"),IF(AND(Practices_SubPractices[CP]=1,Practices_SubPractices[Org]="Large"),SUMIFS(Practices_SubPractices[D],Practices_SubPractices[CP],"1",Practices_SubPractices[Org],"Large"),IF(AND(Practices_SubPractices[CP]=2,Practices_SubPractices[Org]="Large"),SUMIFS(Practices_SubPractices[D],Practices_SubPractices[CP],"2",Practices_SubPractices[Org],"Large"),IF(AND(Practices_SubPractices[CP]=3,Practices_SubPractices[Org]="Large"),SUMIFS(Practices_SubPractices[D],Practices_SubPractices[CP],"3",Practices_SubPractices[Org],"Large"),IF(AND(Practices_SubPractices[CP]=4,Practices_SubPractices[Org]="Large"),SUMIFS(Practices_SubPractices[D],Practices_SubPractices[CP],"4",Practices_SubPractices[Org],"Large"),IF(AND(Practices_SubPractices[CP]=5,Practices_SubPractices[Org]="Large"),SUMIFS(Practices_SubPractices[D],Practices_SubPractices[CP],"5",Practices_SubPractices[Org],"Large"),IF(AND(Practices_SubPractices[CP]=6,Practices_SubPractices[Org]="Large"),SUMIFS(Practices_SubPractices[D],Practices_SubPractices[CP],"6",Practices_SubPractices[Org],"Large"),IF(AND(Practices_SubPractices[CP]=7,Practices_SubPractices[Org] ="Large"),SUMIFS(Practices_SubPractices[D],Practices_SubPractices[CP],"7",Practices_SubPractices[Org],"Large"),IF(AND(Practices_SubPractices[CP]=8,Practices_SubPractices[Org] ="Large"),SUMIFS(Practices_SubPractices[D],Practices_SubPractices[CP],"8",Practices_SubPractices[Org],"Large"),IF(AND(Practices_SubPractices[CP]=9,Practices_SubPractices[Org] ="Large"),SUMIFS(Practices_SubPractices[D],Practices_SubPractices[CP],"9",Practices_SubPractices[Org],"Large"),IF(AND(Practices_SubPractices[CP]=10,Practices_SubPractices[Org] ="Large"),SUMIFS(Practices_SubPractices[D],Practices_SubPractices[CP],"10",Practices_SubPractices[Org],"Large"),"TBD"))))))))))))))))))))))))))))))</f>
        <v>7</v>
      </c>
      <c r="R78" s="77">
        <f>IF(AND(Practices_SubPractices[CP]=1,Practices_SubPractices[Org]="Small"),SUMIFS(Practices_SubPractices[E],Practices_SubPractices[CP],"1",Practices_SubPractices[Org],"Small"),IF(AND(Practices_SubPractices[CP]=2,Practices_SubPractices[Org]="Small"),SUMIFS(Practices_SubPractices[E],Practices_SubPractices[CP],"2",Practices_SubPractices[Org],"Small"),IF(AND(Practices_SubPractices[CP]=3,Practices_SubPractices[Org]="Small"),SUMIFS(Practices_SubPractices[E],Practices_SubPractices[CP],"3",Practices_SubPractices[Org],"Small"),IF(AND(Practices_SubPractices[CP]=4,Practices_SubPractices[Org]="Small"),SUMIFS(Practices_SubPractices[E],Practices_SubPractices[CP],"4",Practices_SubPractices[Org],"Small"),IF(AND(Practices_SubPractices[CP]=5,Practices_SubPractices[Org]="Small"),SUMIFS(Practices_SubPractices[E],Practices_SubPractices[CP],"5",Practices_SubPractices[Org],"Small"),IF(AND(Practices_SubPractices[CP]=6,Practices_SubPractices[Org]="Small"),SUMIFS(Practices_SubPractices[E],Practices_SubPractices[CP],"6",Practices_SubPractices[Org],"Small"),IF(AND(Practices_SubPractices[CP]=7,Practices_SubPractices[Org] ="Small"),SUMIFS(Practices_SubPractices[E],Practices_SubPractices[CP],"7",Practices_SubPractices[Org],"Small"),IF(AND(Practices_SubPractices[CP]=8,Practices_SubPractices[Org] ="Small"),SUMIFS(Practices_SubPractices[E],Practices_SubPractices[CP],"8",Practices_SubPractices[Org],"Small"),IF(AND(Practices_SubPractices[CP]=9,Practices_SubPractices[Org] ="Small"),SUMIFS(Practices_SubPractices[E],Practices_SubPractices[CP],"9",Practices_SubPractices[Org],"Small"),IF(AND(Practices_SubPractices[CP]=10,Practices_SubPractices[Org] ="Small"),SUMIFS(Practices_SubPractices[E],Practices_SubPractices[CP],"10",Practices_SubPractices[Org],"Small"),IF(AND(Practices_SubPractices[CP]=1,Practices_SubPractices[Org]="Medium"),SUMIFS(Practices_SubPractices[E],Practices_SubPractices[CP],"1",Practices_SubPractices[Org],"Medium"),IF(AND(Practices_SubPractices[CP]=2,Practices_SubPractices[Org]="Medium"),SUMIFS(Practices_SubPractices[E],Practices_SubPractices[CP],"2",Practices_SubPractices[Org],"Medium"),IF(AND(Practices_SubPractices[CP]=3,Practices_SubPractices[Org]="Medium"),SUMIFS(Practices_SubPractices[E],Practices_SubPractices[CP],"3",Practices_SubPractices[Org],"Medium"),IF(AND(Practices_SubPractices[CP]=4,Practices_SubPractices[Org]="Medium"),SUMIFS(Practices_SubPractices[E],Practices_SubPractices[CP],"4",Practices_SubPractices[Org],"Medium"),IF(AND(Practices_SubPractices[CP]=5,Practices_SubPractices[Org]="Medium"),SUMIFS(Practices_SubPractices[E],Practices_SubPractices[CP],"5",Practices_SubPractices[Org],"Medium"),IF(AND(Practices_SubPractices[CP]=6,Practices_SubPractices[Org]="Medium"),SUMIFS(Practices_SubPractices[E],Practices_SubPractices[CP],"6",Practices_SubPractices[Org],"Medium"),IF(AND(Practices_SubPractices[CP]=7,Practices_SubPractices[Org] ="Medium"),SUMIFS(Practices_SubPractices[E],Practices_SubPractices[CP],"7",Practices_SubPractices[Org],"Medium"),IF(AND(Practices_SubPractices[CP]=8,Practices_SubPractices[Org] ="Medium"),SUMIFS(Practices_SubPractices[E],Practices_SubPractices[CP],"8",Practices_SubPractices[Org],"Medium"),IF(AND(Practices_SubPractices[CP]=9,Practices_SubPractices[Org] ="Medium"),SUMIFS(Practices_SubPractices[E],Practices_SubPractices[CP],"9",Practices_SubPractices[Org],"Medium"),IF(AND(Practices_SubPractices[CP]=10,Practices_SubPractices[Org] ="Medium"),SUMIFS(Practices_SubPractices[E],Practices_SubPractices[CP],"10",Practices_SubPractices[Org],"Medium"),IF(AND(Practices_SubPractices[CP]=1,Practices_SubPractices[Org]="Large"),SUMIFS(Practices_SubPractices[E],Practices_SubPractices[CP],"1",Practices_SubPractices[Org],"Large"),IF(AND(Practices_SubPractices[CP]=2,Practices_SubPractices[Org]="Large"),SUMIFS(Practices_SubPractices[E],Practices_SubPractices[CP],"2",Practices_SubPractices[Org],"Large"),IF(AND(Practices_SubPractices[CP]=3,Practices_SubPractices[Org]="Large"),SUMIFS(Practices_SubPractices[E],Practices_SubPractices[CP],"3",Practices_SubPractices[Org],"Large"),IF(AND(Practices_SubPractices[CP]=4,Practices_SubPractices[Org]="Large"),SUMIFS(Practices_SubPractices[E],Practices_SubPractices[CP],"4",Practices_SubPractices[Org],"Large"),IF(AND(Practices_SubPractices[CP]=5,Practices_SubPractices[Org]="Large"),SUMIFS(Practices_SubPractices[E],Practices_SubPractices[CP],"5",Practices_SubPractices[Org],"Large"),IF(AND(Practices_SubPractices[CP]=6,Practices_SubPractices[Org]="Large"),SUMIFS(Practices_SubPractices[E],Practices_SubPractices[CP],"6",Practices_SubPractices[Org],"Large"),IF(AND(Practices_SubPractices[CP]=7,Practices_SubPractices[Org] ="Large"),SUMIFS(Practices_SubPractices[E],Practices_SubPractices[CP],"7",Practices_SubPractices[Org],"Large"),IF(AND(Practices_SubPractices[CP]=8,Practices_SubPractices[Org] ="Large"),SUMIFS(Practices_SubPractices[E],Practices_SubPractices[CP],"8",Practices_SubPractices[Org],"Large"),IF(AND(Practices_SubPractices[CP]=9,Practices_SubPractices[Org] ="Large"),SUMIFS(Practices_SubPractices[E],Practices_SubPractices[CP],"9",Practices_SubPractices[Org],"Large"),IF(AND(Practices_SubPractices[CP]=10,Practices_SubPractices[Org] ="Large"),SUMIFS(Practices_SubPractices[E],Practices_SubPractices[CP],"10",Practices_SubPractices[Org],"Large"),"TBD"))))))))))))))))))))))))))))))</f>
        <v>2</v>
      </c>
      <c r="S78" s="48" t="s">
        <v>423</v>
      </c>
    </row>
    <row r="79" spans="1:19" x14ac:dyDescent="0.35">
      <c r="A79" s="73">
        <v>69</v>
      </c>
      <c r="B79" s="73">
        <v>7</v>
      </c>
      <c r="C79" s="73" t="s">
        <v>12</v>
      </c>
      <c r="D79" s="73" t="str">
        <f>Practices_SubPractices[[#This Row],[CP]]&amp;LEFT(Practices_SubPractices[[#This Row],[Org]],1)</f>
        <v>7L</v>
      </c>
      <c r="E79" s="73" t="s">
        <v>266</v>
      </c>
      <c r="F79" s="74" t="s">
        <v>132</v>
      </c>
      <c r="G79" s="74" t="s">
        <v>136</v>
      </c>
      <c r="H79" s="74" t="s">
        <v>368</v>
      </c>
      <c r="I79" s="75">
        <v>0</v>
      </c>
      <c r="J79" s="75">
        <v>2</v>
      </c>
      <c r="K79" s="75">
        <v>0</v>
      </c>
      <c r="L79" s="75">
        <v>2</v>
      </c>
      <c r="M79" s="75">
        <v>0</v>
      </c>
      <c r="N79" s="76"/>
      <c r="O79" s="77">
        <f>IF(AND(Practices_SubPractices[CP]=1,Practices_SubPractices[Org]="Small"),SUMIFS(Practices_SubPractices[B],Practices_SubPractices[CP],"1",Practices_SubPractices[Org],"Small"),IF(AND(Practices_SubPractices[CP]=2,Practices_SubPractices[Org]="Small"),SUMIFS(Practices_SubPractices[B],Practices_SubPractices[CP],"2",Practices_SubPractices[Org],"Small"),IF(AND(Practices_SubPractices[CP]=3,Practices_SubPractices[Org]="Small"),SUMIFS(Practices_SubPractices[B],Practices_SubPractices[CP],"3",Practices_SubPractices[Org],"Small"),IF(AND(Practices_SubPractices[CP]=4,Practices_SubPractices[Org]="Small"),SUMIFS(Practices_SubPractices[B],Practices_SubPractices[CP],"4",Practices_SubPractices[Org],"Small"),IF(AND(Practices_SubPractices[CP]=5,Practices_SubPractices[Org]="Small"),SUMIFS(Practices_SubPractices[B],Practices_SubPractices[CP],"5",Practices_SubPractices[Org],"Small"),IF(AND(Practices_SubPractices[CP]=6,Practices_SubPractices[Org]="Small"),SUMIFS(Practices_SubPractices[B],Practices_SubPractices[CP],"6",Practices_SubPractices[Org],"Small"),IF(AND(Practices_SubPractices[CP]=7,Practices_SubPractices[Org] ="Small"),SUMIFS(Practices_SubPractices[B],Practices_SubPractices[CP],"7",Practices_SubPractices[Org],"Small"),IF(AND(Practices_SubPractices[CP]=8,Practices_SubPractices[Org] ="Small"),SUMIFS(Practices_SubPractices[B],Practices_SubPractices[CP],"8",Practices_SubPractices[Org],"Small"),IF(AND(Practices_SubPractices[CP]=9,Practices_SubPractices[Org] ="Small"),SUMIFS(Practices_SubPractices[B],Practices_SubPractices[CP],"9",Practices_SubPractices[Org],"Small"),IF(AND(Practices_SubPractices[CP]=10,Practices_SubPractices[Org] ="Small"),SUMIFS(Practices_SubPractices[B],Practices_SubPractices[CP],"10",Practices_SubPractices[Org],"Small"),IF(AND(Practices_SubPractices[CP]=1,Practices_SubPractices[Org]="Medium"),SUMIFS(Practices_SubPractices[B],Practices_SubPractices[CP],"1",Practices_SubPractices[Org],"Medium"),IF(AND(Practices_SubPractices[CP]=2,Practices_SubPractices[Org]="Medium"),SUMIFS(Practices_SubPractices[B],Practices_SubPractices[CP],"2",Practices_SubPractices[Org],"Medium"),IF(AND(Practices_SubPractices[CP]=3,Practices_SubPractices[Org]="Medium"),SUMIFS(Practices_SubPractices[B],Practices_SubPractices[CP],"3",Practices_SubPractices[Org],"Medium"),IF(AND(Practices_SubPractices[CP]=4,Practices_SubPractices[Org]="Medium"),SUMIFS(Practices_SubPractices[B],Practices_SubPractices[CP],"4",Practices_SubPractices[Org],"Medium"),IF(AND(Practices_SubPractices[CP]=5,Practices_SubPractices[Org]="Medium"),SUMIFS(Practices_SubPractices[B],Practices_SubPractices[CP],"5",Practices_SubPractices[Org],"Medium"),IF(AND(Practices_SubPractices[CP]=6,Practices_SubPractices[Org]="Medium"),SUMIFS(Practices_SubPractices[B],Practices_SubPractices[CP],"6",Practices_SubPractices[Org],"Medium"),IF(AND(Practices_SubPractices[CP]=7,Practices_SubPractices[Org] ="Medium"),SUMIFS(Practices_SubPractices[B],Practices_SubPractices[CP],"7",Practices_SubPractices[Org],"Medium"),IF(AND(Practices_SubPractices[CP]=8,Practices_SubPractices[Org] ="Medium"),SUMIFS(Practices_SubPractices[B],Practices_SubPractices[CP],"8",Practices_SubPractices[Org],"Medium"),IF(AND(Practices_SubPractices[CP]=9,Practices_SubPractices[Org] ="Medium"),SUMIFS(Practices_SubPractices[B],Practices_SubPractices[CP],"9",Practices_SubPractices[Org],"Medium"),IF(AND(Practices_SubPractices[CP]=10,Practices_SubPractices[Org] ="Medium"),SUMIFS(Practices_SubPractices[B],Practices_SubPractices[CP],"10",Practices_SubPractices[Org],"Medium"),IF(AND(Practices_SubPractices[CP]=1,Practices_SubPractices[Org]="Large"),SUMIFS(Practices_SubPractices[B],Practices_SubPractices[CP],"1",Practices_SubPractices[Org],"Large"),IF(AND(Practices_SubPractices[CP]=2,Practices_SubPractices[Org]="Large"),SUMIFS(Practices_SubPractices[B],Practices_SubPractices[CP],"2",Practices_SubPractices[Org],"Large"),IF(AND(Practices_SubPractices[CP]=3,Practices_SubPractices[Org]="Large"),SUMIFS(Practices_SubPractices[B],Practices_SubPractices[CP],"3",Practices_SubPractices[Org],"Large"),IF(AND(Practices_SubPractices[CP]=4,Practices_SubPractices[Org]="Large"),SUMIFS(Practices_SubPractices[B],Practices_SubPractices[CP],"4",Practices_SubPractices[Org],"Large"),IF(AND(Practices_SubPractices[CP]=5,Practices_SubPractices[Org]="Large"),SUMIFS(Practices_SubPractices[B],Practices_SubPractices[CP],"5",Practices_SubPractices[Org],"Large"),IF(AND(Practices_SubPractices[CP]=6,Practices_SubPractices[Org]="Large"),SUMIFS(Practices_SubPractices[B],Practices_SubPractices[CP],"6",Practices_SubPractices[Org],"Large"),IF(AND(Practices_SubPractices[CP]=7,Practices_SubPractices[Org] ="Large"),SUMIFS(Practices_SubPractices[B],Practices_SubPractices[CP],"7",Practices_SubPractices[Org],"Large"),IF(AND(Practices_SubPractices[CP]=8,Practices_SubPractices[Org] ="Large"),SUMIFS(Practices_SubPractices[B],Practices_SubPractices[CP],"8",Practices_SubPractices[Org],"Large"),IF(AND(Practices_SubPractices[CP]=9,Practices_SubPractices[Org] ="Large"),SUMIFS(Practices_SubPractices[B],Practices_SubPractices[CP],"9",Practices_SubPractices[Org],"Large"),IF(AND(Practices_SubPractices[CP]=10,Practices_SubPractices[Org] ="Large"),SUMIFS(Practices_SubPractices[B],Practices_SubPractices[CP],"10",Practices_SubPractices[Org],"Large"),"TBD"))))))))))))))))))))))))))))))</f>
        <v>11</v>
      </c>
      <c r="P79" s="77">
        <f>IF(AND(Practices_SubPractices[CP]=1,Practices_SubPractices[Org]="Small"),SUMIFS(Practices_SubPractices[C],Practices_SubPractices[CP],"1",Practices_SubPractices[Org],"Small"),IF(AND(Practices_SubPractices[CP]=2,Practices_SubPractices[Org]="Small"),SUMIFS(Practices_SubPractices[C],Practices_SubPractices[CP],"2",Practices_SubPractices[Org],"Small"),IF(AND(Practices_SubPractices[CP]=3,Practices_SubPractices[Org]="Small"),SUMIFS(Practices_SubPractices[C],Practices_SubPractices[CP],"3",Practices_SubPractices[Org],"Small"),IF(AND(Practices_SubPractices[CP]=4,Practices_SubPractices[Org]="Small"),SUMIFS(Practices_SubPractices[C],Practices_SubPractices[CP],"4",Practices_SubPractices[Org],"Small"),IF(AND(Practices_SubPractices[CP]=5,Practices_SubPractices[Org]="Small"),SUMIFS(Practices_SubPractices[C],Practices_SubPractices[CP],"5",Practices_SubPractices[Org],"Small"),IF(AND(Practices_SubPractices[CP]=6,Practices_SubPractices[Org]="Small"),SUMIFS(Practices_SubPractices[C],Practices_SubPractices[CP],"6",Practices_SubPractices[Org],"Small"),IF(AND(Practices_SubPractices[CP]=7,Practices_SubPractices[Org] ="Small"),SUMIFS(Practices_SubPractices[C],Practices_SubPractices[CP],"7",Practices_SubPractices[Org],"Small"),IF(AND(Practices_SubPractices[CP]=8,Practices_SubPractices[Org] ="Small"),SUMIFS(Practices_SubPractices[C],Practices_SubPractices[CP],"8",Practices_SubPractices[Org],"Small"),IF(AND(Practices_SubPractices[CP]=9,Practices_SubPractices[Org] ="Small"),SUMIFS(Practices_SubPractices[C],Practices_SubPractices[CP],"9",Practices_SubPractices[Org],"Small"),IF(AND(Practices_SubPractices[CP]=10,Practices_SubPractices[Org] ="Small"),SUMIFS(Practices_SubPractices[C],Practices_SubPractices[CP],"10",Practices_SubPractices[Org],"Small"),IF(AND(Practices_SubPractices[CP]=1,Practices_SubPractices[Org]="Medium"),SUMIFS(Practices_SubPractices[C],Practices_SubPractices[CP],"1",Practices_SubPractices[Org],"Medium"),IF(AND(Practices_SubPractices[CP]=2,Practices_SubPractices[Org]="Medium"),SUMIFS(Practices_SubPractices[C],Practices_SubPractices[CP],"2",Practices_SubPractices[Org],"Medium"),IF(AND(Practices_SubPractices[CP]=3,Practices_SubPractices[Org]="Medium"),SUMIFS(Practices_SubPractices[C],Practices_SubPractices[CP],"3",Practices_SubPractices[Org],"Medium"),IF(AND(Practices_SubPractices[CP]=4,Practices_SubPractices[Org]="Medium"),SUMIFS(Practices_SubPractices[C],Practices_SubPractices[CP],"4",Practices_SubPractices[Org],"Medium"),IF(AND(Practices_SubPractices[CP]=5,Practices_SubPractices[Org]="Medium"),SUMIFS(Practices_SubPractices[C],Practices_SubPractices[CP],"5",Practices_SubPractices[Org],"Medium"),IF(AND(Practices_SubPractices[CP]=6,Practices_SubPractices[Org]="Medium"),SUMIFS(Practices_SubPractices[C],Practices_SubPractices[CP],"6",Practices_SubPractices[Org],"Medium"),IF(AND(Practices_SubPractices[CP]=7,Practices_SubPractices[Org] ="Medium"),SUMIFS(Practices_SubPractices[C],Practices_SubPractices[CP],"7",Practices_SubPractices[Org],"Medium"),IF(AND(Practices_SubPractices[CP]=8,Practices_SubPractices[Org] ="Medium"),SUMIFS(Practices_SubPractices[C],Practices_SubPractices[CP],"8",Practices_SubPractices[Org],"Medium"),IF(AND(Practices_SubPractices[CP]=9,Practices_SubPractices[Org] ="Medium"),SUMIFS(Practices_SubPractices[C],Practices_SubPractices[CP],"9",Practices_SubPractices[Org],"Medium"),IF(AND(Practices_SubPractices[CP]=10,Practices_SubPractices[Org] ="Medium"),SUMIFS(Practices_SubPractices[C],Practices_SubPractices[CP],"10",Practices_SubPractices[Org],"Medium"),IF(AND(Practices_SubPractices[CP]=1,Practices_SubPractices[Org]="Large"),SUMIFS(Practices_SubPractices[C],Practices_SubPractices[CP],"1",Practices_SubPractices[Org],"Large"),IF(AND(Practices_SubPractices[CP]=2,Practices_SubPractices[Org]="Large"),SUMIFS(Practices_SubPractices[C],Practices_SubPractices[CP],"2",Practices_SubPractices[Org],"Large"),IF(AND(Practices_SubPractices[CP]=3,Practices_SubPractices[Org]="Large"),SUMIFS(Practices_SubPractices[C],Practices_SubPractices[CP],"3",Practices_SubPractices[Org],"Large"),IF(AND(Practices_SubPractices[CP]=4,Practices_SubPractices[Org]="Large"),SUMIFS(Practices_SubPractices[C],Practices_SubPractices[CP],"4",Practices_SubPractices[Org],"Large"),IF(AND(Practices_SubPractices[CP]=5,Practices_SubPractices[Org]="Large"),SUMIFS(Practices_SubPractices[C],Practices_SubPractices[CP],"5",Practices_SubPractices[Org],"Large"),IF(AND(Practices_SubPractices[CP]=6,Practices_SubPractices[Org]="Large"),SUMIFS(Practices_SubPractices[C],Practices_SubPractices[CP],"6",Practices_SubPractices[Org],"Large"),IF(AND(Practices_SubPractices[CP]=7,Practices_SubPractices[Org] ="Large"),SUMIFS(Practices_SubPractices[C],Practices_SubPractices[CP],"7",Practices_SubPractices[Org],"Large"),IF(AND(Practices_SubPractices[CP]=8,Practices_SubPractices[Org] ="Large"),SUMIFS(Practices_SubPractices[C],Practices_SubPractices[CP],"8",Practices_SubPractices[Org],"Large"),IF(AND(Practices_SubPractices[CP]=9,Practices_SubPractices[Org] ="Large"),SUMIFS(Practices_SubPractices[C],Practices_SubPractices[CP],"9",Practices_SubPractices[Org],"Large"),IF(AND(Practices_SubPractices[CP]=10,Practices_SubPractices[Org] ="Large"),SUMIFS(Practices_SubPractices[C],Practices_SubPractices[CP],"10",Practices_SubPractices[Org],"Large"),"TBD"))))))))))))))))))))))))))))))</f>
        <v>1</v>
      </c>
      <c r="Q79" s="77">
        <f>IF(AND(Practices_SubPractices[CP]=1,Practices_SubPractices[Org]="Small"),SUMIFS(Practices_SubPractices[D],Practices_SubPractices[CP],"1",Practices_SubPractices[Org],"Small"),IF(AND(Practices_SubPractices[CP]=2,Practices_SubPractices[Org]="Small"),SUMIFS(Practices_SubPractices[D],Practices_SubPractices[CP],"2",Practices_SubPractices[Org],"Small"),IF(AND(Practices_SubPractices[CP]=3,Practices_SubPractices[Org]="Small"),SUMIFS(Practices_SubPractices[D],Practices_SubPractices[CP],"3",Practices_SubPractices[Org],"Small"),IF(AND(Practices_SubPractices[CP]=4,Practices_SubPractices[Org]="Small"),SUMIFS(Practices_SubPractices[D],Practices_SubPractices[CP],"4",Practices_SubPractices[Org],"Small"),IF(AND(Practices_SubPractices[CP]=5,Practices_SubPractices[Org]="Small"),SUMIFS(Practices_SubPractices[D],Practices_SubPractices[CP],"5",Practices_SubPractices[Org],"Small"),IF(AND(Practices_SubPractices[CP]=6,Practices_SubPractices[Org]="Small"),SUMIFS(Practices_SubPractices[D],Practices_SubPractices[CP],"6",Practices_SubPractices[Org],"Small"),IF(AND(Practices_SubPractices[CP]=7,Practices_SubPractices[Org] ="Small"),SUMIFS(Practices_SubPractices[D],Practices_SubPractices[CP],"7",Practices_SubPractices[Org],"Small"),IF(AND(Practices_SubPractices[CP]=8,Practices_SubPractices[Org] ="Small"),SUMIFS(Practices_SubPractices[D],Practices_SubPractices[CP],"8",Practices_SubPractices[Org],"Small"),IF(AND(Practices_SubPractices[CP]=9,Practices_SubPractices[Org] ="Small"),SUMIFS(Practices_SubPractices[D],Practices_SubPractices[CP],"9",Practices_SubPractices[Org],"Small"),IF(AND(Practices_SubPractices[CP]=10,Practices_SubPractices[Org] ="Small"),SUMIFS(Practices_SubPractices[D],Practices_SubPractices[CP],"10",Practices_SubPractices[Org],"Small"),IF(AND(Practices_SubPractices[CP]=1,Practices_SubPractices[Org]="Medium"),SUMIFS(Practices_SubPractices[D],Practices_SubPractices[CP],"1",Practices_SubPractices[Org],"Medium"),IF(AND(Practices_SubPractices[CP]=2,Practices_SubPractices[Org]="Medium"),SUMIFS(Practices_SubPractices[D],Practices_SubPractices[CP],"2",Practices_SubPractices[Org],"Medium"),IF(AND(Practices_SubPractices[CP]=3,Practices_SubPractices[Org]="Medium"),SUMIFS(Practices_SubPractices[D],Practices_SubPractices[CP],"3",Practices_SubPractices[Org],"Medium"),IF(AND(Practices_SubPractices[CP]=4,Practices_SubPractices[Org]="Medium"),SUMIFS(Practices_SubPractices[D],Practices_SubPractices[CP],"4",Practices_SubPractices[Org],"Medium"),IF(AND(Practices_SubPractices[CP]=5,Practices_SubPractices[Org]="Medium"),SUMIFS(Practices_SubPractices[D],Practices_SubPractices[CP],"5",Practices_SubPractices[Org],"Medium"),IF(AND(Practices_SubPractices[CP]=6,Practices_SubPractices[Org]="Medium"),SUMIFS(Practices_SubPractices[D],Practices_SubPractices[CP],"6",Practices_SubPractices[Org],"Medium"),IF(AND(Practices_SubPractices[CP]=7,Practices_SubPractices[Org] ="Medium"),SUMIFS(Practices_SubPractices[D],Practices_SubPractices[CP],"7",Practices_SubPractices[Org],"Medium"),IF(AND(Practices_SubPractices[CP]=8,Practices_SubPractices[Org] ="Medium"),SUMIFS(Practices_SubPractices[D],Practices_SubPractices[CP],"8",Practices_SubPractices[Org],"Medium"),IF(AND(Practices_SubPractices[CP]=9,Practices_SubPractices[Org] ="Medium"),SUMIFS(Practices_SubPractices[D],Practices_SubPractices[CP],"9",Practices_SubPractices[Org],"Medium"),IF(AND(Practices_SubPractices[CP]=10,Practices_SubPractices[Org] ="Medium"),SUMIFS(Practices_SubPractices[D],Practices_SubPractices[CP],"10",Practices_SubPractices[Org],"Medium"),IF(AND(Practices_SubPractices[CP]=1,Practices_SubPractices[Org]="Large"),SUMIFS(Practices_SubPractices[D],Practices_SubPractices[CP],"1",Practices_SubPractices[Org],"Large"),IF(AND(Practices_SubPractices[CP]=2,Practices_SubPractices[Org]="Large"),SUMIFS(Practices_SubPractices[D],Practices_SubPractices[CP],"2",Practices_SubPractices[Org],"Large"),IF(AND(Practices_SubPractices[CP]=3,Practices_SubPractices[Org]="Large"),SUMIFS(Practices_SubPractices[D],Practices_SubPractices[CP],"3",Practices_SubPractices[Org],"Large"),IF(AND(Practices_SubPractices[CP]=4,Practices_SubPractices[Org]="Large"),SUMIFS(Practices_SubPractices[D],Practices_SubPractices[CP],"4",Practices_SubPractices[Org],"Large"),IF(AND(Practices_SubPractices[CP]=5,Practices_SubPractices[Org]="Large"),SUMIFS(Practices_SubPractices[D],Practices_SubPractices[CP],"5",Practices_SubPractices[Org],"Large"),IF(AND(Practices_SubPractices[CP]=6,Practices_SubPractices[Org]="Large"),SUMIFS(Practices_SubPractices[D],Practices_SubPractices[CP],"6",Practices_SubPractices[Org],"Large"),IF(AND(Practices_SubPractices[CP]=7,Practices_SubPractices[Org] ="Large"),SUMIFS(Practices_SubPractices[D],Practices_SubPractices[CP],"7",Practices_SubPractices[Org],"Large"),IF(AND(Practices_SubPractices[CP]=8,Practices_SubPractices[Org] ="Large"),SUMIFS(Practices_SubPractices[D],Practices_SubPractices[CP],"8",Practices_SubPractices[Org],"Large"),IF(AND(Practices_SubPractices[CP]=9,Practices_SubPractices[Org] ="Large"),SUMIFS(Practices_SubPractices[D],Practices_SubPractices[CP],"9",Practices_SubPractices[Org],"Large"),IF(AND(Practices_SubPractices[CP]=10,Practices_SubPractices[Org] ="Large"),SUMIFS(Practices_SubPractices[D],Practices_SubPractices[CP],"10",Practices_SubPractices[Org],"Large"),"TBD"))))))))))))))))))))))))))))))</f>
        <v>11</v>
      </c>
      <c r="R79" s="77">
        <f>IF(AND(Practices_SubPractices[CP]=1,Practices_SubPractices[Org]="Small"),SUMIFS(Practices_SubPractices[E],Practices_SubPractices[CP],"1",Practices_SubPractices[Org],"Small"),IF(AND(Practices_SubPractices[CP]=2,Practices_SubPractices[Org]="Small"),SUMIFS(Practices_SubPractices[E],Practices_SubPractices[CP],"2",Practices_SubPractices[Org],"Small"),IF(AND(Practices_SubPractices[CP]=3,Practices_SubPractices[Org]="Small"),SUMIFS(Practices_SubPractices[E],Practices_SubPractices[CP],"3",Practices_SubPractices[Org],"Small"),IF(AND(Practices_SubPractices[CP]=4,Practices_SubPractices[Org]="Small"),SUMIFS(Practices_SubPractices[E],Practices_SubPractices[CP],"4",Practices_SubPractices[Org],"Small"),IF(AND(Practices_SubPractices[CP]=5,Practices_SubPractices[Org]="Small"),SUMIFS(Practices_SubPractices[E],Practices_SubPractices[CP],"5",Practices_SubPractices[Org],"Small"),IF(AND(Practices_SubPractices[CP]=6,Practices_SubPractices[Org]="Small"),SUMIFS(Practices_SubPractices[E],Practices_SubPractices[CP],"6",Practices_SubPractices[Org],"Small"),IF(AND(Practices_SubPractices[CP]=7,Practices_SubPractices[Org] ="Small"),SUMIFS(Practices_SubPractices[E],Practices_SubPractices[CP],"7",Practices_SubPractices[Org],"Small"),IF(AND(Practices_SubPractices[CP]=8,Practices_SubPractices[Org] ="Small"),SUMIFS(Practices_SubPractices[E],Practices_SubPractices[CP],"8",Practices_SubPractices[Org],"Small"),IF(AND(Practices_SubPractices[CP]=9,Practices_SubPractices[Org] ="Small"),SUMIFS(Practices_SubPractices[E],Practices_SubPractices[CP],"9",Practices_SubPractices[Org],"Small"),IF(AND(Practices_SubPractices[CP]=10,Practices_SubPractices[Org] ="Small"),SUMIFS(Practices_SubPractices[E],Practices_SubPractices[CP],"10",Practices_SubPractices[Org],"Small"),IF(AND(Practices_SubPractices[CP]=1,Practices_SubPractices[Org]="Medium"),SUMIFS(Practices_SubPractices[E],Practices_SubPractices[CP],"1",Practices_SubPractices[Org],"Medium"),IF(AND(Practices_SubPractices[CP]=2,Practices_SubPractices[Org]="Medium"),SUMIFS(Practices_SubPractices[E],Practices_SubPractices[CP],"2",Practices_SubPractices[Org],"Medium"),IF(AND(Practices_SubPractices[CP]=3,Practices_SubPractices[Org]="Medium"),SUMIFS(Practices_SubPractices[E],Practices_SubPractices[CP],"3",Practices_SubPractices[Org],"Medium"),IF(AND(Practices_SubPractices[CP]=4,Practices_SubPractices[Org]="Medium"),SUMIFS(Practices_SubPractices[E],Practices_SubPractices[CP],"4",Practices_SubPractices[Org],"Medium"),IF(AND(Practices_SubPractices[CP]=5,Practices_SubPractices[Org]="Medium"),SUMIFS(Practices_SubPractices[E],Practices_SubPractices[CP],"5",Practices_SubPractices[Org],"Medium"),IF(AND(Practices_SubPractices[CP]=6,Practices_SubPractices[Org]="Medium"),SUMIFS(Practices_SubPractices[E],Practices_SubPractices[CP],"6",Practices_SubPractices[Org],"Medium"),IF(AND(Practices_SubPractices[CP]=7,Practices_SubPractices[Org] ="Medium"),SUMIFS(Practices_SubPractices[E],Practices_SubPractices[CP],"7",Practices_SubPractices[Org],"Medium"),IF(AND(Practices_SubPractices[CP]=8,Practices_SubPractices[Org] ="Medium"),SUMIFS(Practices_SubPractices[E],Practices_SubPractices[CP],"8",Practices_SubPractices[Org],"Medium"),IF(AND(Practices_SubPractices[CP]=9,Practices_SubPractices[Org] ="Medium"),SUMIFS(Practices_SubPractices[E],Practices_SubPractices[CP],"9",Practices_SubPractices[Org],"Medium"),IF(AND(Practices_SubPractices[CP]=10,Practices_SubPractices[Org] ="Medium"),SUMIFS(Practices_SubPractices[E],Practices_SubPractices[CP],"10",Practices_SubPractices[Org],"Medium"),IF(AND(Practices_SubPractices[CP]=1,Practices_SubPractices[Org]="Large"),SUMIFS(Practices_SubPractices[E],Practices_SubPractices[CP],"1",Practices_SubPractices[Org],"Large"),IF(AND(Practices_SubPractices[CP]=2,Practices_SubPractices[Org]="Large"),SUMIFS(Practices_SubPractices[E],Practices_SubPractices[CP],"2",Practices_SubPractices[Org],"Large"),IF(AND(Practices_SubPractices[CP]=3,Practices_SubPractices[Org]="Large"),SUMIFS(Practices_SubPractices[E],Practices_SubPractices[CP],"3",Practices_SubPractices[Org],"Large"),IF(AND(Practices_SubPractices[CP]=4,Practices_SubPractices[Org]="Large"),SUMIFS(Practices_SubPractices[E],Practices_SubPractices[CP],"4",Practices_SubPractices[Org],"Large"),IF(AND(Practices_SubPractices[CP]=5,Practices_SubPractices[Org]="Large"),SUMIFS(Practices_SubPractices[E],Practices_SubPractices[CP],"5",Practices_SubPractices[Org],"Large"),IF(AND(Practices_SubPractices[CP]=6,Practices_SubPractices[Org]="Large"),SUMIFS(Practices_SubPractices[E],Practices_SubPractices[CP],"6",Practices_SubPractices[Org],"Large"),IF(AND(Practices_SubPractices[CP]=7,Practices_SubPractices[Org] ="Large"),SUMIFS(Practices_SubPractices[E],Practices_SubPractices[CP],"7",Practices_SubPractices[Org],"Large"),IF(AND(Practices_SubPractices[CP]=8,Practices_SubPractices[Org] ="Large"),SUMIFS(Practices_SubPractices[E],Practices_SubPractices[CP],"8",Practices_SubPractices[Org],"Large"),IF(AND(Practices_SubPractices[CP]=9,Practices_SubPractices[Org] ="Large"),SUMIFS(Practices_SubPractices[E],Practices_SubPractices[CP],"9",Practices_SubPractices[Org],"Large"),IF(AND(Practices_SubPractices[CP]=10,Practices_SubPractices[Org] ="Large"),SUMIFS(Practices_SubPractices[E],Practices_SubPractices[CP],"10",Practices_SubPractices[Org],"Large"),"TBD"))))))))))))))))))))))))))))))</f>
        <v>4</v>
      </c>
      <c r="S79" s="48" t="s">
        <v>423</v>
      </c>
    </row>
    <row r="80" spans="1:19" x14ac:dyDescent="0.35">
      <c r="A80" s="73">
        <v>70</v>
      </c>
      <c r="B80" s="73">
        <v>7</v>
      </c>
      <c r="C80" s="73" t="s">
        <v>11</v>
      </c>
      <c r="D80" s="73" t="str">
        <f>Practices_SubPractices[[#This Row],[CP]]&amp;LEFT(Practices_SubPractices[[#This Row],[Org]],1)</f>
        <v>7M</v>
      </c>
      <c r="E80" s="73" t="s">
        <v>267</v>
      </c>
      <c r="F80" s="74" t="s">
        <v>133</v>
      </c>
      <c r="G80" s="74" t="s">
        <v>137</v>
      </c>
      <c r="H80" s="74" t="s">
        <v>369</v>
      </c>
      <c r="I80" s="75">
        <v>0</v>
      </c>
      <c r="J80" s="75">
        <v>1</v>
      </c>
      <c r="K80" s="75">
        <v>0</v>
      </c>
      <c r="L80" s="75">
        <v>1</v>
      </c>
      <c r="M80" s="75">
        <v>0</v>
      </c>
      <c r="N80" s="76"/>
      <c r="O80" s="77">
        <f>IF(AND(Practices_SubPractices[CP]=1,Practices_SubPractices[Org]="Small"),SUMIFS(Practices_SubPractices[B],Practices_SubPractices[CP],"1",Practices_SubPractices[Org],"Small"),IF(AND(Practices_SubPractices[CP]=2,Practices_SubPractices[Org]="Small"),SUMIFS(Practices_SubPractices[B],Practices_SubPractices[CP],"2",Practices_SubPractices[Org],"Small"),IF(AND(Practices_SubPractices[CP]=3,Practices_SubPractices[Org]="Small"),SUMIFS(Practices_SubPractices[B],Practices_SubPractices[CP],"3",Practices_SubPractices[Org],"Small"),IF(AND(Practices_SubPractices[CP]=4,Practices_SubPractices[Org]="Small"),SUMIFS(Practices_SubPractices[B],Practices_SubPractices[CP],"4",Practices_SubPractices[Org],"Small"),IF(AND(Practices_SubPractices[CP]=5,Practices_SubPractices[Org]="Small"),SUMIFS(Practices_SubPractices[B],Practices_SubPractices[CP],"5",Practices_SubPractices[Org],"Small"),IF(AND(Practices_SubPractices[CP]=6,Practices_SubPractices[Org]="Small"),SUMIFS(Practices_SubPractices[B],Practices_SubPractices[CP],"6",Practices_SubPractices[Org],"Small"),IF(AND(Practices_SubPractices[CP]=7,Practices_SubPractices[Org] ="Small"),SUMIFS(Practices_SubPractices[B],Practices_SubPractices[CP],"7",Practices_SubPractices[Org],"Small"),IF(AND(Practices_SubPractices[CP]=8,Practices_SubPractices[Org] ="Small"),SUMIFS(Practices_SubPractices[B],Practices_SubPractices[CP],"8",Practices_SubPractices[Org],"Small"),IF(AND(Practices_SubPractices[CP]=9,Practices_SubPractices[Org] ="Small"),SUMIFS(Practices_SubPractices[B],Practices_SubPractices[CP],"9",Practices_SubPractices[Org],"Small"),IF(AND(Practices_SubPractices[CP]=10,Practices_SubPractices[Org] ="Small"),SUMIFS(Practices_SubPractices[B],Practices_SubPractices[CP],"10",Practices_SubPractices[Org],"Small"),IF(AND(Practices_SubPractices[CP]=1,Practices_SubPractices[Org]="Medium"),SUMIFS(Practices_SubPractices[B],Practices_SubPractices[CP],"1",Practices_SubPractices[Org],"Medium"),IF(AND(Practices_SubPractices[CP]=2,Practices_SubPractices[Org]="Medium"),SUMIFS(Practices_SubPractices[B],Practices_SubPractices[CP],"2",Practices_SubPractices[Org],"Medium"),IF(AND(Practices_SubPractices[CP]=3,Practices_SubPractices[Org]="Medium"),SUMIFS(Practices_SubPractices[B],Practices_SubPractices[CP],"3",Practices_SubPractices[Org],"Medium"),IF(AND(Practices_SubPractices[CP]=4,Practices_SubPractices[Org]="Medium"),SUMIFS(Practices_SubPractices[B],Practices_SubPractices[CP],"4",Practices_SubPractices[Org],"Medium"),IF(AND(Practices_SubPractices[CP]=5,Practices_SubPractices[Org]="Medium"),SUMIFS(Practices_SubPractices[B],Practices_SubPractices[CP],"5",Practices_SubPractices[Org],"Medium"),IF(AND(Practices_SubPractices[CP]=6,Practices_SubPractices[Org]="Medium"),SUMIFS(Practices_SubPractices[B],Practices_SubPractices[CP],"6",Practices_SubPractices[Org],"Medium"),IF(AND(Practices_SubPractices[CP]=7,Practices_SubPractices[Org] ="Medium"),SUMIFS(Practices_SubPractices[B],Practices_SubPractices[CP],"7",Practices_SubPractices[Org],"Medium"),IF(AND(Practices_SubPractices[CP]=8,Practices_SubPractices[Org] ="Medium"),SUMIFS(Practices_SubPractices[B],Practices_SubPractices[CP],"8",Practices_SubPractices[Org],"Medium"),IF(AND(Practices_SubPractices[CP]=9,Practices_SubPractices[Org] ="Medium"),SUMIFS(Practices_SubPractices[B],Practices_SubPractices[CP],"9",Practices_SubPractices[Org],"Medium"),IF(AND(Practices_SubPractices[CP]=10,Practices_SubPractices[Org] ="Medium"),SUMIFS(Practices_SubPractices[B],Practices_SubPractices[CP],"10",Practices_SubPractices[Org],"Medium"),IF(AND(Practices_SubPractices[CP]=1,Practices_SubPractices[Org]="Large"),SUMIFS(Practices_SubPractices[B],Practices_SubPractices[CP],"1",Practices_SubPractices[Org],"Large"),IF(AND(Practices_SubPractices[CP]=2,Practices_SubPractices[Org]="Large"),SUMIFS(Practices_SubPractices[B],Practices_SubPractices[CP],"2",Practices_SubPractices[Org],"Large"),IF(AND(Practices_SubPractices[CP]=3,Practices_SubPractices[Org]="Large"),SUMIFS(Practices_SubPractices[B],Practices_SubPractices[CP],"3",Practices_SubPractices[Org],"Large"),IF(AND(Practices_SubPractices[CP]=4,Practices_SubPractices[Org]="Large"),SUMIFS(Practices_SubPractices[B],Practices_SubPractices[CP],"4",Practices_SubPractices[Org],"Large"),IF(AND(Practices_SubPractices[CP]=5,Practices_SubPractices[Org]="Large"),SUMIFS(Practices_SubPractices[B],Practices_SubPractices[CP],"5",Practices_SubPractices[Org],"Large"),IF(AND(Practices_SubPractices[CP]=6,Practices_SubPractices[Org]="Large"),SUMIFS(Practices_SubPractices[B],Practices_SubPractices[CP],"6",Practices_SubPractices[Org],"Large"),IF(AND(Practices_SubPractices[CP]=7,Practices_SubPractices[Org] ="Large"),SUMIFS(Practices_SubPractices[B],Practices_SubPractices[CP],"7",Practices_SubPractices[Org],"Large"),IF(AND(Practices_SubPractices[CP]=8,Practices_SubPractices[Org] ="Large"),SUMIFS(Practices_SubPractices[B],Practices_SubPractices[CP],"8",Practices_SubPractices[Org],"Large"),IF(AND(Practices_SubPractices[CP]=9,Practices_SubPractices[Org] ="Large"),SUMIFS(Practices_SubPractices[B],Practices_SubPractices[CP],"9",Practices_SubPractices[Org],"Large"),IF(AND(Practices_SubPractices[CP]=10,Practices_SubPractices[Org] ="Large"),SUMIFS(Practices_SubPractices[B],Practices_SubPractices[CP],"10",Practices_SubPractices[Org],"Large"),"TBD"))))))))))))))))))))))))))))))</f>
        <v>7</v>
      </c>
      <c r="P80" s="77">
        <f>IF(AND(Practices_SubPractices[CP]=1,Practices_SubPractices[Org]="Small"),SUMIFS(Practices_SubPractices[C],Practices_SubPractices[CP],"1",Practices_SubPractices[Org],"Small"),IF(AND(Practices_SubPractices[CP]=2,Practices_SubPractices[Org]="Small"),SUMIFS(Practices_SubPractices[C],Practices_SubPractices[CP],"2",Practices_SubPractices[Org],"Small"),IF(AND(Practices_SubPractices[CP]=3,Practices_SubPractices[Org]="Small"),SUMIFS(Practices_SubPractices[C],Practices_SubPractices[CP],"3",Practices_SubPractices[Org],"Small"),IF(AND(Practices_SubPractices[CP]=4,Practices_SubPractices[Org]="Small"),SUMIFS(Practices_SubPractices[C],Practices_SubPractices[CP],"4",Practices_SubPractices[Org],"Small"),IF(AND(Practices_SubPractices[CP]=5,Practices_SubPractices[Org]="Small"),SUMIFS(Practices_SubPractices[C],Practices_SubPractices[CP],"5",Practices_SubPractices[Org],"Small"),IF(AND(Practices_SubPractices[CP]=6,Practices_SubPractices[Org]="Small"),SUMIFS(Practices_SubPractices[C],Practices_SubPractices[CP],"6",Practices_SubPractices[Org],"Small"),IF(AND(Practices_SubPractices[CP]=7,Practices_SubPractices[Org] ="Small"),SUMIFS(Practices_SubPractices[C],Practices_SubPractices[CP],"7",Practices_SubPractices[Org],"Small"),IF(AND(Practices_SubPractices[CP]=8,Practices_SubPractices[Org] ="Small"),SUMIFS(Practices_SubPractices[C],Practices_SubPractices[CP],"8",Practices_SubPractices[Org],"Small"),IF(AND(Practices_SubPractices[CP]=9,Practices_SubPractices[Org] ="Small"),SUMIFS(Practices_SubPractices[C],Practices_SubPractices[CP],"9",Practices_SubPractices[Org],"Small"),IF(AND(Practices_SubPractices[CP]=10,Practices_SubPractices[Org] ="Small"),SUMIFS(Practices_SubPractices[C],Practices_SubPractices[CP],"10",Practices_SubPractices[Org],"Small"),IF(AND(Practices_SubPractices[CP]=1,Practices_SubPractices[Org]="Medium"),SUMIFS(Practices_SubPractices[C],Practices_SubPractices[CP],"1",Practices_SubPractices[Org],"Medium"),IF(AND(Practices_SubPractices[CP]=2,Practices_SubPractices[Org]="Medium"),SUMIFS(Practices_SubPractices[C],Practices_SubPractices[CP],"2",Practices_SubPractices[Org],"Medium"),IF(AND(Practices_SubPractices[CP]=3,Practices_SubPractices[Org]="Medium"),SUMIFS(Practices_SubPractices[C],Practices_SubPractices[CP],"3",Practices_SubPractices[Org],"Medium"),IF(AND(Practices_SubPractices[CP]=4,Practices_SubPractices[Org]="Medium"),SUMIFS(Practices_SubPractices[C],Practices_SubPractices[CP],"4",Practices_SubPractices[Org],"Medium"),IF(AND(Practices_SubPractices[CP]=5,Practices_SubPractices[Org]="Medium"),SUMIFS(Practices_SubPractices[C],Practices_SubPractices[CP],"5",Practices_SubPractices[Org],"Medium"),IF(AND(Practices_SubPractices[CP]=6,Practices_SubPractices[Org]="Medium"),SUMIFS(Practices_SubPractices[C],Practices_SubPractices[CP],"6",Practices_SubPractices[Org],"Medium"),IF(AND(Practices_SubPractices[CP]=7,Practices_SubPractices[Org] ="Medium"),SUMIFS(Practices_SubPractices[C],Practices_SubPractices[CP],"7",Practices_SubPractices[Org],"Medium"),IF(AND(Practices_SubPractices[CP]=8,Practices_SubPractices[Org] ="Medium"),SUMIFS(Practices_SubPractices[C],Practices_SubPractices[CP],"8",Practices_SubPractices[Org],"Medium"),IF(AND(Practices_SubPractices[CP]=9,Practices_SubPractices[Org] ="Medium"),SUMIFS(Practices_SubPractices[C],Practices_SubPractices[CP],"9",Practices_SubPractices[Org],"Medium"),IF(AND(Practices_SubPractices[CP]=10,Practices_SubPractices[Org] ="Medium"),SUMIFS(Practices_SubPractices[C],Practices_SubPractices[CP],"10",Practices_SubPractices[Org],"Medium"),IF(AND(Practices_SubPractices[CP]=1,Practices_SubPractices[Org]="Large"),SUMIFS(Practices_SubPractices[C],Practices_SubPractices[CP],"1",Practices_SubPractices[Org],"Large"),IF(AND(Practices_SubPractices[CP]=2,Practices_SubPractices[Org]="Large"),SUMIFS(Practices_SubPractices[C],Practices_SubPractices[CP],"2",Practices_SubPractices[Org],"Large"),IF(AND(Practices_SubPractices[CP]=3,Practices_SubPractices[Org]="Large"),SUMIFS(Practices_SubPractices[C],Practices_SubPractices[CP],"3",Practices_SubPractices[Org],"Large"),IF(AND(Practices_SubPractices[CP]=4,Practices_SubPractices[Org]="Large"),SUMIFS(Practices_SubPractices[C],Practices_SubPractices[CP],"4",Practices_SubPractices[Org],"Large"),IF(AND(Practices_SubPractices[CP]=5,Practices_SubPractices[Org]="Large"),SUMIFS(Practices_SubPractices[C],Practices_SubPractices[CP],"5",Practices_SubPractices[Org],"Large"),IF(AND(Practices_SubPractices[CP]=6,Practices_SubPractices[Org]="Large"),SUMIFS(Practices_SubPractices[C],Practices_SubPractices[CP],"6",Practices_SubPractices[Org],"Large"),IF(AND(Practices_SubPractices[CP]=7,Practices_SubPractices[Org] ="Large"),SUMIFS(Practices_SubPractices[C],Practices_SubPractices[CP],"7",Practices_SubPractices[Org],"Large"),IF(AND(Practices_SubPractices[CP]=8,Practices_SubPractices[Org] ="Large"),SUMIFS(Practices_SubPractices[C],Practices_SubPractices[CP],"8",Practices_SubPractices[Org],"Large"),IF(AND(Practices_SubPractices[CP]=9,Practices_SubPractices[Org] ="Large"),SUMIFS(Practices_SubPractices[C],Practices_SubPractices[CP],"9",Practices_SubPractices[Org],"Large"),IF(AND(Practices_SubPractices[CP]=10,Practices_SubPractices[Org] ="Large"),SUMIFS(Practices_SubPractices[C],Practices_SubPractices[CP],"10",Practices_SubPractices[Org],"Large"),"TBD"))))))))))))))))))))))))))))))</f>
        <v>0</v>
      </c>
      <c r="Q80" s="77">
        <f>IF(AND(Practices_SubPractices[CP]=1,Practices_SubPractices[Org]="Small"),SUMIFS(Practices_SubPractices[D],Practices_SubPractices[CP],"1",Practices_SubPractices[Org],"Small"),IF(AND(Practices_SubPractices[CP]=2,Practices_SubPractices[Org]="Small"),SUMIFS(Practices_SubPractices[D],Practices_SubPractices[CP],"2",Practices_SubPractices[Org],"Small"),IF(AND(Practices_SubPractices[CP]=3,Practices_SubPractices[Org]="Small"),SUMIFS(Practices_SubPractices[D],Practices_SubPractices[CP],"3",Practices_SubPractices[Org],"Small"),IF(AND(Practices_SubPractices[CP]=4,Practices_SubPractices[Org]="Small"),SUMIFS(Practices_SubPractices[D],Practices_SubPractices[CP],"4",Practices_SubPractices[Org],"Small"),IF(AND(Practices_SubPractices[CP]=5,Practices_SubPractices[Org]="Small"),SUMIFS(Practices_SubPractices[D],Practices_SubPractices[CP],"5",Practices_SubPractices[Org],"Small"),IF(AND(Practices_SubPractices[CP]=6,Practices_SubPractices[Org]="Small"),SUMIFS(Practices_SubPractices[D],Practices_SubPractices[CP],"6",Practices_SubPractices[Org],"Small"),IF(AND(Practices_SubPractices[CP]=7,Practices_SubPractices[Org] ="Small"),SUMIFS(Practices_SubPractices[D],Practices_SubPractices[CP],"7",Practices_SubPractices[Org],"Small"),IF(AND(Practices_SubPractices[CP]=8,Practices_SubPractices[Org] ="Small"),SUMIFS(Practices_SubPractices[D],Practices_SubPractices[CP],"8",Practices_SubPractices[Org],"Small"),IF(AND(Practices_SubPractices[CP]=9,Practices_SubPractices[Org] ="Small"),SUMIFS(Practices_SubPractices[D],Practices_SubPractices[CP],"9",Practices_SubPractices[Org],"Small"),IF(AND(Practices_SubPractices[CP]=10,Practices_SubPractices[Org] ="Small"),SUMIFS(Practices_SubPractices[D],Practices_SubPractices[CP],"10",Practices_SubPractices[Org],"Small"),IF(AND(Practices_SubPractices[CP]=1,Practices_SubPractices[Org]="Medium"),SUMIFS(Practices_SubPractices[D],Practices_SubPractices[CP],"1",Practices_SubPractices[Org],"Medium"),IF(AND(Practices_SubPractices[CP]=2,Practices_SubPractices[Org]="Medium"),SUMIFS(Practices_SubPractices[D],Practices_SubPractices[CP],"2",Practices_SubPractices[Org],"Medium"),IF(AND(Practices_SubPractices[CP]=3,Practices_SubPractices[Org]="Medium"),SUMIFS(Practices_SubPractices[D],Practices_SubPractices[CP],"3",Practices_SubPractices[Org],"Medium"),IF(AND(Practices_SubPractices[CP]=4,Practices_SubPractices[Org]="Medium"),SUMIFS(Practices_SubPractices[D],Practices_SubPractices[CP],"4",Practices_SubPractices[Org],"Medium"),IF(AND(Practices_SubPractices[CP]=5,Practices_SubPractices[Org]="Medium"),SUMIFS(Practices_SubPractices[D],Practices_SubPractices[CP],"5",Practices_SubPractices[Org],"Medium"),IF(AND(Practices_SubPractices[CP]=6,Practices_SubPractices[Org]="Medium"),SUMIFS(Practices_SubPractices[D],Practices_SubPractices[CP],"6",Practices_SubPractices[Org],"Medium"),IF(AND(Practices_SubPractices[CP]=7,Practices_SubPractices[Org] ="Medium"),SUMIFS(Practices_SubPractices[D],Practices_SubPractices[CP],"7",Practices_SubPractices[Org],"Medium"),IF(AND(Practices_SubPractices[CP]=8,Practices_SubPractices[Org] ="Medium"),SUMIFS(Practices_SubPractices[D],Practices_SubPractices[CP],"8",Practices_SubPractices[Org],"Medium"),IF(AND(Practices_SubPractices[CP]=9,Practices_SubPractices[Org] ="Medium"),SUMIFS(Practices_SubPractices[D],Practices_SubPractices[CP],"9",Practices_SubPractices[Org],"Medium"),IF(AND(Practices_SubPractices[CP]=10,Practices_SubPractices[Org] ="Medium"),SUMIFS(Practices_SubPractices[D],Practices_SubPractices[CP],"10",Practices_SubPractices[Org],"Medium"),IF(AND(Practices_SubPractices[CP]=1,Practices_SubPractices[Org]="Large"),SUMIFS(Practices_SubPractices[D],Practices_SubPractices[CP],"1",Practices_SubPractices[Org],"Large"),IF(AND(Practices_SubPractices[CP]=2,Practices_SubPractices[Org]="Large"),SUMIFS(Practices_SubPractices[D],Practices_SubPractices[CP],"2",Practices_SubPractices[Org],"Large"),IF(AND(Practices_SubPractices[CP]=3,Practices_SubPractices[Org]="Large"),SUMIFS(Practices_SubPractices[D],Practices_SubPractices[CP],"3",Practices_SubPractices[Org],"Large"),IF(AND(Practices_SubPractices[CP]=4,Practices_SubPractices[Org]="Large"),SUMIFS(Practices_SubPractices[D],Practices_SubPractices[CP],"4",Practices_SubPractices[Org],"Large"),IF(AND(Practices_SubPractices[CP]=5,Practices_SubPractices[Org]="Large"),SUMIFS(Practices_SubPractices[D],Practices_SubPractices[CP],"5",Practices_SubPractices[Org],"Large"),IF(AND(Practices_SubPractices[CP]=6,Practices_SubPractices[Org]="Large"),SUMIFS(Practices_SubPractices[D],Practices_SubPractices[CP],"6",Practices_SubPractices[Org],"Large"),IF(AND(Practices_SubPractices[CP]=7,Practices_SubPractices[Org] ="Large"),SUMIFS(Practices_SubPractices[D],Practices_SubPractices[CP],"7",Practices_SubPractices[Org],"Large"),IF(AND(Practices_SubPractices[CP]=8,Practices_SubPractices[Org] ="Large"),SUMIFS(Practices_SubPractices[D],Practices_SubPractices[CP],"8",Practices_SubPractices[Org],"Large"),IF(AND(Practices_SubPractices[CP]=9,Practices_SubPractices[Org] ="Large"),SUMIFS(Practices_SubPractices[D],Practices_SubPractices[CP],"9",Practices_SubPractices[Org],"Large"),IF(AND(Practices_SubPractices[CP]=10,Practices_SubPractices[Org] ="Large"),SUMIFS(Practices_SubPractices[D],Practices_SubPractices[CP],"10",Practices_SubPractices[Org],"Large"),"TBD"))))))))))))))))))))))))))))))</f>
        <v>7</v>
      </c>
      <c r="R80" s="77">
        <f>IF(AND(Practices_SubPractices[CP]=1,Practices_SubPractices[Org]="Small"),SUMIFS(Practices_SubPractices[E],Practices_SubPractices[CP],"1",Practices_SubPractices[Org],"Small"),IF(AND(Practices_SubPractices[CP]=2,Practices_SubPractices[Org]="Small"),SUMIFS(Practices_SubPractices[E],Practices_SubPractices[CP],"2",Practices_SubPractices[Org],"Small"),IF(AND(Practices_SubPractices[CP]=3,Practices_SubPractices[Org]="Small"),SUMIFS(Practices_SubPractices[E],Practices_SubPractices[CP],"3",Practices_SubPractices[Org],"Small"),IF(AND(Practices_SubPractices[CP]=4,Practices_SubPractices[Org]="Small"),SUMIFS(Practices_SubPractices[E],Practices_SubPractices[CP],"4",Practices_SubPractices[Org],"Small"),IF(AND(Practices_SubPractices[CP]=5,Practices_SubPractices[Org]="Small"),SUMIFS(Practices_SubPractices[E],Practices_SubPractices[CP],"5",Practices_SubPractices[Org],"Small"),IF(AND(Practices_SubPractices[CP]=6,Practices_SubPractices[Org]="Small"),SUMIFS(Practices_SubPractices[E],Practices_SubPractices[CP],"6",Practices_SubPractices[Org],"Small"),IF(AND(Practices_SubPractices[CP]=7,Practices_SubPractices[Org] ="Small"),SUMIFS(Practices_SubPractices[E],Practices_SubPractices[CP],"7",Practices_SubPractices[Org],"Small"),IF(AND(Practices_SubPractices[CP]=8,Practices_SubPractices[Org] ="Small"),SUMIFS(Practices_SubPractices[E],Practices_SubPractices[CP],"8",Practices_SubPractices[Org],"Small"),IF(AND(Practices_SubPractices[CP]=9,Practices_SubPractices[Org] ="Small"),SUMIFS(Practices_SubPractices[E],Practices_SubPractices[CP],"9",Practices_SubPractices[Org],"Small"),IF(AND(Practices_SubPractices[CP]=10,Practices_SubPractices[Org] ="Small"),SUMIFS(Practices_SubPractices[E],Practices_SubPractices[CP],"10",Practices_SubPractices[Org],"Small"),IF(AND(Practices_SubPractices[CP]=1,Practices_SubPractices[Org]="Medium"),SUMIFS(Practices_SubPractices[E],Practices_SubPractices[CP],"1",Practices_SubPractices[Org],"Medium"),IF(AND(Practices_SubPractices[CP]=2,Practices_SubPractices[Org]="Medium"),SUMIFS(Practices_SubPractices[E],Practices_SubPractices[CP],"2",Practices_SubPractices[Org],"Medium"),IF(AND(Practices_SubPractices[CP]=3,Practices_SubPractices[Org]="Medium"),SUMIFS(Practices_SubPractices[E],Practices_SubPractices[CP],"3",Practices_SubPractices[Org],"Medium"),IF(AND(Practices_SubPractices[CP]=4,Practices_SubPractices[Org]="Medium"),SUMIFS(Practices_SubPractices[E],Practices_SubPractices[CP],"4",Practices_SubPractices[Org],"Medium"),IF(AND(Practices_SubPractices[CP]=5,Practices_SubPractices[Org]="Medium"),SUMIFS(Practices_SubPractices[E],Practices_SubPractices[CP],"5",Practices_SubPractices[Org],"Medium"),IF(AND(Practices_SubPractices[CP]=6,Practices_SubPractices[Org]="Medium"),SUMIFS(Practices_SubPractices[E],Practices_SubPractices[CP],"6",Practices_SubPractices[Org],"Medium"),IF(AND(Practices_SubPractices[CP]=7,Practices_SubPractices[Org] ="Medium"),SUMIFS(Practices_SubPractices[E],Practices_SubPractices[CP],"7",Practices_SubPractices[Org],"Medium"),IF(AND(Practices_SubPractices[CP]=8,Practices_SubPractices[Org] ="Medium"),SUMIFS(Practices_SubPractices[E],Practices_SubPractices[CP],"8",Practices_SubPractices[Org],"Medium"),IF(AND(Practices_SubPractices[CP]=9,Practices_SubPractices[Org] ="Medium"),SUMIFS(Practices_SubPractices[E],Practices_SubPractices[CP],"9",Practices_SubPractices[Org],"Medium"),IF(AND(Practices_SubPractices[CP]=10,Practices_SubPractices[Org] ="Medium"),SUMIFS(Practices_SubPractices[E],Practices_SubPractices[CP],"10",Practices_SubPractices[Org],"Medium"),IF(AND(Practices_SubPractices[CP]=1,Practices_SubPractices[Org]="Large"),SUMIFS(Practices_SubPractices[E],Practices_SubPractices[CP],"1",Practices_SubPractices[Org],"Large"),IF(AND(Practices_SubPractices[CP]=2,Practices_SubPractices[Org]="Large"),SUMIFS(Practices_SubPractices[E],Practices_SubPractices[CP],"2",Practices_SubPractices[Org],"Large"),IF(AND(Practices_SubPractices[CP]=3,Practices_SubPractices[Org]="Large"),SUMIFS(Practices_SubPractices[E],Practices_SubPractices[CP],"3",Practices_SubPractices[Org],"Large"),IF(AND(Practices_SubPractices[CP]=4,Practices_SubPractices[Org]="Large"),SUMIFS(Practices_SubPractices[E],Practices_SubPractices[CP],"4",Practices_SubPractices[Org],"Large"),IF(AND(Practices_SubPractices[CP]=5,Practices_SubPractices[Org]="Large"),SUMIFS(Practices_SubPractices[E],Practices_SubPractices[CP],"5",Practices_SubPractices[Org],"Large"),IF(AND(Practices_SubPractices[CP]=6,Practices_SubPractices[Org]="Large"),SUMIFS(Practices_SubPractices[E],Practices_SubPractices[CP],"6",Practices_SubPractices[Org],"Large"),IF(AND(Practices_SubPractices[CP]=7,Practices_SubPractices[Org] ="Large"),SUMIFS(Practices_SubPractices[E],Practices_SubPractices[CP],"7",Practices_SubPractices[Org],"Large"),IF(AND(Practices_SubPractices[CP]=8,Practices_SubPractices[Org] ="Large"),SUMIFS(Practices_SubPractices[E],Practices_SubPractices[CP],"8",Practices_SubPractices[Org],"Large"),IF(AND(Practices_SubPractices[CP]=9,Practices_SubPractices[Org] ="Large"),SUMIFS(Practices_SubPractices[E],Practices_SubPractices[CP],"9",Practices_SubPractices[Org],"Large"),IF(AND(Practices_SubPractices[CP]=10,Practices_SubPractices[Org] ="Large"),SUMIFS(Practices_SubPractices[E],Practices_SubPractices[CP],"10",Practices_SubPractices[Org],"Large"),"TBD"))))))))))))))))))))))))))))))</f>
        <v>2</v>
      </c>
      <c r="S80" s="88" t="s">
        <v>424</v>
      </c>
    </row>
    <row r="81" spans="1:19" x14ac:dyDescent="0.35">
      <c r="A81" s="73">
        <v>71</v>
      </c>
      <c r="B81" s="73">
        <v>7</v>
      </c>
      <c r="C81" s="73" t="s">
        <v>12</v>
      </c>
      <c r="D81" s="73" t="str">
        <f>Practices_SubPractices[[#This Row],[CP]]&amp;LEFT(Practices_SubPractices[[#This Row],[Org]],1)</f>
        <v>7L</v>
      </c>
      <c r="E81" s="73" t="s">
        <v>267</v>
      </c>
      <c r="F81" s="74" t="s">
        <v>133</v>
      </c>
      <c r="G81" s="74" t="s">
        <v>137</v>
      </c>
      <c r="H81" s="74" t="s">
        <v>369</v>
      </c>
      <c r="I81" s="75">
        <v>0</v>
      </c>
      <c r="J81" s="75">
        <v>1</v>
      </c>
      <c r="K81" s="75">
        <v>0</v>
      </c>
      <c r="L81" s="75">
        <v>1</v>
      </c>
      <c r="M81" s="75">
        <v>0</v>
      </c>
      <c r="N81" s="76"/>
      <c r="O81" s="77">
        <f>IF(AND(Practices_SubPractices[CP]=1,Practices_SubPractices[Org]="Small"),SUMIFS(Practices_SubPractices[B],Practices_SubPractices[CP],"1",Practices_SubPractices[Org],"Small"),IF(AND(Practices_SubPractices[CP]=2,Practices_SubPractices[Org]="Small"),SUMIFS(Practices_SubPractices[B],Practices_SubPractices[CP],"2",Practices_SubPractices[Org],"Small"),IF(AND(Practices_SubPractices[CP]=3,Practices_SubPractices[Org]="Small"),SUMIFS(Practices_SubPractices[B],Practices_SubPractices[CP],"3",Practices_SubPractices[Org],"Small"),IF(AND(Practices_SubPractices[CP]=4,Practices_SubPractices[Org]="Small"),SUMIFS(Practices_SubPractices[B],Practices_SubPractices[CP],"4",Practices_SubPractices[Org],"Small"),IF(AND(Practices_SubPractices[CP]=5,Practices_SubPractices[Org]="Small"),SUMIFS(Practices_SubPractices[B],Practices_SubPractices[CP],"5",Practices_SubPractices[Org],"Small"),IF(AND(Practices_SubPractices[CP]=6,Practices_SubPractices[Org]="Small"),SUMIFS(Practices_SubPractices[B],Practices_SubPractices[CP],"6",Practices_SubPractices[Org],"Small"),IF(AND(Practices_SubPractices[CP]=7,Practices_SubPractices[Org] ="Small"),SUMIFS(Practices_SubPractices[B],Practices_SubPractices[CP],"7",Practices_SubPractices[Org],"Small"),IF(AND(Practices_SubPractices[CP]=8,Practices_SubPractices[Org] ="Small"),SUMIFS(Practices_SubPractices[B],Practices_SubPractices[CP],"8",Practices_SubPractices[Org],"Small"),IF(AND(Practices_SubPractices[CP]=9,Practices_SubPractices[Org] ="Small"),SUMIFS(Practices_SubPractices[B],Practices_SubPractices[CP],"9",Practices_SubPractices[Org],"Small"),IF(AND(Practices_SubPractices[CP]=10,Practices_SubPractices[Org] ="Small"),SUMIFS(Practices_SubPractices[B],Practices_SubPractices[CP],"10",Practices_SubPractices[Org],"Small"),IF(AND(Practices_SubPractices[CP]=1,Practices_SubPractices[Org]="Medium"),SUMIFS(Practices_SubPractices[B],Practices_SubPractices[CP],"1",Practices_SubPractices[Org],"Medium"),IF(AND(Practices_SubPractices[CP]=2,Practices_SubPractices[Org]="Medium"),SUMIFS(Practices_SubPractices[B],Practices_SubPractices[CP],"2",Practices_SubPractices[Org],"Medium"),IF(AND(Practices_SubPractices[CP]=3,Practices_SubPractices[Org]="Medium"),SUMIFS(Practices_SubPractices[B],Practices_SubPractices[CP],"3",Practices_SubPractices[Org],"Medium"),IF(AND(Practices_SubPractices[CP]=4,Practices_SubPractices[Org]="Medium"),SUMIFS(Practices_SubPractices[B],Practices_SubPractices[CP],"4",Practices_SubPractices[Org],"Medium"),IF(AND(Practices_SubPractices[CP]=5,Practices_SubPractices[Org]="Medium"),SUMIFS(Practices_SubPractices[B],Practices_SubPractices[CP],"5",Practices_SubPractices[Org],"Medium"),IF(AND(Practices_SubPractices[CP]=6,Practices_SubPractices[Org]="Medium"),SUMIFS(Practices_SubPractices[B],Practices_SubPractices[CP],"6",Practices_SubPractices[Org],"Medium"),IF(AND(Practices_SubPractices[CP]=7,Practices_SubPractices[Org] ="Medium"),SUMIFS(Practices_SubPractices[B],Practices_SubPractices[CP],"7",Practices_SubPractices[Org],"Medium"),IF(AND(Practices_SubPractices[CP]=8,Practices_SubPractices[Org] ="Medium"),SUMIFS(Practices_SubPractices[B],Practices_SubPractices[CP],"8",Practices_SubPractices[Org],"Medium"),IF(AND(Practices_SubPractices[CP]=9,Practices_SubPractices[Org] ="Medium"),SUMIFS(Practices_SubPractices[B],Practices_SubPractices[CP],"9",Practices_SubPractices[Org],"Medium"),IF(AND(Practices_SubPractices[CP]=10,Practices_SubPractices[Org] ="Medium"),SUMIFS(Practices_SubPractices[B],Practices_SubPractices[CP],"10",Practices_SubPractices[Org],"Medium"),IF(AND(Practices_SubPractices[CP]=1,Practices_SubPractices[Org]="Large"),SUMIFS(Practices_SubPractices[B],Practices_SubPractices[CP],"1",Practices_SubPractices[Org],"Large"),IF(AND(Practices_SubPractices[CP]=2,Practices_SubPractices[Org]="Large"),SUMIFS(Practices_SubPractices[B],Practices_SubPractices[CP],"2",Practices_SubPractices[Org],"Large"),IF(AND(Practices_SubPractices[CP]=3,Practices_SubPractices[Org]="Large"),SUMIFS(Practices_SubPractices[B],Practices_SubPractices[CP],"3",Practices_SubPractices[Org],"Large"),IF(AND(Practices_SubPractices[CP]=4,Practices_SubPractices[Org]="Large"),SUMIFS(Practices_SubPractices[B],Practices_SubPractices[CP],"4",Practices_SubPractices[Org],"Large"),IF(AND(Practices_SubPractices[CP]=5,Practices_SubPractices[Org]="Large"),SUMIFS(Practices_SubPractices[B],Practices_SubPractices[CP],"5",Practices_SubPractices[Org],"Large"),IF(AND(Practices_SubPractices[CP]=6,Practices_SubPractices[Org]="Large"),SUMIFS(Practices_SubPractices[B],Practices_SubPractices[CP],"6",Practices_SubPractices[Org],"Large"),IF(AND(Practices_SubPractices[CP]=7,Practices_SubPractices[Org] ="Large"),SUMIFS(Practices_SubPractices[B],Practices_SubPractices[CP],"7",Practices_SubPractices[Org],"Large"),IF(AND(Practices_SubPractices[CP]=8,Practices_SubPractices[Org] ="Large"),SUMIFS(Practices_SubPractices[B],Practices_SubPractices[CP],"8",Practices_SubPractices[Org],"Large"),IF(AND(Practices_SubPractices[CP]=9,Practices_SubPractices[Org] ="Large"),SUMIFS(Practices_SubPractices[B],Practices_SubPractices[CP],"9",Practices_SubPractices[Org],"Large"),IF(AND(Practices_SubPractices[CP]=10,Practices_SubPractices[Org] ="Large"),SUMIFS(Practices_SubPractices[B],Practices_SubPractices[CP],"10",Practices_SubPractices[Org],"Large"),"TBD"))))))))))))))))))))))))))))))</f>
        <v>11</v>
      </c>
      <c r="P81" s="77">
        <f>IF(AND(Practices_SubPractices[CP]=1,Practices_SubPractices[Org]="Small"),SUMIFS(Practices_SubPractices[C],Practices_SubPractices[CP],"1",Practices_SubPractices[Org],"Small"),IF(AND(Practices_SubPractices[CP]=2,Practices_SubPractices[Org]="Small"),SUMIFS(Practices_SubPractices[C],Practices_SubPractices[CP],"2",Practices_SubPractices[Org],"Small"),IF(AND(Practices_SubPractices[CP]=3,Practices_SubPractices[Org]="Small"),SUMIFS(Practices_SubPractices[C],Practices_SubPractices[CP],"3",Practices_SubPractices[Org],"Small"),IF(AND(Practices_SubPractices[CP]=4,Practices_SubPractices[Org]="Small"),SUMIFS(Practices_SubPractices[C],Practices_SubPractices[CP],"4",Practices_SubPractices[Org],"Small"),IF(AND(Practices_SubPractices[CP]=5,Practices_SubPractices[Org]="Small"),SUMIFS(Practices_SubPractices[C],Practices_SubPractices[CP],"5",Practices_SubPractices[Org],"Small"),IF(AND(Practices_SubPractices[CP]=6,Practices_SubPractices[Org]="Small"),SUMIFS(Practices_SubPractices[C],Practices_SubPractices[CP],"6",Practices_SubPractices[Org],"Small"),IF(AND(Practices_SubPractices[CP]=7,Practices_SubPractices[Org] ="Small"),SUMIFS(Practices_SubPractices[C],Practices_SubPractices[CP],"7",Practices_SubPractices[Org],"Small"),IF(AND(Practices_SubPractices[CP]=8,Practices_SubPractices[Org] ="Small"),SUMIFS(Practices_SubPractices[C],Practices_SubPractices[CP],"8",Practices_SubPractices[Org],"Small"),IF(AND(Practices_SubPractices[CP]=9,Practices_SubPractices[Org] ="Small"),SUMIFS(Practices_SubPractices[C],Practices_SubPractices[CP],"9",Practices_SubPractices[Org],"Small"),IF(AND(Practices_SubPractices[CP]=10,Practices_SubPractices[Org] ="Small"),SUMIFS(Practices_SubPractices[C],Practices_SubPractices[CP],"10",Practices_SubPractices[Org],"Small"),IF(AND(Practices_SubPractices[CP]=1,Practices_SubPractices[Org]="Medium"),SUMIFS(Practices_SubPractices[C],Practices_SubPractices[CP],"1",Practices_SubPractices[Org],"Medium"),IF(AND(Practices_SubPractices[CP]=2,Practices_SubPractices[Org]="Medium"),SUMIFS(Practices_SubPractices[C],Practices_SubPractices[CP],"2",Practices_SubPractices[Org],"Medium"),IF(AND(Practices_SubPractices[CP]=3,Practices_SubPractices[Org]="Medium"),SUMIFS(Practices_SubPractices[C],Practices_SubPractices[CP],"3",Practices_SubPractices[Org],"Medium"),IF(AND(Practices_SubPractices[CP]=4,Practices_SubPractices[Org]="Medium"),SUMIFS(Practices_SubPractices[C],Practices_SubPractices[CP],"4",Practices_SubPractices[Org],"Medium"),IF(AND(Practices_SubPractices[CP]=5,Practices_SubPractices[Org]="Medium"),SUMIFS(Practices_SubPractices[C],Practices_SubPractices[CP],"5",Practices_SubPractices[Org],"Medium"),IF(AND(Practices_SubPractices[CP]=6,Practices_SubPractices[Org]="Medium"),SUMIFS(Practices_SubPractices[C],Practices_SubPractices[CP],"6",Practices_SubPractices[Org],"Medium"),IF(AND(Practices_SubPractices[CP]=7,Practices_SubPractices[Org] ="Medium"),SUMIFS(Practices_SubPractices[C],Practices_SubPractices[CP],"7",Practices_SubPractices[Org],"Medium"),IF(AND(Practices_SubPractices[CP]=8,Practices_SubPractices[Org] ="Medium"),SUMIFS(Practices_SubPractices[C],Practices_SubPractices[CP],"8",Practices_SubPractices[Org],"Medium"),IF(AND(Practices_SubPractices[CP]=9,Practices_SubPractices[Org] ="Medium"),SUMIFS(Practices_SubPractices[C],Practices_SubPractices[CP],"9",Practices_SubPractices[Org],"Medium"),IF(AND(Practices_SubPractices[CP]=10,Practices_SubPractices[Org] ="Medium"),SUMIFS(Practices_SubPractices[C],Practices_SubPractices[CP],"10",Practices_SubPractices[Org],"Medium"),IF(AND(Practices_SubPractices[CP]=1,Practices_SubPractices[Org]="Large"),SUMIFS(Practices_SubPractices[C],Practices_SubPractices[CP],"1",Practices_SubPractices[Org],"Large"),IF(AND(Practices_SubPractices[CP]=2,Practices_SubPractices[Org]="Large"),SUMIFS(Practices_SubPractices[C],Practices_SubPractices[CP],"2",Practices_SubPractices[Org],"Large"),IF(AND(Practices_SubPractices[CP]=3,Practices_SubPractices[Org]="Large"),SUMIFS(Practices_SubPractices[C],Practices_SubPractices[CP],"3",Practices_SubPractices[Org],"Large"),IF(AND(Practices_SubPractices[CP]=4,Practices_SubPractices[Org]="Large"),SUMIFS(Practices_SubPractices[C],Practices_SubPractices[CP],"4",Practices_SubPractices[Org],"Large"),IF(AND(Practices_SubPractices[CP]=5,Practices_SubPractices[Org]="Large"),SUMIFS(Practices_SubPractices[C],Practices_SubPractices[CP],"5",Practices_SubPractices[Org],"Large"),IF(AND(Practices_SubPractices[CP]=6,Practices_SubPractices[Org]="Large"),SUMIFS(Practices_SubPractices[C],Practices_SubPractices[CP],"6",Practices_SubPractices[Org],"Large"),IF(AND(Practices_SubPractices[CP]=7,Practices_SubPractices[Org] ="Large"),SUMIFS(Practices_SubPractices[C],Practices_SubPractices[CP],"7",Practices_SubPractices[Org],"Large"),IF(AND(Practices_SubPractices[CP]=8,Practices_SubPractices[Org] ="Large"),SUMIFS(Practices_SubPractices[C],Practices_SubPractices[CP],"8",Practices_SubPractices[Org],"Large"),IF(AND(Practices_SubPractices[CP]=9,Practices_SubPractices[Org] ="Large"),SUMIFS(Practices_SubPractices[C],Practices_SubPractices[CP],"9",Practices_SubPractices[Org],"Large"),IF(AND(Practices_SubPractices[CP]=10,Practices_SubPractices[Org] ="Large"),SUMIFS(Practices_SubPractices[C],Practices_SubPractices[CP],"10",Practices_SubPractices[Org],"Large"),"TBD"))))))))))))))))))))))))))))))</f>
        <v>1</v>
      </c>
      <c r="Q81" s="77">
        <f>IF(AND(Practices_SubPractices[CP]=1,Practices_SubPractices[Org]="Small"),SUMIFS(Practices_SubPractices[D],Practices_SubPractices[CP],"1",Practices_SubPractices[Org],"Small"),IF(AND(Practices_SubPractices[CP]=2,Practices_SubPractices[Org]="Small"),SUMIFS(Practices_SubPractices[D],Practices_SubPractices[CP],"2",Practices_SubPractices[Org],"Small"),IF(AND(Practices_SubPractices[CP]=3,Practices_SubPractices[Org]="Small"),SUMIFS(Practices_SubPractices[D],Practices_SubPractices[CP],"3",Practices_SubPractices[Org],"Small"),IF(AND(Practices_SubPractices[CP]=4,Practices_SubPractices[Org]="Small"),SUMIFS(Practices_SubPractices[D],Practices_SubPractices[CP],"4",Practices_SubPractices[Org],"Small"),IF(AND(Practices_SubPractices[CP]=5,Practices_SubPractices[Org]="Small"),SUMIFS(Practices_SubPractices[D],Practices_SubPractices[CP],"5",Practices_SubPractices[Org],"Small"),IF(AND(Practices_SubPractices[CP]=6,Practices_SubPractices[Org]="Small"),SUMIFS(Practices_SubPractices[D],Practices_SubPractices[CP],"6",Practices_SubPractices[Org],"Small"),IF(AND(Practices_SubPractices[CP]=7,Practices_SubPractices[Org] ="Small"),SUMIFS(Practices_SubPractices[D],Practices_SubPractices[CP],"7",Practices_SubPractices[Org],"Small"),IF(AND(Practices_SubPractices[CP]=8,Practices_SubPractices[Org] ="Small"),SUMIFS(Practices_SubPractices[D],Practices_SubPractices[CP],"8",Practices_SubPractices[Org],"Small"),IF(AND(Practices_SubPractices[CP]=9,Practices_SubPractices[Org] ="Small"),SUMIFS(Practices_SubPractices[D],Practices_SubPractices[CP],"9",Practices_SubPractices[Org],"Small"),IF(AND(Practices_SubPractices[CP]=10,Practices_SubPractices[Org] ="Small"),SUMIFS(Practices_SubPractices[D],Practices_SubPractices[CP],"10",Practices_SubPractices[Org],"Small"),IF(AND(Practices_SubPractices[CP]=1,Practices_SubPractices[Org]="Medium"),SUMIFS(Practices_SubPractices[D],Practices_SubPractices[CP],"1",Practices_SubPractices[Org],"Medium"),IF(AND(Practices_SubPractices[CP]=2,Practices_SubPractices[Org]="Medium"),SUMIFS(Practices_SubPractices[D],Practices_SubPractices[CP],"2",Practices_SubPractices[Org],"Medium"),IF(AND(Practices_SubPractices[CP]=3,Practices_SubPractices[Org]="Medium"),SUMIFS(Practices_SubPractices[D],Practices_SubPractices[CP],"3",Practices_SubPractices[Org],"Medium"),IF(AND(Practices_SubPractices[CP]=4,Practices_SubPractices[Org]="Medium"),SUMIFS(Practices_SubPractices[D],Practices_SubPractices[CP],"4",Practices_SubPractices[Org],"Medium"),IF(AND(Practices_SubPractices[CP]=5,Practices_SubPractices[Org]="Medium"),SUMIFS(Practices_SubPractices[D],Practices_SubPractices[CP],"5",Practices_SubPractices[Org],"Medium"),IF(AND(Practices_SubPractices[CP]=6,Practices_SubPractices[Org]="Medium"),SUMIFS(Practices_SubPractices[D],Practices_SubPractices[CP],"6",Practices_SubPractices[Org],"Medium"),IF(AND(Practices_SubPractices[CP]=7,Practices_SubPractices[Org] ="Medium"),SUMIFS(Practices_SubPractices[D],Practices_SubPractices[CP],"7",Practices_SubPractices[Org],"Medium"),IF(AND(Practices_SubPractices[CP]=8,Practices_SubPractices[Org] ="Medium"),SUMIFS(Practices_SubPractices[D],Practices_SubPractices[CP],"8",Practices_SubPractices[Org],"Medium"),IF(AND(Practices_SubPractices[CP]=9,Practices_SubPractices[Org] ="Medium"),SUMIFS(Practices_SubPractices[D],Practices_SubPractices[CP],"9",Practices_SubPractices[Org],"Medium"),IF(AND(Practices_SubPractices[CP]=10,Practices_SubPractices[Org] ="Medium"),SUMIFS(Practices_SubPractices[D],Practices_SubPractices[CP],"10",Practices_SubPractices[Org],"Medium"),IF(AND(Practices_SubPractices[CP]=1,Practices_SubPractices[Org]="Large"),SUMIFS(Practices_SubPractices[D],Practices_SubPractices[CP],"1",Practices_SubPractices[Org],"Large"),IF(AND(Practices_SubPractices[CP]=2,Practices_SubPractices[Org]="Large"),SUMIFS(Practices_SubPractices[D],Practices_SubPractices[CP],"2",Practices_SubPractices[Org],"Large"),IF(AND(Practices_SubPractices[CP]=3,Practices_SubPractices[Org]="Large"),SUMIFS(Practices_SubPractices[D],Practices_SubPractices[CP],"3",Practices_SubPractices[Org],"Large"),IF(AND(Practices_SubPractices[CP]=4,Practices_SubPractices[Org]="Large"),SUMIFS(Practices_SubPractices[D],Practices_SubPractices[CP],"4",Practices_SubPractices[Org],"Large"),IF(AND(Practices_SubPractices[CP]=5,Practices_SubPractices[Org]="Large"),SUMIFS(Practices_SubPractices[D],Practices_SubPractices[CP],"5",Practices_SubPractices[Org],"Large"),IF(AND(Practices_SubPractices[CP]=6,Practices_SubPractices[Org]="Large"),SUMIFS(Practices_SubPractices[D],Practices_SubPractices[CP],"6",Practices_SubPractices[Org],"Large"),IF(AND(Practices_SubPractices[CP]=7,Practices_SubPractices[Org] ="Large"),SUMIFS(Practices_SubPractices[D],Practices_SubPractices[CP],"7",Practices_SubPractices[Org],"Large"),IF(AND(Practices_SubPractices[CP]=8,Practices_SubPractices[Org] ="Large"),SUMIFS(Practices_SubPractices[D],Practices_SubPractices[CP],"8",Practices_SubPractices[Org],"Large"),IF(AND(Practices_SubPractices[CP]=9,Practices_SubPractices[Org] ="Large"),SUMIFS(Practices_SubPractices[D],Practices_SubPractices[CP],"9",Practices_SubPractices[Org],"Large"),IF(AND(Practices_SubPractices[CP]=10,Practices_SubPractices[Org] ="Large"),SUMIFS(Practices_SubPractices[D],Practices_SubPractices[CP],"10",Practices_SubPractices[Org],"Large"),"TBD"))))))))))))))))))))))))))))))</f>
        <v>11</v>
      </c>
      <c r="R81" s="77">
        <f>IF(AND(Practices_SubPractices[CP]=1,Practices_SubPractices[Org]="Small"),SUMIFS(Practices_SubPractices[E],Practices_SubPractices[CP],"1",Practices_SubPractices[Org],"Small"),IF(AND(Practices_SubPractices[CP]=2,Practices_SubPractices[Org]="Small"),SUMIFS(Practices_SubPractices[E],Practices_SubPractices[CP],"2",Practices_SubPractices[Org],"Small"),IF(AND(Practices_SubPractices[CP]=3,Practices_SubPractices[Org]="Small"),SUMIFS(Practices_SubPractices[E],Practices_SubPractices[CP],"3",Practices_SubPractices[Org],"Small"),IF(AND(Practices_SubPractices[CP]=4,Practices_SubPractices[Org]="Small"),SUMIFS(Practices_SubPractices[E],Practices_SubPractices[CP],"4",Practices_SubPractices[Org],"Small"),IF(AND(Practices_SubPractices[CP]=5,Practices_SubPractices[Org]="Small"),SUMIFS(Practices_SubPractices[E],Practices_SubPractices[CP],"5",Practices_SubPractices[Org],"Small"),IF(AND(Practices_SubPractices[CP]=6,Practices_SubPractices[Org]="Small"),SUMIFS(Practices_SubPractices[E],Practices_SubPractices[CP],"6",Practices_SubPractices[Org],"Small"),IF(AND(Practices_SubPractices[CP]=7,Practices_SubPractices[Org] ="Small"),SUMIFS(Practices_SubPractices[E],Practices_SubPractices[CP],"7",Practices_SubPractices[Org],"Small"),IF(AND(Practices_SubPractices[CP]=8,Practices_SubPractices[Org] ="Small"),SUMIFS(Practices_SubPractices[E],Practices_SubPractices[CP],"8",Practices_SubPractices[Org],"Small"),IF(AND(Practices_SubPractices[CP]=9,Practices_SubPractices[Org] ="Small"),SUMIFS(Practices_SubPractices[E],Practices_SubPractices[CP],"9",Practices_SubPractices[Org],"Small"),IF(AND(Practices_SubPractices[CP]=10,Practices_SubPractices[Org] ="Small"),SUMIFS(Practices_SubPractices[E],Practices_SubPractices[CP],"10",Practices_SubPractices[Org],"Small"),IF(AND(Practices_SubPractices[CP]=1,Practices_SubPractices[Org]="Medium"),SUMIFS(Practices_SubPractices[E],Practices_SubPractices[CP],"1",Practices_SubPractices[Org],"Medium"),IF(AND(Practices_SubPractices[CP]=2,Practices_SubPractices[Org]="Medium"),SUMIFS(Practices_SubPractices[E],Practices_SubPractices[CP],"2",Practices_SubPractices[Org],"Medium"),IF(AND(Practices_SubPractices[CP]=3,Practices_SubPractices[Org]="Medium"),SUMIFS(Practices_SubPractices[E],Practices_SubPractices[CP],"3",Practices_SubPractices[Org],"Medium"),IF(AND(Practices_SubPractices[CP]=4,Practices_SubPractices[Org]="Medium"),SUMIFS(Practices_SubPractices[E],Practices_SubPractices[CP],"4",Practices_SubPractices[Org],"Medium"),IF(AND(Practices_SubPractices[CP]=5,Practices_SubPractices[Org]="Medium"),SUMIFS(Practices_SubPractices[E],Practices_SubPractices[CP],"5",Practices_SubPractices[Org],"Medium"),IF(AND(Practices_SubPractices[CP]=6,Practices_SubPractices[Org]="Medium"),SUMIFS(Practices_SubPractices[E],Practices_SubPractices[CP],"6",Practices_SubPractices[Org],"Medium"),IF(AND(Practices_SubPractices[CP]=7,Practices_SubPractices[Org] ="Medium"),SUMIFS(Practices_SubPractices[E],Practices_SubPractices[CP],"7",Practices_SubPractices[Org],"Medium"),IF(AND(Practices_SubPractices[CP]=8,Practices_SubPractices[Org] ="Medium"),SUMIFS(Practices_SubPractices[E],Practices_SubPractices[CP],"8",Practices_SubPractices[Org],"Medium"),IF(AND(Practices_SubPractices[CP]=9,Practices_SubPractices[Org] ="Medium"),SUMIFS(Practices_SubPractices[E],Practices_SubPractices[CP],"9",Practices_SubPractices[Org],"Medium"),IF(AND(Practices_SubPractices[CP]=10,Practices_SubPractices[Org] ="Medium"),SUMIFS(Practices_SubPractices[E],Practices_SubPractices[CP],"10",Practices_SubPractices[Org],"Medium"),IF(AND(Practices_SubPractices[CP]=1,Practices_SubPractices[Org]="Large"),SUMIFS(Practices_SubPractices[E],Practices_SubPractices[CP],"1",Practices_SubPractices[Org],"Large"),IF(AND(Practices_SubPractices[CP]=2,Practices_SubPractices[Org]="Large"),SUMIFS(Practices_SubPractices[E],Practices_SubPractices[CP],"2",Practices_SubPractices[Org],"Large"),IF(AND(Practices_SubPractices[CP]=3,Practices_SubPractices[Org]="Large"),SUMIFS(Practices_SubPractices[E],Practices_SubPractices[CP],"3",Practices_SubPractices[Org],"Large"),IF(AND(Practices_SubPractices[CP]=4,Practices_SubPractices[Org]="Large"),SUMIFS(Practices_SubPractices[E],Practices_SubPractices[CP],"4",Practices_SubPractices[Org],"Large"),IF(AND(Practices_SubPractices[CP]=5,Practices_SubPractices[Org]="Large"),SUMIFS(Practices_SubPractices[E],Practices_SubPractices[CP],"5",Practices_SubPractices[Org],"Large"),IF(AND(Practices_SubPractices[CP]=6,Practices_SubPractices[Org]="Large"),SUMIFS(Practices_SubPractices[E],Practices_SubPractices[CP],"6",Practices_SubPractices[Org],"Large"),IF(AND(Practices_SubPractices[CP]=7,Practices_SubPractices[Org] ="Large"),SUMIFS(Practices_SubPractices[E],Practices_SubPractices[CP],"7",Practices_SubPractices[Org],"Large"),IF(AND(Practices_SubPractices[CP]=8,Practices_SubPractices[Org] ="Large"),SUMIFS(Practices_SubPractices[E],Practices_SubPractices[CP],"8",Practices_SubPractices[Org],"Large"),IF(AND(Practices_SubPractices[CP]=9,Practices_SubPractices[Org] ="Large"),SUMIFS(Practices_SubPractices[E],Practices_SubPractices[CP],"9",Practices_SubPractices[Org],"Large"),IF(AND(Practices_SubPractices[CP]=10,Practices_SubPractices[Org] ="Large"),SUMIFS(Practices_SubPractices[E],Practices_SubPractices[CP],"10",Practices_SubPractices[Org],"Large"),"TBD"))))))))))))))))))))))))))))))</f>
        <v>4</v>
      </c>
      <c r="S81" s="88" t="s">
        <v>424</v>
      </c>
    </row>
    <row r="82" spans="1:19" x14ac:dyDescent="0.35">
      <c r="A82" s="73">
        <v>72</v>
      </c>
      <c r="B82" s="73">
        <v>7</v>
      </c>
      <c r="C82" s="73" t="s">
        <v>11</v>
      </c>
      <c r="D82" s="73" t="str">
        <f>Practices_SubPractices[[#This Row],[CP]]&amp;LEFT(Practices_SubPractices[[#This Row],[Org]],1)</f>
        <v>7M</v>
      </c>
      <c r="E82" s="73" t="s">
        <v>268</v>
      </c>
      <c r="F82" s="74" t="s">
        <v>134</v>
      </c>
      <c r="G82" s="74" t="s">
        <v>138</v>
      </c>
      <c r="H82" s="74" t="s">
        <v>246</v>
      </c>
      <c r="I82" s="75">
        <v>0</v>
      </c>
      <c r="J82" s="75">
        <v>2</v>
      </c>
      <c r="K82" s="75">
        <v>0</v>
      </c>
      <c r="L82" s="75">
        <v>2</v>
      </c>
      <c r="M82" s="75">
        <v>1</v>
      </c>
      <c r="N82" s="76"/>
      <c r="O82" s="77">
        <f>IF(AND(Practices_SubPractices[CP]=1,Practices_SubPractices[Org]="Small"),SUMIFS(Practices_SubPractices[B],Practices_SubPractices[CP],"1",Practices_SubPractices[Org],"Small"),IF(AND(Practices_SubPractices[CP]=2,Practices_SubPractices[Org]="Small"),SUMIFS(Practices_SubPractices[B],Practices_SubPractices[CP],"2",Practices_SubPractices[Org],"Small"),IF(AND(Practices_SubPractices[CP]=3,Practices_SubPractices[Org]="Small"),SUMIFS(Practices_SubPractices[B],Practices_SubPractices[CP],"3",Practices_SubPractices[Org],"Small"),IF(AND(Practices_SubPractices[CP]=4,Practices_SubPractices[Org]="Small"),SUMIFS(Practices_SubPractices[B],Practices_SubPractices[CP],"4",Practices_SubPractices[Org],"Small"),IF(AND(Practices_SubPractices[CP]=5,Practices_SubPractices[Org]="Small"),SUMIFS(Practices_SubPractices[B],Practices_SubPractices[CP],"5",Practices_SubPractices[Org],"Small"),IF(AND(Practices_SubPractices[CP]=6,Practices_SubPractices[Org]="Small"),SUMIFS(Practices_SubPractices[B],Practices_SubPractices[CP],"6",Practices_SubPractices[Org],"Small"),IF(AND(Practices_SubPractices[CP]=7,Practices_SubPractices[Org] ="Small"),SUMIFS(Practices_SubPractices[B],Practices_SubPractices[CP],"7",Practices_SubPractices[Org],"Small"),IF(AND(Practices_SubPractices[CP]=8,Practices_SubPractices[Org] ="Small"),SUMIFS(Practices_SubPractices[B],Practices_SubPractices[CP],"8",Practices_SubPractices[Org],"Small"),IF(AND(Practices_SubPractices[CP]=9,Practices_SubPractices[Org] ="Small"),SUMIFS(Practices_SubPractices[B],Practices_SubPractices[CP],"9",Practices_SubPractices[Org],"Small"),IF(AND(Practices_SubPractices[CP]=10,Practices_SubPractices[Org] ="Small"),SUMIFS(Practices_SubPractices[B],Practices_SubPractices[CP],"10",Practices_SubPractices[Org],"Small"),IF(AND(Practices_SubPractices[CP]=1,Practices_SubPractices[Org]="Medium"),SUMIFS(Practices_SubPractices[B],Practices_SubPractices[CP],"1",Practices_SubPractices[Org],"Medium"),IF(AND(Practices_SubPractices[CP]=2,Practices_SubPractices[Org]="Medium"),SUMIFS(Practices_SubPractices[B],Practices_SubPractices[CP],"2",Practices_SubPractices[Org],"Medium"),IF(AND(Practices_SubPractices[CP]=3,Practices_SubPractices[Org]="Medium"),SUMIFS(Practices_SubPractices[B],Practices_SubPractices[CP],"3",Practices_SubPractices[Org],"Medium"),IF(AND(Practices_SubPractices[CP]=4,Practices_SubPractices[Org]="Medium"),SUMIFS(Practices_SubPractices[B],Practices_SubPractices[CP],"4",Practices_SubPractices[Org],"Medium"),IF(AND(Practices_SubPractices[CP]=5,Practices_SubPractices[Org]="Medium"),SUMIFS(Practices_SubPractices[B],Practices_SubPractices[CP],"5",Practices_SubPractices[Org],"Medium"),IF(AND(Practices_SubPractices[CP]=6,Practices_SubPractices[Org]="Medium"),SUMIFS(Practices_SubPractices[B],Practices_SubPractices[CP],"6",Practices_SubPractices[Org],"Medium"),IF(AND(Practices_SubPractices[CP]=7,Practices_SubPractices[Org] ="Medium"),SUMIFS(Practices_SubPractices[B],Practices_SubPractices[CP],"7",Practices_SubPractices[Org],"Medium"),IF(AND(Practices_SubPractices[CP]=8,Practices_SubPractices[Org] ="Medium"),SUMIFS(Practices_SubPractices[B],Practices_SubPractices[CP],"8",Practices_SubPractices[Org],"Medium"),IF(AND(Practices_SubPractices[CP]=9,Practices_SubPractices[Org] ="Medium"),SUMIFS(Practices_SubPractices[B],Practices_SubPractices[CP],"9",Practices_SubPractices[Org],"Medium"),IF(AND(Practices_SubPractices[CP]=10,Practices_SubPractices[Org] ="Medium"),SUMIFS(Practices_SubPractices[B],Practices_SubPractices[CP],"10",Practices_SubPractices[Org],"Medium"),IF(AND(Practices_SubPractices[CP]=1,Practices_SubPractices[Org]="Large"),SUMIFS(Practices_SubPractices[B],Practices_SubPractices[CP],"1",Practices_SubPractices[Org],"Large"),IF(AND(Practices_SubPractices[CP]=2,Practices_SubPractices[Org]="Large"),SUMIFS(Practices_SubPractices[B],Practices_SubPractices[CP],"2",Practices_SubPractices[Org],"Large"),IF(AND(Practices_SubPractices[CP]=3,Practices_SubPractices[Org]="Large"),SUMIFS(Practices_SubPractices[B],Practices_SubPractices[CP],"3",Practices_SubPractices[Org],"Large"),IF(AND(Practices_SubPractices[CP]=4,Practices_SubPractices[Org]="Large"),SUMIFS(Practices_SubPractices[B],Practices_SubPractices[CP],"4",Practices_SubPractices[Org],"Large"),IF(AND(Practices_SubPractices[CP]=5,Practices_SubPractices[Org]="Large"),SUMIFS(Practices_SubPractices[B],Practices_SubPractices[CP],"5",Practices_SubPractices[Org],"Large"),IF(AND(Practices_SubPractices[CP]=6,Practices_SubPractices[Org]="Large"),SUMIFS(Practices_SubPractices[B],Practices_SubPractices[CP],"6",Practices_SubPractices[Org],"Large"),IF(AND(Practices_SubPractices[CP]=7,Practices_SubPractices[Org] ="Large"),SUMIFS(Practices_SubPractices[B],Practices_SubPractices[CP],"7",Practices_SubPractices[Org],"Large"),IF(AND(Practices_SubPractices[CP]=8,Practices_SubPractices[Org] ="Large"),SUMIFS(Practices_SubPractices[B],Practices_SubPractices[CP],"8",Practices_SubPractices[Org],"Large"),IF(AND(Practices_SubPractices[CP]=9,Practices_SubPractices[Org] ="Large"),SUMIFS(Practices_SubPractices[B],Practices_SubPractices[CP],"9",Practices_SubPractices[Org],"Large"),IF(AND(Practices_SubPractices[CP]=10,Practices_SubPractices[Org] ="Large"),SUMIFS(Practices_SubPractices[B],Practices_SubPractices[CP],"10",Practices_SubPractices[Org],"Large"),"TBD"))))))))))))))))))))))))))))))</f>
        <v>7</v>
      </c>
      <c r="P82" s="77">
        <f>IF(AND(Practices_SubPractices[CP]=1,Practices_SubPractices[Org]="Small"),SUMIFS(Practices_SubPractices[C],Practices_SubPractices[CP],"1",Practices_SubPractices[Org],"Small"),IF(AND(Practices_SubPractices[CP]=2,Practices_SubPractices[Org]="Small"),SUMIFS(Practices_SubPractices[C],Practices_SubPractices[CP],"2",Practices_SubPractices[Org],"Small"),IF(AND(Practices_SubPractices[CP]=3,Practices_SubPractices[Org]="Small"),SUMIFS(Practices_SubPractices[C],Practices_SubPractices[CP],"3",Practices_SubPractices[Org],"Small"),IF(AND(Practices_SubPractices[CP]=4,Practices_SubPractices[Org]="Small"),SUMIFS(Practices_SubPractices[C],Practices_SubPractices[CP],"4",Practices_SubPractices[Org],"Small"),IF(AND(Practices_SubPractices[CP]=5,Practices_SubPractices[Org]="Small"),SUMIFS(Practices_SubPractices[C],Practices_SubPractices[CP],"5",Practices_SubPractices[Org],"Small"),IF(AND(Practices_SubPractices[CP]=6,Practices_SubPractices[Org]="Small"),SUMIFS(Practices_SubPractices[C],Practices_SubPractices[CP],"6",Practices_SubPractices[Org],"Small"),IF(AND(Practices_SubPractices[CP]=7,Practices_SubPractices[Org] ="Small"),SUMIFS(Practices_SubPractices[C],Practices_SubPractices[CP],"7",Practices_SubPractices[Org],"Small"),IF(AND(Practices_SubPractices[CP]=8,Practices_SubPractices[Org] ="Small"),SUMIFS(Practices_SubPractices[C],Practices_SubPractices[CP],"8",Practices_SubPractices[Org],"Small"),IF(AND(Practices_SubPractices[CP]=9,Practices_SubPractices[Org] ="Small"),SUMIFS(Practices_SubPractices[C],Practices_SubPractices[CP],"9",Practices_SubPractices[Org],"Small"),IF(AND(Practices_SubPractices[CP]=10,Practices_SubPractices[Org] ="Small"),SUMIFS(Practices_SubPractices[C],Practices_SubPractices[CP],"10",Practices_SubPractices[Org],"Small"),IF(AND(Practices_SubPractices[CP]=1,Practices_SubPractices[Org]="Medium"),SUMIFS(Practices_SubPractices[C],Practices_SubPractices[CP],"1",Practices_SubPractices[Org],"Medium"),IF(AND(Practices_SubPractices[CP]=2,Practices_SubPractices[Org]="Medium"),SUMIFS(Practices_SubPractices[C],Practices_SubPractices[CP],"2",Practices_SubPractices[Org],"Medium"),IF(AND(Practices_SubPractices[CP]=3,Practices_SubPractices[Org]="Medium"),SUMIFS(Practices_SubPractices[C],Practices_SubPractices[CP],"3",Practices_SubPractices[Org],"Medium"),IF(AND(Practices_SubPractices[CP]=4,Practices_SubPractices[Org]="Medium"),SUMIFS(Practices_SubPractices[C],Practices_SubPractices[CP],"4",Practices_SubPractices[Org],"Medium"),IF(AND(Practices_SubPractices[CP]=5,Practices_SubPractices[Org]="Medium"),SUMIFS(Practices_SubPractices[C],Practices_SubPractices[CP],"5",Practices_SubPractices[Org],"Medium"),IF(AND(Practices_SubPractices[CP]=6,Practices_SubPractices[Org]="Medium"),SUMIFS(Practices_SubPractices[C],Practices_SubPractices[CP],"6",Practices_SubPractices[Org],"Medium"),IF(AND(Practices_SubPractices[CP]=7,Practices_SubPractices[Org] ="Medium"),SUMIFS(Practices_SubPractices[C],Practices_SubPractices[CP],"7",Practices_SubPractices[Org],"Medium"),IF(AND(Practices_SubPractices[CP]=8,Practices_SubPractices[Org] ="Medium"),SUMIFS(Practices_SubPractices[C],Practices_SubPractices[CP],"8",Practices_SubPractices[Org],"Medium"),IF(AND(Practices_SubPractices[CP]=9,Practices_SubPractices[Org] ="Medium"),SUMIFS(Practices_SubPractices[C],Practices_SubPractices[CP],"9",Practices_SubPractices[Org],"Medium"),IF(AND(Practices_SubPractices[CP]=10,Practices_SubPractices[Org] ="Medium"),SUMIFS(Practices_SubPractices[C],Practices_SubPractices[CP],"10",Practices_SubPractices[Org],"Medium"),IF(AND(Practices_SubPractices[CP]=1,Practices_SubPractices[Org]="Large"),SUMIFS(Practices_SubPractices[C],Practices_SubPractices[CP],"1",Practices_SubPractices[Org],"Large"),IF(AND(Practices_SubPractices[CP]=2,Practices_SubPractices[Org]="Large"),SUMIFS(Practices_SubPractices[C],Practices_SubPractices[CP],"2",Practices_SubPractices[Org],"Large"),IF(AND(Practices_SubPractices[CP]=3,Practices_SubPractices[Org]="Large"),SUMIFS(Practices_SubPractices[C],Practices_SubPractices[CP],"3",Practices_SubPractices[Org],"Large"),IF(AND(Practices_SubPractices[CP]=4,Practices_SubPractices[Org]="Large"),SUMIFS(Practices_SubPractices[C],Practices_SubPractices[CP],"4",Practices_SubPractices[Org],"Large"),IF(AND(Practices_SubPractices[CP]=5,Practices_SubPractices[Org]="Large"),SUMIFS(Practices_SubPractices[C],Practices_SubPractices[CP],"5",Practices_SubPractices[Org],"Large"),IF(AND(Practices_SubPractices[CP]=6,Practices_SubPractices[Org]="Large"),SUMIFS(Practices_SubPractices[C],Practices_SubPractices[CP],"6",Practices_SubPractices[Org],"Large"),IF(AND(Practices_SubPractices[CP]=7,Practices_SubPractices[Org] ="Large"),SUMIFS(Practices_SubPractices[C],Practices_SubPractices[CP],"7",Practices_SubPractices[Org],"Large"),IF(AND(Practices_SubPractices[CP]=8,Practices_SubPractices[Org] ="Large"),SUMIFS(Practices_SubPractices[C],Practices_SubPractices[CP],"8",Practices_SubPractices[Org],"Large"),IF(AND(Practices_SubPractices[CP]=9,Practices_SubPractices[Org] ="Large"),SUMIFS(Practices_SubPractices[C],Practices_SubPractices[CP],"9",Practices_SubPractices[Org],"Large"),IF(AND(Practices_SubPractices[CP]=10,Practices_SubPractices[Org] ="Large"),SUMIFS(Practices_SubPractices[C],Practices_SubPractices[CP],"10",Practices_SubPractices[Org],"Large"),"TBD"))))))))))))))))))))))))))))))</f>
        <v>0</v>
      </c>
      <c r="Q82" s="77">
        <f>IF(AND(Practices_SubPractices[CP]=1,Practices_SubPractices[Org]="Small"),SUMIFS(Practices_SubPractices[D],Practices_SubPractices[CP],"1",Practices_SubPractices[Org],"Small"),IF(AND(Practices_SubPractices[CP]=2,Practices_SubPractices[Org]="Small"),SUMIFS(Practices_SubPractices[D],Practices_SubPractices[CP],"2",Practices_SubPractices[Org],"Small"),IF(AND(Practices_SubPractices[CP]=3,Practices_SubPractices[Org]="Small"),SUMIFS(Practices_SubPractices[D],Practices_SubPractices[CP],"3",Practices_SubPractices[Org],"Small"),IF(AND(Practices_SubPractices[CP]=4,Practices_SubPractices[Org]="Small"),SUMIFS(Practices_SubPractices[D],Practices_SubPractices[CP],"4",Practices_SubPractices[Org],"Small"),IF(AND(Practices_SubPractices[CP]=5,Practices_SubPractices[Org]="Small"),SUMIFS(Practices_SubPractices[D],Practices_SubPractices[CP],"5",Practices_SubPractices[Org],"Small"),IF(AND(Practices_SubPractices[CP]=6,Practices_SubPractices[Org]="Small"),SUMIFS(Practices_SubPractices[D],Practices_SubPractices[CP],"6",Practices_SubPractices[Org],"Small"),IF(AND(Practices_SubPractices[CP]=7,Practices_SubPractices[Org] ="Small"),SUMIFS(Practices_SubPractices[D],Practices_SubPractices[CP],"7",Practices_SubPractices[Org],"Small"),IF(AND(Practices_SubPractices[CP]=8,Practices_SubPractices[Org] ="Small"),SUMIFS(Practices_SubPractices[D],Practices_SubPractices[CP],"8",Practices_SubPractices[Org],"Small"),IF(AND(Practices_SubPractices[CP]=9,Practices_SubPractices[Org] ="Small"),SUMIFS(Practices_SubPractices[D],Practices_SubPractices[CP],"9",Practices_SubPractices[Org],"Small"),IF(AND(Practices_SubPractices[CP]=10,Practices_SubPractices[Org] ="Small"),SUMIFS(Practices_SubPractices[D],Practices_SubPractices[CP],"10",Practices_SubPractices[Org],"Small"),IF(AND(Practices_SubPractices[CP]=1,Practices_SubPractices[Org]="Medium"),SUMIFS(Practices_SubPractices[D],Practices_SubPractices[CP],"1",Practices_SubPractices[Org],"Medium"),IF(AND(Practices_SubPractices[CP]=2,Practices_SubPractices[Org]="Medium"),SUMIFS(Practices_SubPractices[D],Practices_SubPractices[CP],"2",Practices_SubPractices[Org],"Medium"),IF(AND(Practices_SubPractices[CP]=3,Practices_SubPractices[Org]="Medium"),SUMIFS(Practices_SubPractices[D],Practices_SubPractices[CP],"3",Practices_SubPractices[Org],"Medium"),IF(AND(Practices_SubPractices[CP]=4,Practices_SubPractices[Org]="Medium"),SUMIFS(Practices_SubPractices[D],Practices_SubPractices[CP],"4",Practices_SubPractices[Org],"Medium"),IF(AND(Practices_SubPractices[CP]=5,Practices_SubPractices[Org]="Medium"),SUMIFS(Practices_SubPractices[D],Practices_SubPractices[CP],"5",Practices_SubPractices[Org],"Medium"),IF(AND(Practices_SubPractices[CP]=6,Practices_SubPractices[Org]="Medium"),SUMIFS(Practices_SubPractices[D],Practices_SubPractices[CP],"6",Practices_SubPractices[Org],"Medium"),IF(AND(Practices_SubPractices[CP]=7,Practices_SubPractices[Org] ="Medium"),SUMIFS(Practices_SubPractices[D],Practices_SubPractices[CP],"7",Practices_SubPractices[Org],"Medium"),IF(AND(Practices_SubPractices[CP]=8,Practices_SubPractices[Org] ="Medium"),SUMIFS(Practices_SubPractices[D],Practices_SubPractices[CP],"8",Practices_SubPractices[Org],"Medium"),IF(AND(Practices_SubPractices[CP]=9,Practices_SubPractices[Org] ="Medium"),SUMIFS(Practices_SubPractices[D],Practices_SubPractices[CP],"9",Practices_SubPractices[Org],"Medium"),IF(AND(Practices_SubPractices[CP]=10,Practices_SubPractices[Org] ="Medium"),SUMIFS(Practices_SubPractices[D],Practices_SubPractices[CP],"10",Practices_SubPractices[Org],"Medium"),IF(AND(Practices_SubPractices[CP]=1,Practices_SubPractices[Org]="Large"),SUMIFS(Practices_SubPractices[D],Practices_SubPractices[CP],"1",Practices_SubPractices[Org],"Large"),IF(AND(Practices_SubPractices[CP]=2,Practices_SubPractices[Org]="Large"),SUMIFS(Practices_SubPractices[D],Practices_SubPractices[CP],"2",Practices_SubPractices[Org],"Large"),IF(AND(Practices_SubPractices[CP]=3,Practices_SubPractices[Org]="Large"),SUMIFS(Practices_SubPractices[D],Practices_SubPractices[CP],"3",Practices_SubPractices[Org],"Large"),IF(AND(Practices_SubPractices[CP]=4,Practices_SubPractices[Org]="Large"),SUMIFS(Practices_SubPractices[D],Practices_SubPractices[CP],"4",Practices_SubPractices[Org],"Large"),IF(AND(Practices_SubPractices[CP]=5,Practices_SubPractices[Org]="Large"),SUMIFS(Practices_SubPractices[D],Practices_SubPractices[CP],"5",Practices_SubPractices[Org],"Large"),IF(AND(Practices_SubPractices[CP]=6,Practices_SubPractices[Org]="Large"),SUMIFS(Practices_SubPractices[D],Practices_SubPractices[CP],"6",Practices_SubPractices[Org],"Large"),IF(AND(Practices_SubPractices[CP]=7,Practices_SubPractices[Org] ="Large"),SUMIFS(Practices_SubPractices[D],Practices_SubPractices[CP],"7",Practices_SubPractices[Org],"Large"),IF(AND(Practices_SubPractices[CP]=8,Practices_SubPractices[Org] ="Large"),SUMIFS(Practices_SubPractices[D],Practices_SubPractices[CP],"8",Practices_SubPractices[Org],"Large"),IF(AND(Practices_SubPractices[CP]=9,Practices_SubPractices[Org] ="Large"),SUMIFS(Practices_SubPractices[D],Practices_SubPractices[CP],"9",Practices_SubPractices[Org],"Large"),IF(AND(Practices_SubPractices[CP]=10,Practices_SubPractices[Org] ="Large"),SUMIFS(Practices_SubPractices[D],Practices_SubPractices[CP],"10",Practices_SubPractices[Org],"Large"),"TBD"))))))))))))))))))))))))))))))</f>
        <v>7</v>
      </c>
      <c r="R82" s="77">
        <f>IF(AND(Practices_SubPractices[CP]=1,Practices_SubPractices[Org]="Small"),SUMIFS(Practices_SubPractices[E],Practices_SubPractices[CP],"1",Practices_SubPractices[Org],"Small"),IF(AND(Practices_SubPractices[CP]=2,Practices_SubPractices[Org]="Small"),SUMIFS(Practices_SubPractices[E],Practices_SubPractices[CP],"2",Practices_SubPractices[Org],"Small"),IF(AND(Practices_SubPractices[CP]=3,Practices_SubPractices[Org]="Small"),SUMIFS(Practices_SubPractices[E],Practices_SubPractices[CP],"3",Practices_SubPractices[Org],"Small"),IF(AND(Practices_SubPractices[CP]=4,Practices_SubPractices[Org]="Small"),SUMIFS(Practices_SubPractices[E],Practices_SubPractices[CP],"4",Practices_SubPractices[Org],"Small"),IF(AND(Practices_SubPractices[CP]=5,Practices_SubPractices[Org]="Small"),SUMIFS(Practices_SubPractices[E],Practices_SubPractices[CP],"5",Practices_SubPractices[Org],"Small"),IF(AND(Practices_SubPractices[CP]=6,Practices_SubPractices[Org]="Small"),SUMIFS(Practices_SubPractices[E],Practices_SubPractices[CP],"6",Practices_SubPractices[Org],"Small"),IF(AND(Practices_SubPractices[CP]=7,Practices_SubPractices[Org] ="Small"),SUMIFS(Practices_SubPractices[E],Practices_SubPractices[CP],"7",Practices_SubPractices[Org],"Small"),IF(AND(Practices_SubPractices[CP]=8,Practices_SubPractices[Org] ="Small"),SUMIFS(Practices_SubPractices[E],Practices_SubPractices[CP],"8",Practices_SubPractices[Org],"Small"),IF(AND(Practices_SubPractices[CP]=9,Practices_SubPractices[Org] ="Small"),SUMIFS(Practices_SubPractices[E],Practices_SubPractices[CP],"9",Practices_SubPractices[Org],"Small"),IF(AND(Practices_SubPractices[CP]=10,Practices_SubPractices[Org] ="Small"),SUMIFS(Practices_SubPractices[E],Practices_SubPractices[CP],"10",Practices_SubPractices[Org],"Small"),IF(AND(Practices_SubPractices[CP]=1,Practices_SubPractices[Org]="Medium"),SUMIFS(Practices_SubPractices[E],Practices_SubPractices[CP],"1",Practices_SubPractices[Org],"Medium"),IF(AND(Practices_SubPractices[CP]=2,Practices_SubPractices[Org]="Medium"),SUMIFS(Practices_SubPractices[E],Practices_SubPractices[CP],"2",Practices_SubPractices[Org],"Medium"),IF(AND(Practices_SubPractices[CP]=3,Practices_SubPractices[Org]="Medium"),SUMIFS(Practices_SubPractices[E],Practices_SubPractices[CP],"3",Practices_SubPractices[Org],"Medium"),IF(AND(Practices_SubPractices[CP]=4,Practices_SubPractices[Org]="Medium"),SUMIFS(Practices_SubPractices[E],Practices_SubPractices[CP],"4",Practices_SubPractices[Org],"Medium"),IF(AND(Practices_SubPractices[CP]=5,Practices_SubPractices[Org]="Medium"),SUMIFS(Practices_SubPractices[E],Practices_SubPractices[CP],"5",Practices_SubPractices[Org],"Medium"),IF(AND(Practices_SubPractices[CP]=6,Practices_SubPractices[Org]="Medium"),SUMIFS(Practices_SubPractices[E],Practices_SubPractices[CP],"6",Practices_SubPractices[Org],"Medium"),IF(AND(Practices_SubPractices[CP]=7,Practices_SubPractices[Org] ="Medium"),SUMIFS(Practices_SubPractices[E],Practices_SubPractices[CP],"7",Practices_SubPractices[Org],"Medium"),IF(AND(Practices_SubPractices[CP]=8,Practices_SubPractices[Org] ="Medium"),SUMIFS(Practices_SubPractices[E],Practices_SubPractices[CP],"8",Practices_SubPractices[Org],"Medium"),IF(AND(Practices_SubPractices[CP]=9,Practices_SubPractices[Org] ="Medium"),SUMIFS(Practices_SubPractices[E],Practices_SubPractices[CP],"9",Practices_SubPractices[Org],"Medium"),IF(AND(Practices_SubPractices[CP]=10,Practices_SubPractices[Org] ="Medium"),SUMIFS(Practices_SubPractices[E],Practices_SubPractices[CP],"10",Practices_SubPractices[Org],"Medium"),IF(AND(Practices_SubPractices[CP]=1,Practices_SubPractices[Org]="Large"),SUMIFS(Practices_SubPractices[E],Practices_SubPractices[CP],"1",Practices_SubPractices[Org],"Large"),IF(AND(Practices_SubPractices[CP]=2,Practices_SubPractices[Org]="Large"),SUMIFS(Practices_SubPractices[E],Practices_SubPractices[CP],"2",Practices_SubPractices[Org],"Large"),IF(AND(Practices_SubPractices[CP]=3,Practices_SubPractices[Org]="Large"),SUMIFS(Practices_SubPractices[E],Practices_SubPractices[CP],"3",Practices_SubPractices[Org],"Large"),IF(AND(Practices_SubPractices[CP]=4,Practices_SubPractices[Org]="Large"),SUMIFS(Practices_SubPractices[E],Practices_SubPractices[CP],"4",Practices_SubPractices[Org],"Large"),IF(AND(Practices_SubPractices[CP]=5,Practices_SubPractices[Org]="Large"),SUMIFS(Practices_SubPractices[E],Practices_SubPractices[CP],"5",Practices_SubPractices[Org],"Large"),IF(AND(Practices_SubPractices[CP]=6,Practices_SubPractices[Org]="Large"),SUMIFS(Practices_SubPractices[E],Practices_SubPractices[CP],"6",Practices_SubPractices[Org],"Large"),IF(AND(Practices_SubPractices[CP]=7,Practices_SubPractices[Org] ="Large"),SUMIFS(Practices_SubPractices[E],Practices_SubPractices[CP],"7",Practices_SubPractices[Org],"Large"),IF(AND(Practices_SubPractices[CP]=8,Practices_SubPractices[Org] ="Large"),SUMIFS(Practices_SubPractices[E],Practices_SubPractices[CP],"8",Practices_SubPractices[Org],"Large"),IF(AND(Practices_SubPractices[CP]=9,Practices_SubPractices[Org] ="Large"),SUMIFS(Practices_SubPractices[E],Practices_SubPractices[CP],"9",Practices_SubPractices[Org],"Large"),IF(AND(Practices_SubPractices[CP]=10,Practices_SubPractices[Org] ="Large"),SUMIFS(Practices_SubPractices[E],Practices_SubPractices[CP],"10",Practices_SubPractices[Org],"Large"),"TBD"))))))))))))))))))))))))))))))</f>
        <v>2</v>
      </c>
      <c r="S82" s="87" t="s">
        <v>425</v>
      </c>
    </row>
    <row r="83" spans="1:19" x14ac:dyDescent="0.35">
      <c r="A83" s="73">
        <v>73</v>
      </c>
      <c r="B83" s="73">
        <v>7</v>
      </c>
      <c r="C83" s="73" t="s">
        <v>12</v>
      </c>
      <c r="D83" s="73" t="str">
        <f>Practices_SubPractices[[#This Row],[CP]]&amp;LEFT(Practices_SubPractices[[#This Row],[Org]],1)</f>
        <v>7L</v>
      </c>
      <c r="E83" s="73" t="s">
        <v>268</v>
      </c>
      <c r="F83" s="74" t="s">
        <v>134</v>
      </c>
      <c r="G83" s="74" t="s">
        <v>138</v>
      </c>
      <c r="H83" s="78" t="s">
        <v>246</v>
      </c>
      <c r="I83" s="79">
        <v>0</v>
      </c>
      <c r="J83" s="79">
        <v>2</v>
      </c>
      <c r="K83" s="79">
        <v>0</v>
      </c>
      <c r="L83" s="79">
        <v>2</v>
      </c>
      <c r="M83" s="75">
        <v>1</v>
      </c>
      <c r="N83" s="76"/>
      <c r="O83" s="77">
        <f>IF(AND(Practices_SubPractices[CP]=1,Practices_SubPractices[Org]="Small"),SUMIFS(Practices_SubPractices[B],Practices_SubPractices[CP],"1",Practices_SubPractices[Org],"Small"),IF(AND(Practices_SubPractices[CP]=2,Practices_SubPractices[Org]="Small"),SUMIFS(Practices_SubPractices[B],Practices_SubPractices[CP],"2",Practices_SubPractices[Org],"Small"),IF(AND(Practices_SubPractices[CP]=3,Practices_SubPractices[Org]="Small"),SUMIFS(Practices_SubPractices[B],Practices_SubPractices[CP],"3",Practices_SubPractices[Org],"Small"),IF(AND(Practices_SubPractices[CP]=4,Practices_SubPractices[Org]="Small"),SUMIFS(Practices_SubPractices[B],Practices_SubPractices[CP],"4",Practices_SubPractices[Org],"Small"),IF(AND(Practices_SubPractices[CP]=5,Practices_SubPractices[Org]="Small"),SUMIFS(Practices_SubPractices[B],Practices_SubPractices[CP],"5",Practices_SubPractices[Org],"Small"),IF(AND(Practices_SubPractices[CP]=6,Practices_SubPractices[Org]="Small"),SUMIFS(Practices_SubPractices[B],Practices_SubPractices[CP],"6",Practices_SubPractices[Org],"Small"),IF(AND(Practices_SubPractices[CP]=7,Practices_SubPractices[Org] ="Small"),SUMIFS(Practices_SubPractices[B],Practices_SubPractices[CP],"7",Practices_SubPractices[Org],"Small"),IF(AND(Practices_SubPractices[CP]=8,Practices_SubPractices[Org] ="Small"),SUMIFS(Practices_SubPractices[B],Practices_SubPractices[CP],"8",Practices_SubPractices[Org],"Small"),IF(AND(Practices_SubPractices[CP]=9,Practices_SubPractices[Org] ="Small"),SUMIFS(Practices_SubPractices[B],Practices_SubPractices[CP],"9",Practices_SubPractices[Org],"Small"),IF(AND(Practices_SubPractices[CP]=10,Practices_SubPractices[Org] ="Small"),SUMIFS(Practices_SubPractices[B],Practices_SubPractices[CP],"10",Practices_SubPractices[Org],"Small"),IF(AND(Practices_SubPractices[CP]=1,Practices_SubPractices[Org]="Medium"),SUMIFS(Practices_SubPractices[B],Practices_SubPractices[CP],"1",Practices_SubPractices[Org],"Medium"),IF(AND(Practices_SubPractices[CP]=2,Practices_SubPractices[Org]="Medium"),SUMIFS(Practices_SubPractices[B],Practices_SubPractices[CP],"2",Practices_SubPractices[Org],"Medium"),IF(AND(Practices_SubPractices[CP]=3,Practices_SubPractices[Org]="Medium"),SUMIFS(Practices_SubPractices[B],Practices_SubPractices[CP],"3",Practices_SubPractices[Org],"Medium"),IF(AND(Practices_SubPractices[CP]=4,Practices_SubPractices[Org]="Medium"),SUMIFS(Practices_SubPractices[B],Practices_SubPractices[CP],"4",Practices_SubPractices[Org],"Medium"),IF(AND(Practices_SubPractices[CP]=5,Practices_SubPractices[Org]="Medium"),SUMIFS(Practices_SubPractices[B],Practices_SubPractices[CP],"5",Practices_SubPractices[Org],"Medium"),IF(AND(Practices_SubPractices[CP]=6,Practices_SubPractices[Org]="Medium"),SUMIFS(Practices_SubPractices[B],Practices_SubPractices[CP],"6",Practices_SubPractices[Org],"Medium"),IF(AND(Practices_SubPractices[CP]=7,Practices_SubPractices[Org] ="Medium"),SUMIFS(Practices_SubPractices[B],Practices_SubPractices[CP],"7",Practices_SubPractices[Org],"Medium"),IF(AND(Practices_SubPractices[CP]=8,Practices_SubPractices[Org] ="Medium"),SUMIFS(Practices_SubPractices[B],Practices_SubPractices[CP],"8",Practices_SubPractices[Org],"Medium"),IF(AND(Practices_SubPractices[CP]=9,Practices_SubPractices[Org] ="Medium"),SUMIFS(Practices_SubPractices[B],Practices_SubPractices[CP],"9",Practices_SubPractices[Org],"Medium"),IF(AND(Practices_SubPractices[CP]=10,Practices_SubPractices[Org] ="Medium"),SUMIFS(Practices_SubPractices[B],Practices_SubPractices[CP],"10",Practices_SubPractices[Org],"Medium"),IF(AND(Practices_SubPractices[CP]=1,Practices_SubPractices[Org]="Large"),SUMIFS(Practices_SubPractices[B],Practices_SubPractices[CP],"1",Practices_SubPractices[Org],"Large"),IF(AND(Practices_SubPractices[CP]=2,Practices_SubPractices[Org]="Large"),SUMIFS(Practices_SubPractices[B],Practices_SubPractices[CP],"2",Practices_SubPractices[Org],"Large"),IF(AND(Practices_SubPractices[CP]=3,Practices_SubPractices[Org]="Large"),SUMIFS(Practices_SubPractices[B],Practices_SubPractices[CP],"3",Practices_SubPractices[Org],"Large"),IF(AND(Practices_SubPractices[CP]=4,Practices_SubPractices[Org]="Large"),SUMIFS(Practices_SubPractices[B],Practices_SubPractices[CP],"4",Practices_SubPractices[Org],"Large"),IF(AND(Practices_SubPractices[CP]=5,Practices_SubPractices[Org]="Large"),SUMIFS(Practices_SubPractices[B],Practices_SubPractices[CP],"5",Practices_SubPractices[Org],"Large"),IF(AND(Practices_SubPractices[CP]=6,Practices_SubPractices[Org]="Large"),SUMIFS(Practices_SubPractices[B],Practices_SubPractices[CP],"6",Practices_SubPractices[Org],"Large"),IF(AND(Practices_SubPractices[CP]=7,Practices_SubPractices[Org] ="Large"),SUMIFS(Practices_SubPractices[B],Practices_SubPractices[CP],"7",Practices_SubPractices[Org],"Large"),IF(AND(Practices_SubPractices[CP]=8,Practices_SubPractices[Org] ="Large"),SUMIFS(Practices_SubPractices[B],Practices_SubPractices[CP],"8",Practices_SubPractices[Org],"Large"),IF(AND(Practices_SubPractices[CP]=9,Practices_SubPractices[Org] ="Large"),SUMIFS(Practices_SubPractices[B],Practices_SubPractices[CP],"9",Practices_SubPractices[Org],"Large"),IF(AND(Practices_SubPractices[CP]=10,Practices_SubPractices[Org] ="Large"),SUMIFS(Practices_SubPractices[B],Practices_SubPractices[CP],"10",Practices_SubPractices[Org],"Large"),"TBD"))))))))))))))))))))))))))))))</f>
        <v>11</v>
      </c>
      <c r="P83" s="77">
        <f>IF(AND(Practices_SubPractices[CP]=1,Practices_SubPractices[Org]="Small"),SUMIFS(Practices_SubPractices[C],Practices_SubPractices[CP],"1",Practices_SubPractices[Org],"Small"),IF(AND(Practices_SubPractices[CP]=2,Practices_SubPractices[Org]="Small"),SUMIFS(Practices_SubPractices[C],Practices_SubPractices[CP],"2",Practices_SubPractices[Org],"Small"),IF(AND(Practices_SubPractices[CP]=3,Practices_SubPractices[Org]="Small"),SUMIFS(Practices_SubPractices[C],Practices_SubPractices[CP],"3",Practices_SubPractices[Org],"Small"),IF(AND(Practices_SubPractices[CP]=4,Practices_SubPractices[Org]="Small"),SUMIFS(Practices_SubPractices[C],Practices_SubPractices[CP],"4",Practices_SubPractices[Org],"Small"),IF(AND(Practices_SubPractices[CP]=5,Practices_SubPractices[Org]="Small"),SUMIFS(Practices_SubPractices[C],Practices_SubPractices[CP],"5",Practices_SubPractices[Org],"Small"),IF(AND(Practices_SubPractices[CP]=6,Practices_SubPractices[Org]="Small"),SUMIFS(Practices_SubPractices[C],Practices_SubPractices[CP],"6",Practices_SubPractices[Org],"Small"),IF(AND(Practices_SubPractices[CP]=7,Practices_SubPractices[Org] ="Small"),SUMIFS(Practices_SubPractices[C],Practices_SubPractices[CP],"7",Practices_SubPractices[Org],"Small"),IF(AND(Practices_SubPractices[CP]=8,Practices_SubPractices[Org] ="Small"),SUMIFS(Practices_SubPractices[C],Practices_SubPractices[CP],"8",Practices_SubPractices[Org],"Small"),IF(AND(Practices_SubPractices[CP]=9,Practices_SubPractices[Org] ="Small"),SUMIFS(Practices_SubPractices[C],Practices_SubPractices[CP],"9",Practices_SubPractices[Org],"Small"),IF(AND(Practices_SubPractices[CP]=10,Practices_SubPractices[Org] ="Small"),SUMIFS(Practices_SubPractices[C],Practices_SubPractices[CP],"10",Practices_SubPractices[Org],"Small"),IF(AND(Practices_SubPractices[CP]=1,Practices_SubPractices[Org]="Medium"),SUMIFS(Practices_SubPractices[C],Practices_SubPractices[CP],"1",Practices_SubPractices[Org],"Medium"),IF(AND(Practices_SubPractices[CP]=2,Practices_SubPractices[Org]="Medium"),SUMIFS(Practices_SubPractices[C],Practices_SubPractices[CP],"2",Practices_SubPractices[Org],"Medium"),IF(AND(Practices_SubPractices[CP]=3,Practices_SubPractices[Org]="Medium"),SUMIFS(Practices_SubPractices[C],Practices_SubPractices[CP],"3",Practices_SubPractices[Org],"Medium"),IF(AND(Practices_SubPractices[CP]=4,Practices_SubPractices[Org]="Medium"),SUMIFS(Practices_SubPractices[C],Practices_SubPractices[CP],"4",Practices_SubPractices[Org],"Medium"),IF(AND(Practices_SubPractices[CP]=5,Practices_SubPractices[Org]="Medium"),SUMIFS(Practices_SubPractices[C],Practices_SubPractices[CP],"5",Practices_SubPractices[Org],"Medium"),IF(AND(Practices_SubPractices[CP]=6,Practices_SubPractices[Org]="Medium"),SUMIFS(Practices_SubPractices[C],Practices_SubPractices[CP],"6",Practices_SubPractices[Org],"Medium"),IF(AND(Practices_SubPractices[CP]=7,Practices_SubPractices[Org] ="Medium"),SUMIFS(Practices_SubPractices[C],Practices_SubPractices[CP],"7",Practices_SubPractices[Org],"Medium"),IF(AND(Practices_SubPractices[CP]=8,Practices_SubPractices[Org] ="Medium"),SUMIFS(Practices_SubPractices[C],Practices_SubPractices[CP],"8",Practices_SubPractices[Org],"Medium"),IF(AND(Practices_SubPractices[CP]=9,Practices_SubPractices[Org] ="Medium"),SUMIFS(Practices_SubPractices[C],Practices_SubPractices[CP],"9",Practices_SubPractices[Org],"Medium"),IF(AND(Practices_SubPractices[CP]=10,Practices_SubPractices[Org] ="Medium"),SUMIFS(Practices_SubPractices[C],Practices_SubPractices[CP],"10",Practices_SubPractices[Org],"Medium"),IF(AND(Practices_SubPractices[CP]=1,Practices_SubPractices[Org]="Large"),SUMIFS(Practices_SubPractices[C],Practices_SubPractices[CP],"1",Practices_SubPractices[Org],"Large"),IF(AND(Practices_SubPractices[CP]=2,Practices_SubPractices[Org]="Large"),SUMIFS(Practices_SubPractices[C],Practices_SubPractices[CP],"2",Practices_SubPractices[Org],"Large"),IF(AND(Practices_SubPractices[CP]=3,Practices_SubPractices[Org]="Large"),SUMIFS(Practices_SubPractices[C],Practices_SubPractices[CP],"3",Practices_SubPractices[Org],"Large"),IF(AND(Practices_SubPractices[CP]=4,Practices_SubPractices[Org]="Large"),SUMIFS(Practices_SubPractices[C],Practices_SubPractices[CP],"4",Practices_SubPractices[Org],"Large"),IF(AND(Practices_SubPractices[CP]=5,Practices_SubPractices[Org]="Large"),SUMIFS(Practices_SubPractices[C],Practices_SubPractices[CP],"5",Practices_SubPractices[Org],"Large"),IF(AND(Practices_SubPractices[CP]=6,Practices_SubPractices[Org]="Large"),SUMIFS(Practices_SubPractices[C],Practices_SubPractices[CP],"6",Practices_SubPractices[Org],"Large"),IF(AND(Practices_SubPractices[CP]=7,Practices_SubPractices[Org] ="Large"),SUMIFS(Practices_SubPractices[C],Practices_SubPractices[CP],"7",Practices_SubPractices[Org],"Large"),IF(AND(Practices_SubPractices[CP]=8,Practices_SubPractices[Org] ="Large"),SUMIFS(Practices_SubPractices[C],Practices_SubPractices[CP],"8",Practices_SubPractices[Org],"Large"),IF(AND(Practices_SubPractices[CP]=9,Practices_SubPractices[Org] ="Large"),SUMIFS(Practices_SubPractices[C],Practices_SubPractices[CP],"9",Practices_SubPractices[Org],"Large"),IF(AND(Practices_SubPractices[CP]=10,Practices_SubPractices[Org] ="Large"),SUMIFS(Practices_SubPractices[C],Practices_SubPractices[CP],"10",Practices_SubPractices[Org],"Large"),"TBD"))))))))))))))))))))))))))))))</f>
        <v>1</v>
      </c>
      <c r="Q83" s="77">
        <f>IF(AND(Practices_SubPractices[CP]=1,Practices_SubPractices[Org]="Small"),SUMIFS(Practices_SubPractices[D],Practices_SubPractices[CP],"1",Practices_SubPractices[Org],"Small"),IF(AND(Practices_SubPractices[CP]=2,Practices_SubPractices[Org]="Small"),SUMIFS(Practices_SubPractices[D],Practices_SubPractices[CP],"2",Practices_SubPractices[Org],"Small"),IF(AND(Practices_SubPractices[CP]=3,Practices_SubPractices[Org]="Small"),SUMIFS(Practices_SubPractices[D],Practices_SubPractices[CP],"3",Practices_SubPractices[Org],"Small"),IF(AND(Practices_SubPractices[CP]=4,Practices_SubPractices[Org]="Small"),SUMIFS(Practices_SubPractices[D],Practices_SubPractices[CP],"4",Practices_SubPractices[Org],"Small"),IF(AND(Practices_SubPractices[CP]=5,Practices_SubPractices[Org]="Small"),SUMIFS(Practices_SubPractices[D],Practices_SubPractices[CP],"5",Practices_SubPractices[Org],"Small"),IF(AND(Practices_SubPractices[CP]=6,Practices_SubPractices[Org]="Small"),SUMIFS(Practices_SubPractices[D],Practices_SubPractices[CP],"6",Practices_SubPractices[Org],"Small"),IF(AND(Practices_SubPractices[CP]=7,Practices_SubPractices[Org] ="Small"),SUMIFS(Practices_SubPractices[D],Practices_SubPractices[CP],"7",Practices_SubPractices[Org],"Small"),IF(AND(Practices_SubPractices[CP]=8,Practices_SubPractices[Org] ="Small"),SUMIFS(Practices_SubPractices[D],Practices_SubPractices[CP],"8",Practices_SubPractices[Org],"Small"),IF(AND(Practices_SubPractices[CP]=9,Practices_SubPractices[Org] ="Small"),SUMIFS(Practices_SubPractices[D],Practices_SubPractices[CP],"9",Practices_SubPractices[Org],"Small"),IF(AND(Practices_SubPractices[CP]=10,Practices_SubPractices[Org] ="Small"),SUMIFS(Practices_SubPractices[D],Practices_SubPractices[CP],"10",Practices_SubPractices[Org],"Small"),IF(AND(Practices_SubPractices[CP]=1,Practices_SubPractices[Org]="Medium"),SUMIFS(Practices_SubPractices[D],Practices_SubPractices[CP],"1",Practices_SubPractices[Org],"Medium"),IF(AND(Practices_SubPractices[CP]=2,Practices_SubPractices[Org]="Medium"),SUMIFS(Practices_SubPractices[D],Practices_SubPractices[CP],"2",Practices_SubPractices[Org],"Medium"),IF(AND(Practices_SubPractices[CP]=3,Practices_SubPractices[Org]="Medium"),SUMIFS(Practices_SubPractices[D],Practices_SubPractices[CP],"3",Practices_SubPractices[Org],"Medium"),IF(AND(Practices_SubPractices[CP]=4,Practices_SubPractices[Org]="Medium"),SUMIFS(Practices_SubPractices[D],Practices_SubPractices[CP],"4",Practices_SubPractices[Org],"Medium"),IF(AND(Practices_SubPractices[CP]=5,Practices_SubPractices[Org]="Medium"),SUMIFS(Practices_SubPractices[D],Practices_SubPractices[CP],"5",Practices_SubPractices[Org],"Medium"),IF(AND(Practices_SubPractices[CP]=6,Practices_SubPractices[Org]="Medium"),SUMIFS(Practices_SubPractices[D],Practices_SubPractices[CP],"6",Practices_SubPractices[Org],"Medium"),IF(AND(Practices_SubPractices[CP]=7,Practices_SubPractices[Org] ="Medium"),SUMIFS(Practices_SubPractices[D],Practices_SubPractices[CP],"7",Practices_SubPractices[Org],"Medium"),IF(AND(Practices_SubPractices[CP]=8,Practices_SubPractices[Org] ="Medium"),SUMIFS(Practices_SubPractices[D],Practices_SubPractices[CP],"8",Practices_SubPractices[Org],"Medium"),IF(AND(Practices_SubPractices[CP]=9,Practices_SubPractices[Org] ="Medium"),SUMIFS(Practices_SubPractices[D],Practices_SubPractices[CP],"9",Practices_SubPractices[Org],"Medium"),IF(AND(Practices_SubPractices[CP]=10,Practices_SubPractices[Org] ="Medium"),SUMIFS(Practices_SubPractices[D],Practices_SubPractices[CP],"10",Practices_SubPractices[Org],"Medium"),IF(AND(Practices_SubPractices[CP]=1,Practices_SubPractices[Org]="Large"),SUMIFS(Practices_SubPractices[D],Practices_SubPractices[CP],"1",Practices_SubPractices[Org],"Large"),IF(AND(Practices_SubPractices[CP]=2,Practices_SubPractices[Org]="Large"),SUMIFS(Practices_SubPractices[D],Practices_SubPractices[CP],"2",Practices_SubPractices[Org],"Large"),IF(AND(Practices_SubPractices[CP]=3,Practices_SubPractices[Org]="Large"),SUMIFS(Practices_SubPractices[D],Practices_SubPractices[CP],"3",Practices_SubPractices[Org],"Large"),IF(AND(Practices_SubPractices[CP]=4,Practices_SubPractices[Org]="Large"),SUMIFS(Practices_SubPractices[D],Practices_SubPractices[CP],"4",Practices_SubPractices[Org],"Large"),IF(AND(Practices_SubPractices[CP]=5,Practices_SubPractices[Org]="Large"),SUMIFS(Practices_SubPractices[D],Practices_SubPractices[CP],"5",Practices_SubPractices[Org],"Large"),IF(AND(Practices_SubPractices[CP]=6,Practices_SubPractices[Org]="Large"),SUMIFS(Practices_SubPractices[D],Practices_SubPractices[CP],"6",Practices_SubPractices[Org],"Large"),IF(AND(Practices_SubPractices[CP]=7,Practices_SubPractices[Org] ="Large"),SUMIFS(Practices_SubPractices[D],Practices_SubPractices[CP],"7",Practices_SubPractices[Org],"Large"),IF(AND(Practices_SubPractices[CP]=8,Practices_SubPractices[Org] ="Large"),SUMIFS(Practices_SubPractices[D],Practices_SubPractices[CP],"8",Practices_SubPractices[Org],"Large"),IF(AND(Practices_SubPractices[CP]=9,Practices_SubPractices[Org] ="Large"),SUMIFS(Practices_SubPractices[D],Practices_SubPractices[CP],"9",Practices_SubPractices[Org],"Large"),IF(AND(Practices_SubPractices[CP]=10,Practices_SubPractices[Org] ="Large"),SUMIFS(Practices_SubPractices[D],Practices_SubPractices[CP],"10",Practices_SubPractices[Org],"Large"),"TBD"))))))))))))))))))))))))))))))</f>
        <v>11</v>
      </c>
      <c r="R83" s="77">
        <f>IF(AND(Practices_SubPractices[CP]=1,Practices_SubPractices[Org]="Small"),SUMIFS(Practices_SubPractices[E],Practices_SubPractices[CP],"1",Practices_SubPractices[Org],"Small"),IF(AND(Practices_SubPractices[CP]=2,Practices_SubPractices[Org]="Small"),SUMIFS(Practices_SubPractices[E],Practices_SubPractices[CP],"2",Practices_SubPractices[Org],"Small"),IF(AND(Practices_SubPractices[CP]=3,Practices_SubPractices[Org]="Small"),SUMIFS(Practices_SubPractices[E],Practices_SubPractices[CP],"3",Practices_SubPractices[Org],"Small"),IF(AND(Practices_SubPractices[CP]=4,Practices_SubPractices[Org]="Small"),SUMIFS(Practices_SubPractices[E],Practices_SubPractices[CP],"4",Practices_SubPractices[Org],"Small"),IF(AND(Practices_SubPractices[CP]=5,Practices_SubPractices[Org]="Small"),SUMIFS(Practices_SubPractices[E],Practices_SubPractices[CP],"5",Practices_SubPractices[Org],"Small"),IF(AND(Practices_SubPractices[CP]=6,Practices_SubPractices[Org]="Small"),SUMIFS(Practices_SubPractices[E],Practices_SubPractices[CP],"6",Practices_SubPractices[Org],"Small"),IF(AND(Practices_SubPractices[CP]=7,Practices_SubPractices[Org] ="Small"),SUMIFS(Practices_SubPractices[E],Practices_SubPractices[CP],"7",Practices_SubPractices[Org],"Small"),IF(AND(Practices_SubPractices[CP]=8,Practices_SubPractices[Org] ="Small"),SUMIFS(Practices_SubPractices[E],Practices_SubPractices[CP],"8",Practices_SubPractices[Org],"Small"),IF(AND(Practices_SubPractices[CP]=9,Practices_SubPractices[Org] ="Small"),SUMIFS(Practices_SubPractices[E],Practices_SubPractices[CP],"9",Practices_SubPractices[Org],"Small"),IF(AND(Practices_SubPractices[CP]=10,Practices_SubPractices[Org] ="Small"),SUMIFS(Practices_SubPractices[E],Practices_SubPractices[CP],"10",Practices_SubPractices[Org],"Small"),IF(AND(Practices_SubPractices[CP]=1,Practices_SubPractices[Org]="Medium"),SUMIFS(Practices_SubPractices[E],Practices_SubPractices[CP],"1",Practices_SubPractices[Org],"Medium"),IF(AND(Practices_SubPractices[CP]=2,Practices_SubPractices[Org]="Medium"),SUMIFS(Practices_SubPractices[E],Practices_SubPractices[CP],"2",Practices_SubPractices[Org],"Medium"),IF(AND(Practices_SubPractices[CP]=3,Practices_SubPractices[Org]="Medium"),SUMIFS(Practices_SubPractices[E],Practices_SubPractices[CP],"3",Practices_SubPractices[Org],"Medium"),IF(AND(Practices_SubPractices[CP]=4,Practices_SubPractices[Org]="Medium"),SUMIFS(Practices_SubPractices[E],Practices_SubPractices[CP],"4",Practices_SubPractices[Org],"Medium"),IF(AND(Practices_SubPractices[CP]=5,Practices_SubPractices[Org]="Medium"),SUMIFS(Practices_SubPractices[E],Practices_SubPractices[CP],"5",Practices_SubPractices[Org],"Medium"),IF(AND(Practices_SubPractices[CP]=6,Practices_SubPractices[Org]="Medium"),SUMIFS(Practices_SubPractices[E],Practices_SubPractices[CP],"6",Practices_SubPractices[Org],"Medium"),IF(AND(Practices_SubPractices[CP]=7,Practices_SubPractices[Org] ="Medium"),SUMIFS(Practices_SubPractices[E],Practices_SubPractices[CP],"7",Practices_SubPractices[Org],"Medium"),IF(AND(Practices_SubPractices[CP]=8,Practices_SubPractices[Org] ="Medium"),SUMIFS(Practices_SubPractices[E],Practices_SubPractices[CP],"8",Practices_SubPractices[Org],"Medium"),IF(AND(Practices_SubPractices[CP]=9,Practices_SubPractices[Org] ="Medium"),SUMIFS(Practices_SubPractices[E],Practices_SubPractices[CP],"9",Practices_SubPractices[Org],"Medium"),IF(AND(Practices_SubPractices[CP]=10,Practices_SubPractices[Org] ="Medium"),SUMIFS(Practices_SubPractices[E],Practices_SubPractices[CP],"10",Practices_SubPractices[Org],"Medium"),IF(AND(Practices_SubPractices[CP]=1,Practices_SubPractices[Org]="Large"),SUMIFS(Practices_SubPractices[E],Practices_SubPractices[CP],"1",Practices_SubPractices[Org],"Large"),IF(AND(Practices_SubPractices[CP]=2,Practices_SubPractices[Org]="Large"),SUMIFS(Practices_SubPractices[E],Practices_SubPractices[CP],"2",Practices_SubPractices[Org],"Large"),IF(AND(Practices_SubPractices[CP]=3,Practices_SubPractices[Org]="Large"),SUMIFS(Practices_SubPractices[E],Practices_SubPractices[CP],"3",Practices_SubPractices[Org],"Large"),IF(AND(Practices_SubPractices[CP]=4,Practices_SubPractices[Org]="Large"),SUMIFS(Practices_SubPractices[E],Practices_SubPractices[CP],"4",Practices_SubPractices[Org],"Large"),IF(AND(Practices_SubPractices[CP]=5,Practices_SubPractices[Org]="Large"),SUMIFS(Practices_SubPractices[E],Practices_SubPractices[CP],"5",Practices_SubPractices[Org],"Large"),IF(AND(Practices_SubPractices[CP]=6,Practices_SubPractices[Org]="Large"),SUMIFS(Practices_SubPractices[E],Practices_SubPractices[CP],"6",Practices_SubPractices[Org],"Large"),IF(AND(Practices_SubPractices[CP]=7,Practices_SubPractices[Org] ="Large"),SUMIFS(Practices_SubPractices[E],Practices_SubPractices[CP],"7",Practices_SubPractices[Org],"Large"),IF(AND(Practices_SubPractices[CP]=8,Practices_SubPractices[Org] ="Large"),SUMIFS(Practices_SubPractices[E],Practices_SubPractices[CP],"8",Practices_SubPractices[Org],"Large"),IF(AND(Practices_SubPractices[CP]=9,Practices_SubPractices[Org] ="Large"),SUMIFS(Practices_SubPractices[E],Practices_SubPractices[CP],"9",Practices_SubPractices[Org],"Large"),IF(AND(Practices_SubPractices[CP]=10,Practices_SubPractices[Org] ="Large"),SUMIFS(Practices_SubPractices[E],Practices_SubPractices[CP],"10",Practices_SubPractices[Org],"Large"),"TBD"))))))))))))))))))))))))))))))</f>
        <v>4</v>
      </c>
      <c r="S83" s="87" t="s">
        <v>425</v>
      </c>
    </row>
    <row r="84" spans="1:19" x14ac:dyDescent="0.35">
      <c r="A84" s="73">
        <v>74</v>
      </c>
      <c r="B84" s="73">
        <v>8</v>
      </c>
      <c r="C84" s="73" t="s">
        <v>11</v>
      </c>
      <c r="D84" s="73" t="str">
        <f>Practices_SubPractices[[#This Row],[CP]]&amp;LEFT(Practices_SubPractices[[#This Row],[Org]],1)</f>
        <v>8M</v>
      </c>
      <c r="E84" s="73" t="s">
        <v>265</v>
      </c>
      <c r="F84" s="74" t="s">
        <v>143</v>
      </c>
      <c r="G84" s="74" t="s">
        <v>146</v>
      </c>
      <c r="H84" s="74" t="s">
        <v>251</v>
      </c>
      <c r="I84" s="75">
        <v>2</v>
      </c>
      <c r="J84" s="75">
        <v>2</v>
      </c>
      <c r="K84" s="75">
        <v>2</v>
      </c>
      <c r="L84" s="75">
        <v>2</v>
      </c>
      <c r="M84" s="75">
        <v>1</v>
      </c>
      <c r="N84" s="76"/>
      <c r="O84" s="77">
        <f>IF(AND(Practices_SubPractices[CP]=1,Practices_SubPractices[Org]="Small"),SUMIFS(Practices_SubPractices[B],Practices_SubPractices[CP],"1",Practices_SubPractices[Org],"Small"),IF(AND(Practices_SubPractices[CP]=2,Practices_SubPractices[Org]="Small"),SUMIFS(Practices_SubPractices[B],Practices_SubPractices[CP],"2",Practices_SubPractices[Org],"Small"),IF(AND(Practices_SubPractices[CP]=3,Practices_SubPractices[Org]="Small"),SUMIFS(Practices_SubPractices[B],Practices_SubPractices[CP],"3",Practices_SubPractices[Org],"Small"),IF(AND(Practices_SubPractices[CP]=4,Practices_SubPractices[Org]="Small"),SUMIFS(Practices_SubPractices[B],Practices_SubPractices[CP],"4",Practices_SubPractices[Org],"Small"),IF(AND(Practices_SubPractices[CP]=5,Practices_SubPractices[Org]="Small"),SUMIFS(Practices_SubPractices[B],Practices_SubPractices[CP],"5",Practices_SubPractices[Org],"Small"),IF(AND(Practices_SubPractices[CP]=6,Practices_SubPractices[Org]="Small"),SUMIFS(Practices_SubPractices[B],Practices_SubPractices[CP],"6",Practices_SubPractices[Org],"Small"),IF(AND(Practices_SubPractices[CP]=7,Practices_SubPractices[Org] ="Small"),SUMIFS(Practices_SubPractices[B],Practices_SubPractices[CP],"7",Practices_SubPractices[Org],"Small"),IF(AND(Practices_SubPractices[CP]=8,Practices_SubPractices[Org] ="Small"),SUMIFS(Practices_SubPractices[B],Practices_SubPractices[CP],"8",Practices_SubPractices[Org],"Small"),IF(AND(Practices_SubPractices[CP]=9,Practices_SubPractices[Org] ="Small"),SUMIFS(Practices_SubPractices[B],Practices_SubPractices[CP],"9",Practices_SubPractices[Org],"Small"),IF(AND(Practices_SubPractices[CP]=10,Practices_SubPractices[Org] ="Small"),SUMIFS(Practices_SubPractices[B],Practices_SubPractices[CP],"10",Practices_SubPractices[Org],"Small"),IF(AND(Practices_SubPractices[CP]=1,Practices_SubPractices[Org]="Medium"),SUMIFS(Practices_SubPractices[B],Practices_SubPractices[CP],"1",Practices_SubPractices[Org],"Medium"),IF(AND(Practices_SubPractices[CP]=2,Practices_SubPractices[Org]="Medium"),SUMIFS(Practices_SubPractices[B],Practices_SubPractices[CP],"2",Practices_SubPractices[Org],"Medium"),IF(AND(Practices_SubPractices[CP]=3,Practices_SubPractices[Org]="Medium"),SUMIFS(Practices_SubPractices[B],Practices_SubPractices[CP],"3",Practices_SubPractices[Org],"Medium"),IF(AND(Practices_SubPractices[CP]=4,Practices_SubPractices[Org]="Medium"),SUMIFS(Practices_SubPractices[B],Practices_SubPractices[CP],"4",Practices_SubPractices[Org],"Medium"),IF(AND(Practices_SubPractices[CP]=5,Practices_SubPractices[Org]="Medium"),SUMIFS(Practices_SubPractices[B],Practices_SubPractices[CP],"5",Practices_SubPractices[Org],"Medium"),IF(AND(Practices_SubPractices[CP]=6,Practices_SubPractices[Org]="Medium"),SUMIFS(Practices_SubPractices[B],Practices_SubPractices[CP],"6",Practices_SubPractices[Org],"Medium"),IF(AND(Practices_SubPractices[CP]=7,Practices_SubPractices[Org] ="Medium"),SUMIFS(Practices_SubPractices[B],Practices_SubPractices[CP],"7",Practices_SubPractices[Org],"Medium"),IF(AND(Practices_SubPractices[CP]=8,Practices_SubPractices[Org] ="Medium"),SUMIFS(Practices_SubPractices[B],Practices_SubPractices[CP],"8",Practices_SubPractices[Org],"Medium"),IF(AND(Practices_SubPractices[CP]=9,Practices_SubPractices[Org] ="Medium"),SUMIFS(Practices_SubPractices[B],Practices_SubPractices[CP],"9",Practices_SubPractices[Org],"Medium"),IF(AND(Practices_SubPractices[CP]=10,Practices_SubPractices[Org] ="Medium"),SUMIFS(Practices_SubPractices[B],Practices_SubPractices[CP],"10",Practices_SubPractices[Org],"Medium"),IF(AND(Practices_SubPractices[CP]=1,Practices_SubPractices[Org]="Large"),SUMIFS(Practices_SubPractices[B],Practices_SubPractices[CP],"1",Practices_SubPractices[Org],"Large"),IF(AND(Practices_SubPractices[CP]=2,Practices_SubPractices[Org]="Large"),SUMIFS(Practices_SubPractices[B],Practices_SubPractices[CP],"2",Practices_SubPractices[Org],"Large"),IF(AND(Practices_SubPractices[CP]=3,Practices_SubPractices[Org]="Large"),SUMIFS(Practices_SubPractices[B],Practices_SubPractices[CP],"3",Practices_SubPractices[Org],"Large"),IF(AND(Practices_SubPractices[CP]=4,Practices_SubPractices[Org]="Large"),SUMIFS(Practices_SubPractices[B],Practices_SubPractices[CP],"4",Practices_SubPractices[Org],"Large"),IF(AND(Practices_SubPractices[CP]=5,Practices_SubPractices[Org]="Large"),SUMIFS(Practices_SubPractices[B],Practices_SubPractices[CP],"5",Practices_SubPractices[Org],"Large"),IF(AND(Practices_SubPractices[CP]=6,Practices_SubPractices[Org]="Large"),SUMIFS(Practices_SubPractices[B],Practices_SubPractices[CP],"6",Practices_SubPractices[Org],"Large"),IF(AND(Practices_SubPractices[CP]=7,Practices_SubPractices[Org] ="Large"),SUMIFS(Practices_SubPractices[B],Practices_SubPractices[CP],"7",Practices_SubPractices[Org],"Large"),IF(AND(Practices_SubPractices[CP]=8,Practices_SubPractices[Org] ="Large"),SUMIFS(Practices_SubPractices[B],Practices_SubPractices[CP],"8",Practices_SubPractices[Org],"Large"),IF(AND(Practices_SubPractices[CP]=9,Practices_SubPractices[Org] ="Large"),SUMIFS(Practices_SubPractices[B],Practices_SubPractices[CP],"9",Practices_SubPractices[Org],"Large"),IF(AND(Practices_SubPractices[CP]=10,Practices_SubPractices[Org] ="Large"),SUMIFS(Practices_SubPractices[B],Practices_SubPractices[CP],"10",Practices_SubPractices[Org],"Large"),"TBD"))))))))))))))))))))))))))))))</f>
        <v>5</v>
      </c>
      <c r="P84" s="77">
        <f>IF(AND(Practices_SubPractices[CP]=1,Practices_SubPractices[Org]="Small"),SUMIFS(Practices_SubPractices[C],Practices_SubPractices[CP],"1",Practices_SubPractices[Org],"Small"),IF(AND(Practices_SubPractices[CP]=2,Practices_SubPractices[Org]="Small"),SUMIFS(Practices_SubPractices[C],Practices_SubPractices[CP],"2",Practices_SubPractices[Org],"Small"),IF(AND(Practices_SubPractices[CP]=3,Practices_SubPractices[Org]="Small"),SUMIFS(Practices_SubPractices[C],Practices_SubPractices[CP],"3",Practices_SubPractices[Org],"Small"),IF(AND(Practices_SubPractices[CP]=4,Practices_SubPractices[Org]="Small"),SUMIFS(Practices_SubPractices[C],Practices_SubPractices[CP],"4",Practices_SubPractices[Org],"Small"),IF(AND(Practices_SubPractices[CP]=5,Practices_SubPractices[Org]="Small"),SUMIFS(Practices_SubPractices[C],Practices_SubPractices[CP],"5",Practices_SubPractices[Org],"Small"),IF(AND(Practices_SubPractices[CP]=6,Practices_SubPractices[Org]="Small"),SUMIFS(Practices_SubPractices[C],Practices_SubPractices[CP],"6",Practices_SubPractices[Org],"Small"),IF(AND(Practices_SubPractices[CP]=7,Practices_SubPractices[Org] ="Small"),SUMIFS(Practices_SubPractices[C],Practices_SubPractices[CP],"7",Practices_SubPractices[Org],"Small"),IF(AND(Practices_SubPractices[CP]=8,Practices_SubPractices[Org] ="Small"),SUMIFS(Practices_SubPractices[C],Practices_SubPractices[CP],"8",Practices_SubPractices[Org],"Small"),IF(AND(Practices_SubPractices[CP]=9,Practices_SubPractices[Org] ="Small"),SUMIFS(Practices_SubPractices[C],Practices_SubPractices[CP],"9",Practices_SubPractices[Org],"Small"),IF(AND(Practices_SubPractices[CP]=10,Practices_SubPractices[Org] ="Small"),SUMIFS(Practices_SubPractices[C],Practices_SubPractices[CP],"10",Practices_SubPractices[Org],"Small"),IF(AND(Practices_SubPractices[CP]=1,Practices_SubPractices[Org]="Medium"),SUMIFS(Practices_SubPractices[C],Practices_SubPractices[CP],"1",Practices_SubPractices[Org],"Medium"),IF(AND(Practices_SubPractices[CP]=2,Practices_SubPractices[Org]="Medium"),SUMIFS(Practices_SubPractices[C],Practices_SubPractices[CP],"2",Practices_SubPractices[Org],"Medium"),IF(AND(Practices_SubPractices[CP]=3,Practices_SubPractices[Org]="Medium"),SUMIFS(Practices_SubPractices[C],Practices_SubPractices[CP],"3",Practices_SubPractices[Org],"Medium"),IF(AND(Practices_SubPractices[CP]=4,Practices_SubPractices[Org]="Medium"),SUMIFS(Practices_SubPractices[C],Practices_SubPractices[CP],"4",Practices_SubPractices[Org],"Medium"),IF(AND(Practices_SubPractices[CP]=5,Practices_SubPractices[Org]="Medium"),SUMIFS(Practices_SubPractices[C],Practices_SubPractices[CP],"5",Practices_SubPractices[Org],"Medium"),IF(AND(Practices_SubPractices[CP]=6,Practices_SubPractices[Org]="Medium"),SUMIFS(Practices_SubPractices[C],Practices_SubPractices[CP],"6",Practices_SubPractices[Org],"Medium"),IF(AND(Practices_SubPractices[CP]=7,Practices_SubPractices[Org] ="Medium"),SUMIFS(Practices_SubPractices[C],Practices_SubPractices[CP],"7",Practices_SubPractices[Org],"Medium"),IF(AND(Practices_SubPractices[CP]=8,Practices_SubPractices[Org] ="Medium"),SUMIFS(Practices_SubPractices[C],Practices_SubPractices[CP],"8",Practices_SubPractices[Org],"Medium"),IF(AND(Practices_SubPractices[CP]=9,Practices_SubPractices[Org] ="Medium"),SUMIFS(Practices_SubPractices[C],Practices_SubPractices[CP],"9",Practices_SubPractices[Org],"Medium"),IF(AND(Practices_SubPractices[CP]=10,Practices_SubPractices[Org] ="Medium"),SUMIFS(Practices_SubPractices[C],Practices_SubPractices[CP],"10",Practices_SubPractices[Org],"Medium"),IF(AND(Practices_SubPractices[CP]=1,Practices_SubPractices[Org]="Large"),SUMIFS(Practices_SubPractices[C],Practices_SubPractices[CP],"1",Practices_SubPractices[Org],"Large"),IF(AND(Practices_SubPractices[CP]=2,Practices_SubPractices[Org]="Large"),SUMIFS(Practices_SubPractices[C],Practices_SubPractices[CP],"2",Practices_SubPractices[Org],"Large"),IF(AND(Practices_SubPractices[CP]=3,Practices_SubPractices[Org]="Large"),SUMIFS(Practices_SubPractices[C],Practices_SubPractices[CP],"3",Practices_SubPractices[Org],"Large"),IF(AND(Practices_SubPractices[CP]=4,Practices_SubPractices[Org]="Large"),SUMIFS(Practices_SubPractices[C],Practices_SubPractices[CP],"4",Practices_SubPractices[Org],"Large"),IF(AND(Practices_SubPractices[CP]=5,Practices_SubPractices[Org]="Large"),SUMIFS(Practices_SubPractices[C],Practices_SubPractices[CP],"5",Practices_SubPractices[Org],"Large"),IF(AND(Practices_SubPractices[CP]=6,Practices_SubPractices[Org]="Large"),SUMIFS(Practices_SubPractices[C],Practices_SubPractices[CP],"6",Practices_SubPractices[Org],"Large"),IF(AND(Practices_SubPractices[CP]=7,Practices_SubPractices[Org] ="Large"),SUMIFS(Practices_SubPractices[C],Practices_SubPractices[CP],"7",Practices_SubPractices[Org],"Large"),IF(AND(Practices_SubPractices[CP]=8,Practices_SubPractices[Org] ="Large"),SUMIFS(Practices_SubPractices[C],Practices_SubPractices[CP],"8",Practices_SubPractices[Org],"Large"),IF(AND(Practices_SubPractices[CP]=9,Practices_SubPractices[Org] ="Large"),SUMIFS(Practices_SubPractices[C],Practices_SubPractices[CP],"9",Practices_SubPractices[Org],"Large"),IF(AND(Practices_SubPractices[CP]=10,Practices_SubPractices[Org] ="Large"),SUMIFS(Practices_SubPractices[C],Practices_SubPractices[CP],"10",Practices_SubPractices[Org],"Large"),"TBD"))))))))))))))))))))))))))))))</f>
        <v>5</v>
      </c>
      <c r="Q84" s="77">
        <f>IF(AND(Practices_SubPractices[CP]=1,Practices_SubPractices[Org]="Small"),SUMIFS(Practices_SubPractices[D],Practices_SubPractices[CP],"1",Practices_SubPractices[Org],"Small"),IF(AND(Practices_SubPractices[CP]=2,Practices_SubPractices[Org]="Small"),SUMIFS(Practices_SubPractices[D],Practices_SubPractices[CP],"2",Practices_SubPractices[Org],"Small"),IF(AND(Practices_SubPractices[CP]=3,Practices_SubPractices[Org]="Small"),SUMIFS(Practices_SubPractices[D],Practices_SubPractices[CP],"3",Practices_SubPractices[Org],"Small"),IF(AND(Practices_SubPractices[CP]=4,Practices_SubPractices[Org]="Small"),SUMIFS(Practices_SubPractices[D],Practices_SubPractices[CP],"4",Practices_SubPractices[Org],"Small"),IF(AND(Practices_SubPractices[CP]=5,Practices_SubPractices[Org]="Small"),SUMIFS(Practices_SubPractices[D],Practices_SubPractices[CP],"5",Practices_SubPractices[Org],"Small"),IF(AND(Practices_SubPractices[CP]=6,Practices_SubPractices[Org]="Small"),SUMIFS(Practices_SubPractices[D],Practices_SubPractices[CP],"6",Practices_SubPractices[Org],"Small"),IF(AND(Practices_SubPractices[CP]=7,Practices_SubPractices[Org] ="Small"),SUMIFS(Practices_SubPractices[D],Practices_SubPractices[CP],"7",Practices_SubPractices[Org],"Small"),IF(AND(Practices_SubPractices[CP]=8,Practices_SubPractices[Org] ="Small"),SUMIFS(Practices_SubPractices[D],Practices_SubPractices[CP],"8",Practices_SubPractices[Org],"Small"),IF(AND(Practices_SubPractices[CP]=9,Practices_SubPractices[Org] ="Small"),SUMIFS(Practices_SubPractices[D],Practices_SubPractices[CP],"9",Practices_SubPractices[Org],"Small"),IF(AND(Practices_SubPractices[CP]=10,Practices_SubPractices[Org] ="Small"),SUMIFS(Practices_SubPractices[D],Practices_SubPractices[CP],"10",Practices_SubPractices[Org],"Small"),IF(AND(Practices_SubPractices[CP]=1,Practices_SubPractices[Org]="Medium"),SUMIFS(Practices_SubPractices[D],Practices_SubPractices[CP],"1",Practices_SubPractices[Org],"Medium"),IF(AND(Practices_SubPractices[CP]=2,Practices_SubPractices[Org]="Medium"),SUMIFS(Practices_SubPractices[D],Practices_SubPractices[CP],"2",Practices_SubPractices[Org],"Medium"),IF(AND(Practices_SubPractices[CP]=3,Practices_SubPractices[Org]="Medium"),SUMIFS(Practices_SubPractices[D],Practices_SubPractices[CP],"3",Practices_SubPractices[Org],"Medium"),IF(AND(Practices_SubPractices[CP]=4,Practices_SubPractices[Org]="Medium"),SUMIFS(Practices_SubPractices[D],Practices_SubPractices[CP],"4",Practices_SubPractices[Org],"Medium"),IF(AND(Practices_SubPractices[CP]=5,Practices_SubPractices[Org]="Medium"),SUMIFS(Practices_SubPractices[D],Practices_SubPractices[CP],"5",Practices_SubPractices[Org],"Medium"),IF(AND(Practices_SubPractices[CP]=6,Practices_SubPractices[Org]="Medium"),SUMIFS(Practices_SubPractices[D],Practices_SubPractices[CP],"6",Practices_SubPractices[Org],"Medium"),IF(AND(Practices_SubPractices[CP]=7,Practices_SubPractices[Org] ="Medium"),SUMIFS(Practices_SubPractices[D],Practices_SubPractices[CP],"7",Practices_SubPractices[Org],"Medium"),IF(AND(Practices_SubPractices[CP]=8,Practices_SubPractices[Org] ="Medium"),SUMIFS(Practices_SubPractices[D],Practices_SubPractices[CP],"8",Practices_SubPractices[Org],"Medium"),IF(AND(Practices_SubPractices[CP]=9,Practices_SubPractices[Org] ="Medium"),SUMIFS(Practices_SubPractices[D],Practices_SubPractices[CP],"9",Practices_SubPractices[Org],"Medium"),IF(AND(Practices_SubPractices[CP]=10,Practices_SubPractices[Org] ="Medium"),SUMIFS(Practices_SubPractices[D],Practices_SubPractices[CP],"10",Practices_SubPractices[Org],"Medium"),IF(AND(Practices_SubPractices[CP]=1,Practices_SubPractices[Org]="Large"),SUMIFS(Practices_SubPractices[D],Practices_SubPractices[CP],"1",Practices_SubPractices[Org],"Large"),IF(AND(Practices_SubPractices[CP]=2,Practices_SubPractices[Org]="Large"),SUMIFS(Practices_SubPractices[D],Practices_SubPractices[CP],"2",Practices_SubPractices[Org],"Large"),IF(AND(Practices_SubPractices[CP]=3,Practices_SubPractices[Org]="Large"),SUMIFS(Practices_SubPractices[D],Practices_SubPractices[CP],"3",Practices_SubPractices[Org],"Large"),IF(AND(Practices_SubPractices[CP]=4,Practices_SubPractices[Org]="Large"),SUMIFS(Practices_SubPractices[D],Practices_SubPractices[CP],"4",Practices_SubPractices[Org],"Large"),IF(AND(Practices_SubPractices[CP]=5,Practices_SubPractices[Org]="Large"),SUMIFS(Practices_SubPractices[D],Practices_SubPractices[CP],"5",Practices_SubPractices[Org],"Large"),IF(AND(Practices_SubPractices[CP]=6,Practices_SubPractices[Org]="Large"),SUMIFS(Practices_SubPractices[D],Practices_SubPractices[CP],"6",Practices_SubPractices[Org],"Large"),IF(AND(Practices_SubPractices[CP]=7,Practices_SubPractices[Org] ="Large"),SUMIFS(Practices_SubPractices[D],Practices_SubPractices[CP],"7",Practices_SubPractices[Org],"Large"),IF(AND(Practices_SubPractices[CP]=8,Practices_SubPractices[Org] ="Large"),SUMIFS(Practices_SubPractices[D],Practices_SubPractices[CP],"8",Practices_SubPractices[Org],"Large"),IF(AND(Practices_SubPractices[CP]=9,Practices_SubPractices[Org] ="Large"),SUMIFS(Practices_SubPractices[D],Practices_SubPractices[CP],"9",Practices_SubPractices[Org],"Large"),IF(AND(Practices_SubPractices[CP]=10,Practices_SubPractices[Org] ="Large"),SUMIFS(Practices_SubPractices[D],Practices_SubPractices[CP],"10",Practices_SubPractices[Org],"Large"),"TBD"))))))))))))))))))))))))))))))</f>
        <v>5</v>
      </c>
      <c r="R84" s="77">
        <f>IF(AND(Practices_SubPractices[CP]=1,Practices_SubPractices[Org]="Small"),SUMIFS(Practices_SubPractices[E],Practices_SubPractices[CP],"1",Practices_SubPractices[Org],"Small"),IF(AND(Practices_SubPractices[CP]=2,Practices_SubPractices[Org]="Small"),SUMIFS(Practices_SubPractices[E],Practices_SubPractices[CP],"2",Practices_SubPractices[Org],"Small"),IF(AND(Practices_SubPractices[CP]=3,Practices_SubPractices[Org]="Small"),SUMIFS(Practices_SubPractices[E],Practices_SubPractices[CP],"3",Practices_SubPractices[Org],"Small"),IF(AND(Practices_SubPractices[CP]=4,Practices_SubPractices[Org]="Small"),SUMIFS(Practices_SubPractices[E],Practices_SubPractices[CP],"4",Practices_SubPractices[Org],"Small"),IF(AND(Practices_SubPractices[CP]=5,Practices_SubPractices[Org]="Small"),SUMIFS(Practices_SubPractices[E],Practices_SubPractices[CP],"5",Practices_SubPractices[Org],"Small"),IF(AND(Practices_SubPractices[CP]=6,Practices_SubPractices[Org]="Small"),SUMIFS(Practices_SubPractices[E],Practices_SubPractices[CP],"6",Practices_SubPractices[Org],"Small"),IF(AND(Practices_SubPractices[CP]=7,Practices_SubPractices[Org] ="Small"),SUMIFS(Practices_SubPractices[E],Practices_SubPractices[CP],"7",Practices_SubPractices[Org],"Small"),IF(AND(Practices_SubPractices[CP]=8,Practices_SubPractices[Org] ="Small"),SUMIFS(Practices_SubPractices[E],Practices_SubPractices[CP],"8",Practices_SubPractices[Org],"Small"),IF(AND(Practices_SubPractices[CP]=9,Practices_SubPractices[Org] ="Small"),SUMIFS(Practices_SubPractices[E],Practices_SubPractices[CP],"9",Practices_SubPractices[Org],"Small"),IF(AND(Practices_SubPractices[CP]=10,Practices_SubPractices[Org] ="Small"),SUMIFS(Practices_SubPractices[E],Practices_SubPractices[CP],"10",Practices_SubPractices[Org],"Small"),IF(AND(Practices_SubPractices[CP]=1,Practices_SubPractices[Org]="Medium"),SUMIFS(Practices_SubPractices[E],Practices_SubPractices[CP],"1",Practices_SubPractices[Org],"Medium"),IF(AND(Practices_SubPractices[CP]=2,Practices_SubPractices[Org]="Medium"),SUMIFS(Practices_SubPractices[E],Practices_SubPractices[CP],"2",Practices_SubPractices[Org],"Medium"),IF(AND(Practices_SubPractices[CP]=3,Practices_SubPractices[Org]="Medium"),SUMIFS(Practices_SubPractices[E],Practices_SubPractices[CP],"3",Practices_SubPractices[Org],"Medium"),IF(AND(Practices_SubPractices[CP]=4,Practices_SubPractices[Org]="Medium"),SUMIFS(Practices_SubPractices[E],Practices_SubPractices[CP],"4",Practices_SubPractices[Org],"Medium"),IF(AND(Practices_SubPractices[CP]=5,Practices_SubPractices[Org]="Medium"),SUMIFS(Practices_SubPractices[E],Practices_SubPractices[CP],"5",Practices_SubPractices[Org],"Medium"),IF(AND(Practices_SubPractices[CP]=6,Practices_SubPractices[Org]="Medium"),SUMIFS(Practices_SubPractices[E],Practices_SubPractices[CP],"6",Practices_SubPractices[Org],"Medium"),IF(AND(Practices_SubPractices[CP]=7,Practices_SubPractices[Org] ="Medium"),SUMIFS(Practices_SubPractices[E],Practices_SubPractices[CP],"7",Practices_SubPractices[Org],"Medium"),IF(AND(Practices_SubPractices[CP]=8,Practices_SubPractices[Org] ="Medium"),SUMIFS(Practices_SubPractices[E],Practices_SubPractices[CP],"8",Practices_SubPractices[Org],"Medium"),IF(AND(Practices_SubPractices[CP]=9,Practices_SubPractices[Org] ="Medium"),SUMIFS(Practices_SubPractices[E],Practices_SubPractices[CP],"9",Practices_SubPractices[Org],"Medium"),IF(AND(Practices_SubPractices[CP]=10,Practices_SubPractices[Org] ="Medium"),SUMIFS(Practices_SubPractices[E],Practices_SubPractices[CP],"10",Practices_SubPractices[Org],"Medium"),IF(AND(Practices_SubPractices[CP]=1,Practices_SubPractices[Org]="Large"),SUMIFS(Practices_SubPractices[E],Practices_SubPractices[CP],"1",Practices_SubPractices[Org],"Large"),IF(AND(Practices_SubPractices[CP]=2,Practices_SubPractices[Org]="Large"),SUMIFS(Practices_SubPractices[E],Practices_SubPractices[CP],"2",Practices_SubPractices[Org],"Large"),IF(AND(Practices_SubPractices[CP]=3,Practices_SubPractices[Org]="Large"),SUMIFS(Practices_SubPractices[E],Practices_SubPractices[CP],"3",Practices_SubPractices[Org],"Large"),IF(AND(Practices_SubPractices[CP]=4,Practices_SubPractices[Org]="Large"),SUMIFS(Practices_SubPractices[E],Practices_SubPractices[CP],"4",Practices_SubPractices[Org],"Large"),IF(AND(Practices_SubPractices[CP]=5,Practices_SubPractices[Org]="Large"),SUMIFS(Practices_SubPractices[E],Practices_SubPractices[CP],"5",Practices_SubPractices[Org],"Large"),IF(AND(Practices_SubPractices[CP]=6,Practices_SubPractices[Org]="Large"),SUMIFS(Practices_SubPractices[E],Practices_SubPractices[CP],"6",Practices_SubPractices[Org],"Large"),IF(AND(Practices_SubPractices[CP]=7,Practices_SubPractices[Org] ="Large"),SUMIFS(Practices_SubPractices[E],Practices_SubPractices[CP],"7",Practices_SubPractices[Org],"Large"),IF(AND(Practices_SubPractices[CP]=8,Practices_SubPractices[Org] ="Large"),SUMIFS(Practices_SubPractices[E],Practices_SubPractices[CP],"8",Practices_SubPractices[Org],"Large"),IF(AND(Practices_SubPractices[CP]=9,Practices_SubPractices[Org] ="Large"),SUMIFS(Practices_SubPractices[E],Practices_SubPractices[CP],"9",Practices_SubPractices[Org],"Large"),IF(AND(Practices_SubPractices[CP]=10,Practices_SubPractices[Org] ="Large"),SUMIFS(Practices_SubPractices[E],Practices_SubPractices[CP],"10",Practices_SubPractices[Org],"Large"),"TBD"))))))))))))))))))))))))))))))</f>
        <v>3</v>
      </c>
      <c r="S84" s="48" t="s">
        <v>426</v>
      </c>
    </row>
    <row r="85" spans="1:19" x14ac:dyDescent="0.35">
      <c r="A85" s="73">
        <v>75</v>
      </c>
      <c r="B85" s="73">
        <v>8</v>
      </c>
      <c r="C85" s="73" t="s">
        <v>12</v>
      </c>
      <c r="D85" s="73" t="str">
        <f>Practices_SubPractices[[#This Row],[CP]]&amp;LEFT(Practices_SubPractices[[#This Row],[Org]],1)</f>
        <v>8L</v>
      </c>
      <c r="E85" s="73" t="s">
        <v>265</v>
      </c>
      <c r="F85" s="74" t="s">
        <v>143</v>
      </c>
      <c r="G85" s="74" t="s">
        <v>146</v>
      </c>
      <c r="H85" s="74" t="s">
        <v>251</v>
      </c>
      <c r="I85" s="75">
        <v>2</v>
      </c>
      <c r="J85" s="75">
        <v>2</v>
      </c>
      <c r="K85" s="75">
        <v>2</v>
      </c>
      <c r="L85" s="75">
        <v>2</v>
      </c>
      <c r="M85" s="75">
        <v>1</v>
      </c>
      <c r="N85" s="76"/>
      <c r="O85" s="77">
        <f>IF(AND(Practices_SubPractices[CP]=1,Practices_SubPractices[Org]="Small"),SUMIFS(Practices_SubPractices[B],Practices_SubPractices[CP],"1",Practices_SubPractices[Org],"Small"),IF(AND(Practices_SubPractices[CP]=2,Practices_SubPractices[Org]="Small"),SUMIFS(Practices_SubPractices[B],Practices_SubPractices[CP],"2",Practices_SubPractices[Org],"Small"),IF(AND(Practices_SubPractices[CP]=3,Practices_SubPractices[Org]="Small"),SUMIFS(Practices_SubPractices[B],Practices_SubPractices[CP],"3",Practices_SubPractices[Org],"Small"),IF(AND(Practices_SubPractices[CP]=4,Practices_SubPractices[Org]="Small"),SUMIFS(Practices_SubPractices[B],Practices_SubPractices[CP],"4",Practices_SubPractices[Org],"Small"),IF(AND(Practices_SubPractices[CP]=5,Practices_SubPractices[Org]="Small"),SUMIFS(Practices_SubPractices[B],Practices_SubPractices[CP],"5",Practices_SubPractices[Org],"Small"),IF(AND(Practices_SubPractices[CP]=6,Practices_SubPractices[Org]="Small"),SUMIFS(Practices_SubPractices[B],Practices_SubPractices[CP],"6",Practices_SubPractices[Org],"Small"),IF(AND(Practices_SubPractices[CP]=7,Practices_SubPractices[Org] ="Small"),SUMIFS(Practices_SubPractices[B],Practices_SubPractices[CP],"7",Practices_SubPractices[Org],"Small"),IF(AND(Practices_SubPractices[CP]=8,Practices_SubPractices[Org] ="Small"),SUMIFS(Practices_SubPractices[B],Practices_SubPractices[CP],"8",Practices_SubPractices[Org],"Small"),IF(AND(Practices_SubPractices[CP]=9,Practices_SubPractices[Org] ="Small"),SUMIFS(Practices_SubPractices[B],Practices_SubPractices[CP],"9",Practices_SubPractices[Org],"Small"),IF(AND(Practices_SubPractices[CP]=10,Practices_SubPractices[Org] ="Small"),SUMIFS(Practices_SubPractices[B],Practices_SubPractices[CP],"10",Practices_SubPractices[Org],"Small"),IF(AND(Practices_SubPractices[CP]=1,Practices_SubPractices[Org]="Medium"),SUMIFS(Practices_SubPractices[B],Practices_SubPractices[CP],"1",Practices_SubPractices[Org],"Medium"),IF(AND(Practices_SubPractices[CP]=2,Practices_SubPractices[Org]="Medium"),SUMIFS(Practices_SubPractices[B],Practices_SubPractices[CP],"2",Practices_SubPractices[Org],"Medium"),IF(AND(Practices_SubPractices[CP]=3,Practices_SubPractices[Org]="Medium"),SUMIFS(Practices_SubPractices[B],Practices_SubPractices[CP],"3",Practices_SubPractices[Org],"Medium"),IF(AND(Practices_SubPractices[CP]=4,Practices_SubPractices[Org]="Medium"),SUMIFS(Practices_SubPractices[B],Practices_SubPractices[CP],"4",Practices_SubPractices[Org],"Medium"),IF(AND(Practices_SubPractices[CP]=5,Practices_SubPractices[Org]="Medium"),SUMIFS(Practices_SubPractices[B],Practices_SubPractices[CP],"5",Practices_SubPractices[Org],"Medium"),IF(AND(Practices_SubPractices[CP]=6,Practices_SubPractices[Org]="Medium"),SUMIFS(Practices_SubPractices[B],Practices_SubPractices[CP],"6",Practices_SubPractices[Org],"Medium"),IF(AND(Practices_SubPractices[CP]=7,Practices_SubPractices[Org] ="Medium"),SUMIFS(Practices_SubPractices[B],Practices_SubPractices[CP],"7",Practices_SubPractices[Org],"Medium"),IF(AND(Practices_SubPractices[CP]=8,Practices_SubPractices[Org] ="Medium"),SUMIFS(Practices_SubPractices[B],Practices_SubPractices[CP],"8",Practices_SubPractices[Org],"Medium"),IF(AND(Practices_SubPractices[CP]=9,Practices_SubPractices[Org] ="Medium"),SUMIFS(Practices_SubPractices[B],Practices_SubPractices[CP],"9",Practices_SubPractices[Org],"Medium"),IF(AND(Practices_SubPractices[CP]=10,Practices_SubPractices[Org] ="Medium"),SUMIFS(Practices_SubPractices[B],Practices_SubPractices[CP],"10",Practices_SubPractices[Org],"Medium"),IF(AND(Practices_SubPractices[CP]=1,Practices_SubPractices[Org]="Large"),SUMIFS(Practices_SubPractices[B],Practices_SubPractices[CP],"1",Practices_SubPractices[Org],"Large"),IF(AND(Practices_SubPractices[CP]=2,Practices_SubPractices[Org]="Large"),SUMIFS(Practices_SubPractices[B],Practices_SubPractices[CP],"2",Practices_SubPractices[Org],"Large"),IF(AND(Practices_SubPractices[CP]=3,Practices_SubPractices[Org]="Large"),SUMIFS(Practices_SubPractices[B],Practices_SubPractices[CP],"3",Practices_SubPractices[Org],"Large"),IF(AND(Practices_SubPractices[CP]=4,Practices_SubPractices[Org]="Large"),SUMIFS(Practices_SubPractices[B],Practices_SubPractices[CP],"4",Practices_SubPractices[Org],"Large"),IF(AND(Practices_SubPractices[CP]=5,Practices_SubPractices[Org]="Large"),SUMIFS(Practices_SubPractices[B],Practices_SubPractices[CP],"5",Practices_SubPractices[Org],"Large"),IF(AND(Practices_SubPractices[CP]=6,Practices_SubPractices[Org]="Large"),SUMIFS(Practices_SubPractices[B],Practices_SubPractices[CP],"6",Practices_SubPractices[Org],"Large"),IF(AND(Practices_SubPractices[CP]=7,Practices_SubPractices[Org] ="Large"),SUMIFS(Practices_SubPractices[B],Practices_SubPractices[CP],"7",Practices_SubPractices[Org],"Large"),IF(AND(Practices_SubPractices[CP]=8,Practices_SubPractices[Org] ="Large"),SUMIFS(Practices_SubPractices[B],Practices_SubPractices[CP],"8",Practices_SubPractices[Org],"Large"),IF(AND(Practices_SubPractices[CP]=9,Practices_SubPractices[Org] ="Large"),SUMIFS(Practices_SubPractices[B],Practices_SubPractices[CP],"9",Practices_SubPractices[Org],"Large"),IF(AND(Practices_SubPractices[CP]=10,Practices_SubPractices[Org] ="Large"),SUMIFS(Practices_SubPractices[B],Practices_SubPractices[CP],"10",Practices_SubPractices[Org],"Large"),"TBD"))))))))))))))))))))))))))))))</f>
        <v>14</v>
      </c>
      <c r="P85" s="77">
        <f>IF(AND(Practices_SubPractices[CP]=1,Practices_SubPractices[Org]="Small"),SUMIFS(Practices_SubPractices[C],Practices_SubPractices[CP],"1",Practices_SubPractices[Org],"Small"),IF(AND(Practices_SubPractices[CP]=2,Practices_SubPractices[Org]="Small"),SUMIFS(Practices_SubPractices[C],Practices_SubPractices[CP],"2",Practices_SubPractices[Org],"Small"),IF(AND(Practices_SubPractices[CP]=3,Practices_SubPractices[Org]="Small"),SUMIFS(Practices_SubPractices[C],Practices_SubPractices[CP],"3",Practices_SubPractices[Org],"Small"),IF(AND(Practices_SubPractices[CP]=4,Practices_SubPractices[Org]="Small"),SUMIFS(Practices_SubPractices[C],Practices_SubPractices[CP],"4",Practices_SubPractices[Org],"Small"),IF(AND(Practices_SubPractices[CP]=5,Practices_SubPractices[Org]="Small"),SUMIFS(Practices_SubPractices[C],Practices_SubPractices[CP],"5",Practices_SubPractices[Org],"Small"),IF(AND(Practices_SubPractices[CP]=6,Practices_SubPractices[Org]="Small"),SUMIFS(Practices_SubPractices[C],Practices_SubPractices[CP],"6",Practices_SubPractices[Org],"Small"),IF(AND(Practices_SubPractices[CP]=7,Practices_SubPractices[Org] ="Small"),SUMIFS(Practices_SubPractices[C],Practices_SubPractices[CP],"7",Practices_SubPractices[Org],"Small"),IF(AND(Practices_SubPractices[CP]=8,Practices_SubPractices[Org] ="Small"),SUMIFS(Practices_SubPractices[C],Practices_SubPractices[CP],"8",Practices_SubPractices[Org],"Small"),IF(AND(Practices_SubPractices[CP]=9,Practices_SubPractices[Org] ="Small"),SUMIFS(Practices_SubPractices[C],Practices_SubPractices[CP],"9",Practices_SubPractices[Org],"Small"),IF(AND(Practices_SubPractices[CP]=10,Practices_SubPractices[Org] ="Small"),SUMIFS(Practices_SubPractices[C],Practices_SubPractices[CP],"10",Practices_SubPractices[Org],"Small"),IF(AND(Practices_SubPractices[CP]=1,Practices_SubPractices[Org]="Medium"),SUMIFS(Practices_SubPractices[C],Practices_SubPractices[CP],"1",Practices_SubPractices[Org],"Medium"),IF(AND(Practices_SubPractices[CP]=2,Practices_SubPractices[Org]="Medium"),SUMIFS(Practices_SubPractices[C],Practices_SubPractices[CP],"2",Practices_SubPractices[Org],"Medium"),IF(AND(Practices_SubPractices[CP]=3,Practices_SubPractices[Org]="Medium"),SUMIFS(Practices_SubPractices[C],Practices_SubPractices[CP],"3",Practices_SubPractices[Org],"Medium"),IF(AND(Practices_SubPractices[CP]=4,Practices_SubPractices[Org]="Medium"),SUMIFS(Practices_SubPractices[C],Practices_SubPractices[CP],"4",Practices_SubPractices[Org],"Medium"),IF(AND(Practices_SubPractices[CP]=5,Practices_SubPractices[Org]="Medium"),SUMIFS(Practices_SubPractices[C],Practices_SubPractices[CP],"5",Practices_SubPractices[Org],"Medium"),IF(AND(Practices_SubPractices[CP]=6,Practices_SubPractices[Org]="Medium"),SUMIFS(Practices_SubPractices[C],Practices_SubPractices[CP],"6",Practices_SubPractices[Org],"Medium"),IF(AND(Practices_SubPractices[CP]=7,Practices_SubPractices[Org] ="Medium"),SUMIFS(Practices_SubPractices[C],Practices_SubPractices[CP],"7",Practices_SubPractices[Org],"Medium"),IF(AND(Practices_SubPractices[CP]=8,Practices_SubPractices[Org] ="Medium"),SUMIFS(Practices_SubPractices[C],Practices_SubPractices[CP],"8",Practices_SubPractices[Org],"Medium"),IF(AND(Practices_SubPractices[CP]=9,Practices_SubPractices[Org] ="Medium"),SUMIFS(Practices_SubPractices[C],Practices_SubPractices[CP],"9",Practices_SubPractices[Org],"Medium"),IF(AND(Practices_SubPractices[CP]=10,Practices_SubPractices[Org] ="Medium"),SUMIFS(Practices_SubPractices[C],Practices_SubPractices[CP],"10",Practices_SubPractices[Org],"Medium"),IF(AND(Practices_SubPractices[CP]=1,Practices_SubPractices[Org]="Large"),SUMIFS(Practices_SubPractices[C],Practices_SubPractices[CP],"1",Practices_SubPractices[Org],"Large"),IF(AND(Practices_SubPractices[CP]=2,Practices_SubPractices[Org]="Large"),SUMIFS(Practices_SubPractices[C],Practices_SubPractices[CP],"2",Practices_SubPractices[Org],"Large"),IF(AND(Practices_SubPractices[CP]=3,Practices_SubPractices[Org]="Large"),SUMIFS(Practices_SubPractices[C],Practices_SubPractices[CP],"3",Practices_SubPractices[Org],"Large"),IF(AND(Practices_SubPractices[CP]=4,Practices_SubPractices[Org]="Large"),SUMIFS(Practices_SubPractices[C],Practices_SubPractices[CP],"4",Practices_SubPractices[Org],"Large"),IF(AND(Practices_SubPractices[CP]=5,Practices_SubPractices[Org]="Large"),SUMIFS(Practices_SubPractices[C],Practices_SubPractices[CP],"5",Practices_SubPractices[Org],"Large"),IF(AND(Practices_SubPractices[CP]=6,Practices_SubPractices[Org]="Large"),SUMIFS(Practices_SubPractices[C],Practices_SubPractices[CP],"6",Practices_SubPractices[Org],"Large"),IF(AND(Practices_SubPractices[CP]=7,Practices_SubPractices[Org] ="Large"),SUMIFS(Practices_SubPractices[C],Practices_SubPractices[CP],"7",Practices_SubPractices[Org],"Large"),IF(AND(Practices_SubPractices[CP]=8,Practices_SubPractices[Org] ="Large"),SUMIFS(Practices_SubPractices[C],Practices_SubPractices[CP],"8",Practices_SubPractices[Org],"Large"),IF(AND(Practices_SubPractices[CP]=9,Practices_SubPractices[Org] ="Large"),SUMIFS(Practices_SubPractices[C],Practices_SubPractices[CP],"9",Practices_SubPractices[Org],"Large"),IF(AND(Practices_SubPractices[CP]=10,Practices_SubPractices[Org] ="Large"),SUMIFS(Practices_SubPractices[C],Practices_SubPractices[CP],"10",Practices_SubPractices[Org],"Large"),"TBD"))))))))))))))))))))))))))))))</f>
        <v>5</v>
      </c>
      <c r="Q85" s="77">
        <f>IF(AND(Practices_SubPractices[CP]=1,Practices_SubPractices[Org]="Small"),SUMIFS(Practices_SubPractices[D],Practices_SubPractices[CP],"1",Practices_SubPractices[Org],"Small"),IF(AND(Practices_SubPractices[CP]=2,Practices_SubPractices[Org]="Small"),SUMIFS(Practices_SubPractices[D],Practices_SubPractices[CP],"2",Practices_SubPractices[Org],"Small"),IF(AND(Practices_SubPractices[CP]=3,Practices_SubPractices[Org]="Small"),SUMIFS(Practices_SubPractices[D],Practices_SubPractices[CP],"3",Practices_SubPractices[Org],"Small"),IF(AND(Practices_SubPractices[CP]=4,Practices_SubPractices[Org]="Small"),SUMIFS(Practices_SubPractices[D],Practices_SubPractices[CP],"4",Practices_SubPractices[Org],"Small"),IF(AND(Practices_SubPractices[CP]=5,Practices_SubPractices[Org]="Small"),SUMIFS(Practices_SubPractices[D],Practices_SubPractices[CP],"5",Practices_SubPractices[Org],"Small"),IF(AND(Practices_SubPractices[CP]=6,Practices_SubPractices[Org]="Small"),SUMIFS(Practices_SubPractices[D],Practices_SubPractices[CP],"6",Practices_SubPractices[Org],"Small"),IF(AND(Practices_SubPractices[CP]=7,Practices_SubPractices[Org] ="Small"),SUMIFS(Practices_SubPractices[D],Practices_SubPractices[CP],"7",Practices_SubPractices[Org],"Small"),IF(AND(Practices_SubPractices[CP]=8,Practices_SubPractices[Org] ="Small"),SUMIFS(Practices_SubPractices[D],Practices_SubPractices[CP],"8",Practices_SubPractices[Org],"Small"),IF(AND(Practices_SubPractices[CP]=9,Practices_SubPractices[Org] ="Small"),SUMIFS(Practices_SubPractices[D],Practices_SubPractices[CP],"9",Practices_SubPractices[Org],"Small"),IF(AND(Practices_SubPractices[CP]=10,Practices_SubPractices[Org] ="Small"),SUMIFS(Practices_SubPractices[D],Practices_SubPractices[CP],"10",Practices_SubPractices[Org],"Small"),IF(AND(Practices_SubPractices[CP]=1,Practices_SubPractices[Org]="Medium"),SUMIFS(Practices_SubPractices[D],Practices_SubPractices[CP],"1",Practices_SubPractices[Org],"Medium"),IF(AND(Practices_SubPractices[CP]=2,Practices_SubPractices[Org]="Medium"),SUMIFS(Practices_SubPractices[D],Practices_SubPractices[CP],"2",Practices_SubPractices[Org],"Medium"),IF(AND(Practices_SubPractices[CP]=3,Practices_SubPractices[Org]="Medium"),SUMIFS(Practices_SubPractices[D],Practices_SubPractices[CP],"3",Practices_SubPractices[Org],"Medium"),IF(AND(Practices_SubPractices[CP]=4,Practices_SubPractices[Org]="Medium"),SUMIFS(Practices_SubPractices[D],Practices_SubPractices[CP],"4",Practices_SubPractices[Org],"Medium"),IF(AND(Practices_SubPractices[CP]=5,Practices_SubPractices[Org]="Medium"),SUMIFS(Practices_SubPractices[D],Practices_SubPractices[CP],"5",Practices_SubPractices[Org],"Medium"),IF(AND(Practices_SubPractices[CP]=6,Practices_SubPractices[Org]="Medium"),SUMIFS(Practices_SubPractices[D],Practices_SubPractices[CP],"6",Practices_SubPractices[Org],"Medium"),IF(AND(Practices_SubPractices[CP]=7,Practices_SubPractices[Org] ="Medium"),SUMIFS(Practices_SubPractices[D],Practices_SubPractices[CP],"7",Practices_SubPractices[Org],"Medium"),IF(AND(Practices_SubPractices[CP]=8,Practices_SubPractices[Org] ="Medium"),SUMIFS(Practices_SubPractices[D],Practices_SubPractices[CP],"8",Practices_SubPractices[Org],"Medium"),IF(AND(Practices_SubPractices[CP]=9,Practices_SubPractices[Org] ="Medium"),SUMIFS(Practices_SubPractices[D],Practices_SubPractices[CP],"9",Practices_SubPractices[Org],"Medium"),IF(AND(Practices_SubPractices[CP]=10,Practices_SubPractices[Org] ="Medium"),SUMIFS(Practices_SubPractices[D],Practices_SubPractices[CP],"10",Practices_SubPractices[Org],"Medium"),IF(AND(Practices_SubPractices[CP]=1,Practices_SubPractices[Org]="Large"),SUMIFS(Practices_SubPractices[D],Practices_SubPractices[CP],"1",Practices_SubPractices[Org],"Large"),IF(AND(Practices_SubPractices[CP]=2,Practices_SubPractices[Org]="Large"),SUMIFS(Practices_SubPractices[D],Practices_SubPractices[CP],"2",Practices_SubPractices[Org],"Large"),IF(AND(Practices_SubPractices[CP]=3,Practices_SubPractices[Org]="Large"),SUMIFS(Practices_SubPractices[D],Practices_SubPractices[CP],"3",Practices_SubPractices[Org],"Large"),IF(AND(Practices_SubPractices[CP]=4,Practices_SubPractices[Org]="Large"),SUMIFS(Practices_SubPractices[D],Practices_SubPractices[CP],"4",Practices_SubPractices[Org],"Large"),IF(AND(Practices_SubPractices[CP]=5,Practices_SubPractices[Org]="Large"),SUMIFS(Practices_SubPractices[D],Practices_SubPractices[CP],"5",Practices_SubPractices[Org],"Large"),IF(AND(Practices_SubPractices[CP]=6,Practices_SubPractices[Org]="Large"),SUMIFS(Practices_SubPractices[D],Practices_SubPractices[CP],"6",Practices_SubPractices[Org],"Large"),IF(AND(Practices_SubPractices[CP]=7,Practices_SubPractices[Org] ="Large"),SUMIFS(Practices_SubPractices[D],Practices_SubPractices[CP],"7",Practices_SubPractices[Org],"Large"),IF(AND(Practices_SubPractices[CP]=8,Practices_SubPractices[Org] ="Large"),SUMIFS(Practices_SubPractices[D],Practices_SubPractices[CP],"8",Practices_SubPractices[Org],"Large"),IF(AND(Practices_SubPractices[CP]=9,Practices_SubPractices[Org] ="Large"),SUMIFS(Practices_SubPractices[D],Practices_SubPractices[CP],"9",Practices_SubPractices[Org],"Large"),IF(AND(Practices_SubPractices[CP]=10,Practices_SubPractices[Org] ="Large"),SUMIFS(Practices_SubPractices[D],Practices_SubPractices[CP],"10",Practices_SubPractices[Org],"Large"),"TBD"))))))))))))))))))))))))))))))</f>
        <v>14</v>
      </c>
      <c r="R85" s="77">
        <f>IF(AND(Practices_SubPractices[CP]=1,Practices_SubPractices[Org]="Small"),SUMIFS(Practices_SubPractices[E],Practices_SubPractices[CP],"1",Practices_SubPractices[Org],"Small"),IF(AND(Practices_SubPractices[CP]=2,Practices_SubPractices[Org]="Small"),SUMIFS(Practices_SubPractices[E],Practices_SubPractices[CP],"2",Practices_SubPractices[Org],"Small"),IF(AND(Practices_SubPractices[CP]=3,Practices_SubPractices[Org]="Small"),SUMIFS(Practices_SubPractices[E],Practices_SubPractices[CP],"3",Practices_SubPractices[Org],"Small"),IF(AND(Practices_SubPractices[CP]=4,Practices_SubPractices[Org]="Small"),SUMIFS(Practices_SubPractices[E],Practices_SubPractices[CP],"4",Practices_SubPractices[Org],"Small"),IF(AND(Practices_SubPractices[CP]=5,Practices_SubPractices[Org]="Small"),SUMIFS(Practices_SubPractices[E],Practices_SubPractices[CP],"5",Practices_SubPractices[Org],"Small"),IF(AND(Practices_SubPractices[CP]=6,Practices_SubPractices[Org]="Small"),SUMIFS(Practices_SubPractices[E],Practices_SubPractices[CP],"6",Practices_SubPractices[Org],"Small"),IF(AND(Practices_SubPractices[CP]=7,Practices_SubPractices[Org] ="Small"),SUMIFS(Practices_SubPractices[E],Practices_SubPractices[CP],"7",Practices_SubPractices[Org],"Small"),IF(AND(Practices_SubPractices[CP]=8,Practices_SubPractices[Org] ="Small"),SUMIFS(Practices_SubPractices[E],Practices_SubPractices[CP],"8",Practices_SubPractices[Org],"Small"),IF(AND(Practices_SubPractices[CP]=9,Practices_SubPractices[Org] ="Small"),SUMIFS(Practices_SubPractices[E],Practices_SubPractices[CP],"9",Practices_SubPractices[Org],"Small"),IF(AND(Practices_SubPractices[CP]=10,Practices_SubPractices[Org] ="Small"),SUMIFS(Practices_SubPractices[E],Practices_SubPractices[CP],"10",Practices_SubPractices[Org],"Small"),IF(AND(Practices_SubPractices[CP]=1,Practices_SubPractices[Org]="Medium"),SUMIFS(Practices_SubPractices[E],Practices_SubPractices[CP],"1",Practices_SubPractices[Org],"Medium"),IF(AND(Practices_SubPractices[CP]=2,Practices_SubPractices[Org]="Medium"),SUMIFS(Practices_SubPractices[E],Practices_SubPractices[CP],"2",Practices_SubPractices[Org],"Medium"),IF(AND(Practices_SubPractices[CP]=3,Practices_SubPractices[Org]="Medium"),SUMIFS(Practices_SubPractices[E],Practices_SubPractices[CP],"3",Practices_SubPractices[Org],"Medium"),IF(AND(Practices_SubPractices[CP]=4,Practices_SubPractices[Org]="Medium"),SUMIFS(Practices_SubPractices[E],Practices_SubPractices[CP],"4",Practices_SubPractices[Org],"Medium"),IF(AND(Practices_SubPractices[CP]=5,Practices_SubPractices[Org]="Medium"),SUMIFS(Practices_SubPractices[E],Practices_SubPractices[CP],"5",Practices_SubPractices[Org],"Medium"),IF(AND(Practices_SubPractices[CP]=6,Practices_SubPractices[Org]="Medium"),SUMIFS(Practices_SubPractices[E],Practices_SubPractices[CP],"6",Practices_SubPractices[Org],"Medium"),IF(AND(Practices_SubPractices[CP]=7,Practices_SubPractices[Org] ="Medium"),SUMIFS(Practices_SubPractices[E],Practices_SubPractices[CP],"7",Practices_SubPractices[Org],"Medium"),IF(AND(Practices_SubPractices[CP]=8,Practices_SubPractices[Org] ="Medium"),SUMIFS(Practices_SubPractices[E],Practices_SubPractices[CP],"8",Practices_SubPractices[Org],"Medium"),IF(AND(Practices_SubPractices[CP]=9,Practices_SubPractices[Org] ="Medium"),SUMIFS(Practices_SubPractices[E],Practices_SubPractices[CP],"9",Practices_SubPractices[Org],"Medium"),IF(AND(Practices_SubPractices[CP]=10,Practices_SubPractices[Org] ="Medium"),SUMIFS(Practices_SubPractices[E],Practices_SubPractices[CP],"10",Practices_SubPractices[Org],"Medium"),IF(AND(Practices_SubPractices[CP]=1,Practices_SubPractices[Org]="Large"),SUMIFS(Practices_SubPractices[E],Practices_SubPractices[CP],"1",Practices_SubPractices[Org],"Large"),IF(AND(Practices_SubPractices[CP]=2,Practices_SubPractices[Org]="Large"),SUMIFS(Practices_SubPractices[E],Practices_SubPractices[CP],"2",Practices_SubPractices[Org],"Large"),IF(AND(Practices_SubPractices[CP]=3,Practices_SubPractices[Org]="Large"),SUMIFS(Practices_SubPractices[E],Practices_SubPractices[CP],"3",Practices_SubPractices[Org],"Large"),IF(AND(Practices_SubPractices[CP]=4,Practices_SubPractices[Org]="Large"),SUMIFS(Practices_SubPractices[E],Practices_SubPractices[CP],"4",Practices_SubPractices[Org],"Large"),IF(AND(Practices_SubPractices[CP]=5,Practices_SubPractices[Org]="Large"),SUMIFS(Practices_SubPractices[E],Practices_SubPractices[CP],"5",Practices_SubPractices[Org],"Large"),IF(AND(Practices_SubPractices[CP]=6,Practices_SubPractices[Org]="Large"),SUMIFS(Practices_SubPractices[E],Practices_SubPractices[CP],"6",Practices_SubPractices[Org],"Large"),IF(AND(Practices_SubPractices[CP]=7,Practices_SubPractices[Org] ="Large"),SUMIFS(Practices_SubPractices[E],Practices_SubPractices[CP],"7",Practices_SubPractices[Org],"Large"),IF(AND(Practices_SubPractices[CP]=8,Practices_SubPractices[Org] ="Large"),SUMIFS(Practices_SubPractices[E],Practices_SubPractices[CP],"8",Practices_SubPractices[Org],"Large"),IF(AND(Practices_SubPractices[CP]=9,Practices_SubPractices[Org] ="Large"),SUMIFS(Practices_SubPractices[E],Practices_SubPractices[CP],"9",Practices_SubPractices[Org],"Large"),IF(AND(Practices_SubPractices[CP]=10,Practices_SubPractices[Org] ="Large"),SUMIFS(Practices_SubPractices[E],Practices_SubPractices[CP],"10",Practices_SubPractices[Org],"Large"),"TBD"))))))))))))))))))))))))))))))</f>
        <v>9</v>
      </c>
      <c r="S85" s="48" t="s">
        <v>426</v>
      </c>
    </row>
    <row r="86" spans="1:19" x14ac:dyDescent="0.35">
      <c r="A86" s="73">
        <v>76</v>
      </c>
      <c r="B86" s="73">
        <v>8</v>
      </c>
      <c r="C86" s="73" t="s">
        <v>11</v>
      </c>
      <c r="D86" s="73" t="str">
        <f>Practices_SubPractices[[#This Row],[CP]]&amp;LEFT(Practices_SubPractices[[#This Row],[Org]],1)</f>
        <v>8M</v>
      </c>
      <c r="E86" s="73" t="s">
        <v>266</v>
      </c>
      <c r="F86" s="74" t="s">
        <v>144</v>
      </c>
      <c r="G86" s="74" t="s">
        <v>147</v>
      </c>
      <c r="H86" s="74" t="s">
        <v>249</v>
      </c>
      <c r="I86" s="75">
        <v>2</v>
      </c>
      <c r="J86" s="75">
        <v>2</v>
      </c>
      <c r="K86" s="75">
        <v>2</v>
      </c>
      <c r="L86" s="75">
        <v>2</v>
      </c>
      <c r="M86" s="75">
        <v>1</v>
      </c>
      <c r="N86" s="76"/>
      <c r="O86" s="77">
        <f>IF(AND(Practices_SubPractices[CP]=1,Practices_SubPractices[Org]="Small"),SUMIFS(Practices_SubPractices[B],Practices_SubPractices[CP],"1",Practices_SubPractices[Org],"Small"),IF(AND(Practices_SubPractices[CP]=2,Practices_SubPractices[Org]="Small"),SUMIFS(Practices_SubPractices[B],Practices_SubPractices[CP],"2",Practices_SubPractices[Org],"Small"),IF(AND(Practices_SubPractices[CP]=3,Practices_SubPractices[Org]="Small"),SUMIFS(Practices_SubPractices[B],Practices_SubPractices[CP],"3",Practices_SubPractices[Org],"Small"),IF(AND(Practices_SubPractices[CP]=4,Practices_SubPractices[Org]="Small"),SUMIFS(Practices_SubPractices[B],Practices_SubPractices[CP],"4",Practices_SubPractices[Org],"Small"),IF(AND(Practices_SubPractices[CP]=5,Practices_SubPractices[Org]="Small"),SUMIFS(Practices_SubPractices[B],Practices_SubPractices[CP],"5",Practices_SubPractices[Org],"Small"),IF(AND(Practices_SubPractices[CP]=6,Practices_SubPractices[Org]="Small"),SUMIFS(Practices_SubPractices[B],Practices_SubPractices[CP],"6",Practices_SubPractices[Org],"Small"),IF(AND(Practices_SubPractices[CP]=7,Practices_SubPractices[Org] ="Small"),SUMIFS(Practices_SubPractices[B],Practices_SubPractices[CP],"7",Practices_SubPractices[Org],"Small"),IF(AND(Practices_SubPractices[CP]=8,Practices_SubPractices[Org] ="Small"),SUMIFS(Practices_SubPractices[B],Practices_SubPractices[CP],"8",Practices_SubPractices[Org],"Small"),IF(AND(Practices_SubPractices[CP]=9,Practices_SubPractices[Org] ="Small"),SUMIFS(Practices_SubPractices[B],Practices_SubPractices[CP],"9",Practices_SubPractices[Org],"Small"),IF(AND(Practices_SubPractices[CP]=10,Practices_SubPractices[Org] ="Small"),SUMIFS(Practices_SubPractices[B],Practices_SubPractices[CP],"10",Practices_SubPractices[Org],"Small"),IF(AND(Practices_SubPractices[CP]=1,Practices_SubPractices[Org]="Medium"),SUMIFS(Practices_SubPractices[B],Practices_SubPractices[CP],"1",Practices_SubPractices[Org],"Medium"),IF(AND(Practices_SubPractices[CP]=2,Practices_SubPractices[Org]="Medium"),SUMIFS(Practices_SubPractices[B],Practices_SubPractices[CP],"2",Practices_SubPractices[Org],"Medium"),IF(AND(Practices_SubPractices[CP]=3,Practices_SubPractices[Org]="Medium"),SUMIFS(Practices_SubPractices[B],Practices_SubPractices[CP],"3",Practices_SubPractices[Org],"Medium"),IF(AND(Practices_SubPractices[CP]=4,Practices_SubPractices[Org]="Medium"),SUMIFS(Practices_SubPractices[B],Practices_SubPractices[CP],"4",Practices_SubPractices[Org],"Medium"),IF(AND(Practices_SubPractices[CP]=5,Practices_SubPractices[Org]="Medium"),SUMIFS(Practices_SubPractices[B],Practices_SubPractices[CP],"5",Practices_SubPractices[Org],"Medium"),IF(AND(Practices_SubPractices[CP]=6,Practices_SubPractices[Org]="Medium"),SUMIFS(Practices_SubPractices[B],Practices_SubPractices[CP],"6",Practices_SubPractices[Org],"Medium"),IF(AND(Practices_SubPractices[CP]=7,Practices_SubPractices[Org] ="Medium"),SUMIFS(Practices_SubPractices[B],Practices_SubPractices[CP],"7",Practices_SubPractices[Org],"Medium"),IF(AND(Practices_SubPractices[CP]=8,Practices_SubPractices[Org] ="Medium"),SUMIFS(Practices_SubPractices[B],Practices_SubPractices[CP],"8",Practices_SubPractices[Org],"Medium"),IF(AND(Practices_SubPractices[CP]=9,Practices_SubPractices[Org] ="Medium"),SUMIFS(Practices_SubPractices[B],Practices_SubPractices[CP],"9",Practices_SubPractices[Org],"Medium"),IF(AND(Practices_SubPractices[CP]=10,Practices_SubPractices[Org] ="Medium"),SUMIFS(Practices_SubPractices[B],Practices_SubPractices[CP],"10",Practices_SubPractices[Org],"Medium"),IF(AND(Practices_SubPractices[CP]=1,Practices_SubPractices[Org]="Large"),SUMIFS(Practices_SubPractices[B],Practices_SubPractices[CP],"1",Practices_SubPractices[Org],"Large"),IF(AND(Practices_SubPractices[CP]=2,Practices_SubPractices[Org]="Large"),SUMIFS(Practices_SubPractices[B],Practices_SubPractices[CP],"2",Practices_SubPractices[Org],"Large"),IF(AND(Practices_SubPractices[CP]=3,Practices_SubPractices[Org]="Large"),SUMIFS(Practices_SubPractices[B],Practices_SubPractices[CP],"3",Practices_SubPractices[Org],"Large"),IF(AND(Practices_SubPractices[CP]=4,Practices_SubPractices[Org]="Large"),SUMIFS(Practices_SubPractices[B],Practices_SubPractices[CP],"4",Practices_SubPractices[Org],"Large"),IF(AND(Practices_SubPractices[CP]=5,Practices_SubPractices[Org]="Large"),SUMIFS(Practices_SubPractices[B],Practices_SubPractices[CP],"5",Practices_SubPractices[Org],"Large"),IF(AND(Practices_SubPractices[CP]=6,Practices_SubPractices[Org]="Large"),SUMIFS(Practices_SubPractices[B],Practices_SubPractices[CP],"6",Practices_SubPractices[Org],"Large"),IF(AND(Practices_SubPractices[CP]=7,Practices_SubPractices[Org] ="Large"),SUMIFS(Practices_SubPractices[B],Practices_SubPractices[CP],"7",Practices_SubPractices[Org],"Large"),IF(AND(Practices_SubPractices[CP]=8,Practices_SubPractices[Org] ="Large"),SUMIFS(Practices_SubPractices[B],Practices_SubPractices[CP],"8",Practices_SubPractices[Org],"Large"),IF(AND(Practices_SubPractices[CP]=9,Practices_SubPractices[Org] ="Large"),SUMIFS(Practices_SubPractices[B],Practices_SubPractices[CP],"9",Practices_SubPractices[Org],"Large"),IF(AND(Practices_SubPractices[CP]=10,Practices_SubPractices[Org] ="Large"),SUMIFS(Practices_SubPractices[B],Practices_SubPractices[CP],"10",Practices_SubPractices[Org],"Large"),"TBD"))))))))))))))))))))))))))))))</f>
        <v>5</v>
      </c>
      <c r="P86" s="77">
        <f>IF(AND(Practices_SubPractices[CP]=1,Practices_SubPractices[Org]="Small"),SUMIFS(Practices_SubPractices[C],Practices_SubPractices[CP],"1",Practices_SubPractices[Org],"Small"),IF(AND(Practices_SubPractices[CP]=2,Practices_SubPractices[Org]="Small"),SUMIFS(Practices_SubPractices[C],Practices_SubPractices[CP],"2",Practices_SubPractices[Org],"Small"),IF(AND(Practices_SubPractices[CP]=3,Practices_SubPractices[Org]="Small"),SUMIFS(Practices_SubPractices[C],Practices_SubPractices[CP],"3",Practices_SubPractices[Org],"Small"),IF(AND(Practices_SubPractices[CP]=4,Practices_SubPractices[Org]="Small"),SUMIFS(Practices_SubPractices[C],Practices_SubPractices[CP],"4",Practices_SubPractices[Org],"Small"),IF(AND(Practices_SubPractices[CP]=5,Practices_SubPractices[Org]="Small"),SUMIFS(Practices_SubPractices[C],Practices_SubPractices[CP],"5",Practices_SubPractices[Org],"Small"),IF(AND(Practices_SubPractices[CP]=6,Practices_SubPractices[Org]="Small"),SUMIFS(Practices_SubPractices[C],Practices_SubPractices[CP],"6",Practices_SubPractices[Org],"Small"),IF(AND(Practices_SubPractices[CP]=7,Practices_SubPractices[Org] ="Small"),SUMIFS(Practices_SubPractices[C],Practices_SubPractices[CP],"7",Practices_SubPractices[Org],"Small"),IF(AND(Practices_SubPractices[CP]=8,Practices_SubPractices[Org] ="Small"),SUMIFS(Practices_SubPractices[C],Practices_SubPractices[CP],"8",Practices_SubPractices[Org],"Small"),IF(AND(Practices_SubPractices[CP]=9,Practices_SubPractices[Org] ="Small"),SUMIFS(Practices_SubPractices[C],Practices_SubPractices[CP],"9",Practices_SubPractices[Org],"Small"),IF(AND(Practices_SubPractices[CP]=10,Practices_SubPractices[Org] ="Small"),SUMIFS(Practices_SubPractices[C],Practices_SubPractices[CP],"10",Practices_SubPractices[Org],"Small"),IF(AND(Practices_SubPractices[CP]=1,Practices_SubPractices[Org]="Medium"),SUMIFS(Practices_SubPractices[C],Practices_SubPractices[CP],"1",Practices_SubPractices[Org],"Medium"),IF(AND(Practices_SubPractices[CP]=2,Practices_SubPractices[Org]="Medium"),SUMIFS(Practices_SubPractices[C],Practices_SubPractices[CP],"2",Practices_SubPractices[Org],"Medium"),IF(AND(Practices_SubPractices[CP]=3,Practices_SubPractices[Org]="Medium"),SUMIFS(Practices_SubPractices[C],Practices_SubPractices[CP],"3",Practices_SubPractices[Org],"Medium"),IF(AND(Practices_SubPractices[CP]=4,Practices_SubPractices[Org]="Medium"),SUMIFS(Practices_SubPractices[C],Practices_SubPractices[CP],"4",Practices_SubPractices[Org],"Medium"),IF(AND(Practices_SubPractices[CP]=5,Practices_SubPractices[Org]="Medium"),SUMIFS(Practices_SubPractices[C],Practices_SubPractices[CP],"5",Practices_SubPractices[Org],"Medium"),IF(AND(Practices_SubPractices[CP]=6,Practices_SubPractices[Org]="Medium"),SUMIFS(Practices_SubPractices[C],Practices_SubPractices[CP],"6",Practices_SubPractices[Org],"Medium"),IF(AND(Practices_SubPractices[CP]=7,Practices_SubPractices[Org] ="Medium"),SUMIFS(Practices_SubPractices[C],Practices_SubPractices[CP],"7",Practices_SubPractices[Org],"Medium"),IF(AND(Practices_SubPractices[CP]=8,Practices_SubPractices[Org] ="Medium"),SUMIFS(Practices_SubPractices[C],Practices_SubPractices[CP],"8",Practices_SubPractices[Org],"Medium"),IF(AND(Practices_SubPractices[CP]=9,Practices_SubPractices[Org] ="Medium"),SUMIFS(Practices_SubPractices[C],Practices_SubPractices[CP],"9",Practices_SubPractices[Org],"Medium"),IF(AND(Practices_SubPractices[CP]=10,Practices_SubPractices[Org] ="Medium"),SUMIFS(Practices_SubPractices[C],Practices_SubPractices[CP],"10",Practices_SubPractices[Org],"Medium"),IF(AND(Practices_SubPractices[CP]=1,Practices_SubPractices[Org]="Large"),SUMIFS(Practices_SubPractices[C],Practices_SubPractices[CP],"1",Practices_SubPractices[Org],"Large"),IF(AND(Practices_SubPractices[CP]=2,Practices_SubPractices[Org]="Large"),SUMIFS(Practices_SubPractices[C],Practices_SubPractices[CP],"2",Practices_SubPractices[Org],"Large"),IF(AND(Practices_SubPractices[CP]=3,Practices_SubPractices[Org]="Large"),SUMIFS(Practices_SubPractices[C],Practices_SubPractices[CP],"3",Practices_SubPractices[Org],"Large"),IF(AND(Practices_SubPractices[CP]=4,Practices_SubPractices[Org]="Large"),SUMIFS(Practices_SubPractices[C],Practices_SubPractices[CP],"4",Practices_SubPractices[Org],"Large"),IF(AND(Practices_SubPractices[CP]=5,Practices_SubPractices[Org]="Large"),SUMIFS(Practices_SubPractices[C],Practices_SubPractices[CP],"5",Practices_SubPractices[Org],"Large"),IF(AND(Practices_SubPractices[CP]=6,Practices_SubPractices[Org]="Large"),SUMIFS(Practices_SubPractices[C],Practices_SubPractices[CP],"6",Practices_SubPractices[Org],"Large"),IF(AND(Practices_SubPractices[CP]=7,Practices_SubPractices[Org] ="Large"),SUMIFS(Practices_SubPractices[C],Practices_SubPractices[CP],"7",Practices_SubPractices[Org],"Large"),IF(AND(Practices_SubPractices[CP]=8,Practices_SubPractices[Org] ="Large"),SUMIFS(Practices_SubPractices[C],Practices_SubPractices[CP],"8",Practices_SubPractices[Org],"Large"),IF(AND(Practices_SubPractices[CP]=9,Practices_SubPractices[Org] ="Large"),SUMIFS(Practices_SubPractices[C],Practices_SubPractices[CP],"9",Practices_SubPractices[Org],"Large"),IF(AND(Practices_SubPractices[CP]=10,Practices_SubPractices[Org] ="Large"),SUMIFS(Practices_SubPractices[C],Practices_SubPractices[CP],"10",Practices_SubPractices[Org],"Large"),"TBD"))))))))))))))))))))))))))))))</f>
        <v>5</v>
      </c>
      <c r="Q86" s="77">
        <f>IF(AND(Practices_SubPractices[CP]=1,Practices_SubPractices[Org]="Small"),SUMIFS(Practices_SubPractices[D],Practices_SubPractices[CP],"1",Practices_SubPractices[Org],"Small"),IF(AND(Practices_SubPractices[CP]=2,Practices_SubPractices[Org]="Small"),SUMIFS(Practices_SubPractices[D],Practices_SubPractices[CP],"2",Practices_SubPractices[Org],"Small"),IF(AND(Practices_SubPractices[CP]=3,Practices_SubPractices[Org]="Small"),SUMIFS(Practices_SubPractices[D],Practices_SubPractices[CP],"3",Practices_SubPractices[Org],"Small"),IF(AND(Practices_SubPractices[CP]=4,Practices_SubPractices[Org]="Small"),SUMIFS(Practices_SubPractices[D],Practices_SubPractices[CP],"4",Practices_SubPractices[Org],"Small"),IF(AND(Practices_SubPractices[CP]=5,Practices_SubPractices[Org]="Small"),SUMIFS(Practices_SubPractices[D],Practices_SubPractices[CP],"5",Practices_SubPractices[Org],"Small"),IF(AND(Practices_SubPractices[CP]=6,Practices_SubPractices[Org]="Small"),SUMIFS(Practices_SubPractices[D],Practices_SubPractices[CP],"6",Practices_SubPractices[Org],"Small"),IF(AND(Practices_SubPractices[CP]=7,Practices_SubPractices[Org] ="Small"),SUMIFS(Practices_SubPractices[D],Practices_SubPractices[CP],"7",Practices_SubPractices[Org],"Small"),IF(AND(Practices_SubPractices[CP]=8,Practices_SubPractices[Org] ="Small"),SUMIFS(Practices_SubPractices[D],Practices_SubPractices[CP],"8",Practices_SubPractices[Org],"Small"),IF(AND(Practices_SubPractices[CP]=9,Practices_SubPractices[Org] ="Small"),SUMIFS(Practices_SubPractices[D],Practices_SubPractices[CP],"9",Practices_SubPractices[Org],"Small"),IF(AND(Practices_SubPractices[CP]=10,Practices_SubPractices[Org] ="Small"),SUMIFS(Practices_SubPractices[D],Practices_SubPractices[CP],"10",Practices_SubPractices[Org],"Small"),IF(AND(Practices_SubPractices[CP]=1,Practices_SubPractices[Org]="Medium"),SUMIFS(Practices_SubPractices[D],Practices_SubPractices[CP],"1",Practices_SubPractices[Org],"Medium"),IF(AND(Practices_SubPractices[CP]=2,Practices_SubPractices[Org]="Medium"),SUMIFS(Practices_SubPractices[D],Practices_SubPractices[CP],"2",Practices_SubPractices[Org],"Medium"),IF(AND(Practices_SubPractices[CP]=3,Practices_SubPractices[Org]="Medium"),SUMIFS(Practices_SubPractices[D],Practices_SubPractices[CP],"3",Practices_SubPractices[Org],"Medium"),IF(AND(Practices_SubPractices[CP]=4,Practices_SubPractices[Org]="Medium"),SUMIFS(Practices_SubPractices[D],Practices_SubPractices[CP],"4",Practices_SubPractices[Org],"Medium"),IF(AND(Practices_SubPractices[CP]=5,Practices_SubPractices[Org]="Medium"),SUMIFS(Practices_SubPractices[D],Practices_SubPractices[CP],"5",Practices_SubPractices[Org],"Medium"),IF(AND(Practices_SubPractices[CP]=6,Practices_SubPractices[Org]="Medium"),SUMIFS(Practices_SubPractices[D],Practices_SubPractices[CP],"6",Practices_SubPractices[Org],"Medium"),IF(AND(Practices_SubPractices[CP]=7,Practices_SubPractices[Org] ="Medium"),SUMIFS(Practices_SubPractices[D],Practices_SubPractices[CP],"7",Practices_SubPractices[Org],"Medium"),IF(AND(Practices_SubPractices[CP]=8,Practices_SubPractices[Org] ="Medium"),SUMIFS(Practices_SubPractices[D],Practices_SubPractices[CP],"8",Practices_SubPractices[Org],"Medium"),IF(AND(Practices_SubPractices[CP]=9,Practices_SubPractices[Org] ="Medium"),SUMIFS(Practices_SubPractices[D],Practices_SubPractices[CP],"9",Practices_SubPractices[Org],"Medium"),IF(AND(Practices_SubPractices[CP]=10,Practices_SubPractices[Org] ="Medium"),SUMIFS(Practices_SubPractices[D],Practices_SubPractices[CP],"10",Practices_SubPractices[Org],"Medium"),IF(AND(Practices_SubPractices[CP]=1,Practices_SubPractices[Org]="Large"),SUMIFS(Practices_SubPractices[D],Practices_SubPractices[CP],"1",Practices_SubPractices[Org],"Large"),IF(AND(Practices_SubPractices[CP]=2,Practices_SubPractices[Org]="Large"),SUMIFS(Practices_SubPractices[D],Practices_SubPractices[CP],"2",Practices_SubPractices[Org],"Large"),IF(AND(Practices_SubPractices[CP]=3,Practices_SubPractices[Org]="Large"),SUMIFS(Practices_SubPractices[D],Practices_SubPractices[CP],"3",Practices_SubPractices[Org],"Large"),IF(AND(Practices_SubPractices[CP]=4,Practices_SubPractices[Org]="Large"),SUMIFS(Practices_SubPractices[D],Practices_SubPractices[CP],"4",Practices_SubPractices[Org],"Large"),IF(AND(Practices_SubPractices[CP]=5,Practices_SubPractices[Org]="Large"),SUMIFS(Practices_SubPractices[D],Practices_SubPractices[CP],"5",Practices_SubPractices[Org],"Large"),IF(AND(Practices_SubPractices[CP]=6,Practices_SubPractices[Org]="Large"),SUMIFS(Practices_SubPractices[D],Practices_SubPractices[CP],"6",Practices_SubPractices[Org],"Large"),IF(AND(Practices_SubPractices[CP]=7,Practices_SubPractices[Org] ="Large"),SUMIFS(Practices_SubPractices[D],Practices_SubPractices[CP],"7",Practices_SubPractices[Org],"Large"),IF(AND(Practices_SubPractices[CP]=8,Practices_SubPractices[Org] ="Large"),SUMIFS(Practices_SubPractices[D],Practices_SubPractices[CP],"8",Practices_SubPractices[Org],"Large"),IF(AND(Practices_SubPractices[CP]=9,Practices_SubPractices[Org] ="Large"),SUMIFS(Practices_SubPractices[D],Practices_SubPractices[CP],"9",Practices_SubPractices[Org],"Large"),IF(AND(Practices_SubPractices[CP]=10,Practices_SubPractices[Org] ="Large"),SUMIFS(Practices_SubPractices[D],Practices_SubPractices[CP],"10",Practices_SubPractices[Org],"Large"),"TBD"))))))))))))))))))))))))))))))</f>
        <v>5</v>
      </c>
      <c r="R86" s="77">
        <f>IF(AND(Practices_SubPractices[CP]=1,Practices_SubPractices[Org]="Small"),SUMIFS(Practices_SubPractices[E],Practices_SubPractices[CP],"1",Practices_SubPractices[Org],"Small"),IF(AND(Practices_SubPractices[CP]=2,Practices_SubPractices[Org]="Small"),SUMIFS(Practices_SubPractices[E],Practices_SubPractices[CP],"2",Practices_SubPractices[Org],"Small"),IF(AND(Practices_SubPractices[CP]=3,Practices_SubPractices[Org]="Small"),SUMIFS(Practices_SubPractices[E],Practices_SubPractices[CP],"3",Practices_SubPractices[Org],"Small"),IF(AND(Practices_SubPractices[CP]=4,Practices_SubPractices[Org]="Small"),SUMIFS(Practices_SubPractices[E],Practices_SubPractices[CP],"4",Practices_SubPractices[Org],"Small"),IF(AND(Practices_SubPractices[CP]=5,Practices_SubPractices[Org]="Small"),SUMIFS(Practices_SubPractices[E],Practices_SubPractices[CP],"5",Practices_SubPractices[Org],"Small"),IF(AND(Practices_SubPractices[CP]=6,Practices_SubPractices[Org]="Small"),SUMIFS(Practices_SubPractices[E],Practices_SubPractices[CP],"6",Practices_SubPractices[Org],"Small"),IF(AND(Practices_SubPractices[CP]=7,Practices_SubPractices[Org] ="Small"),SUMIFS(Practices_SubPractices[E],Practices_SubPractices[CP],"7",Practices_SubPractices[Org],"Small"),IF(AND(Practices_SubPractices[CP]=8,Practices_SubPractices[Org] ="Small"),SUMIFS(Practices_SubPractices[E],Practices_SubPractices[CP],"8",Practices_SubPractices[Org],"Small"),IF(AND(Practices_SubPractices[CP]=9,Practices_SubPractices[Org] ="Small"),SUMIFS(Practices_SubPractices[E],Practices_SubPractices[CP],"9",Practices_SubPractices[Org],"Small"),IF(AND(Practices_SubPractices[CP]=10,Practices_SubPractices[Org] ="Small"),SUMIFS(Practices_SubPractices[E],Practices_SubPractices[CP],"10",Practices_SubPractices[Org],"Small"),IF(AND(Practices_SubPractices[CP]=1,Practices_SubPractices[Org]="Medium"),SUMIFS(Practices_SubPractices[E],Practices_SubPractices[CP],"1",Practices_SubPractices[Org],"Medium"),IF(AND(Practices_SubPractices[CP]=2,Practices_SubPractices[Org]="Medium"),SUMIFS(Practices_SubPractices[E],Practices_SubPractices[CP],"2",Practices_SubPractices[Org],"Medium"),IF(AND(Practices_SubPractices[CP]=3,Practices_SubPractices[Org]="Medium"),SUMIFS(Practices_SubPractices[E],Practices_SubPractices[CP],"3",Practices_SubPractices[Org],"Medium"),IF(AND(Practices_SubPractices[CP]=4,Practices_SubPractices[Org]="Medium"),SUMIFS(Practices_SubPractices[E],Practices_SubPractices[CP],"4",Practices_SubPractices[Org],"Medium"),IF(AND(Practices_SubPractices[CP]=5,Practices_SubPractices[Org]="Medium"),SUMIFS(Practices_SubPractices[E],Practices_SubPractices[CP],"5",Practices_SubPractices[Org],"Medium"),IF(AND(Practices_SubPractices[CP]=6,Practices_SubPractices[Org]="Medium"),SUMIFS(Practices_SubPractices[E],Practices_SubPractices[CP],"6",Practices_SubPractices[Org],"Medium"),IF(AND(Practices_SubPractices[CP]=7,Practices_SubPractices[Org] ="Medium"),SUMIFS(Practices_SubPractices[E],Practices_SubPractices[CP],"7",Practices_SubPractices[Org],"Medium"),IF(AND(Practices_SubPractices[CP]=8,Practices_SubPractices[Org] ="Medium"),SUMIFS(Practices_SubPractices[E],Practices_SubPractices[CP],"8",Practices_SubPractices[Org],"Medium"),IF(AND(Practices_SubPractices[CP]=9,Practices_SubPractices[Org] ="Medium"),SUMIFS(Practices_SubPractices[E],Practices_SubPractices[CP],"9",Practices_SubPractices[Org],"Medium"),IF(AND(Practices_SubPractices[CP]=10,Practices_SubPractices[Org] ="Medium"),SUMIFS(Practices_SubPractices[E],Practices_SubPractices[CP],"10",Practices_SubPractices[Org],"Medium"),IF(AND(Practices_SubPractices[CP]=1,Practices_SubPractices[Org]="Large"),SUMIFS(Practices_SubPractices[E],Practices_SubPractices[CP],"1",Practices_SubPractices[Org],"Large"),IF(AND(Practices_SubPractices[CP]=2,Practices_SubPractices[Org]="Large"),SUMIFS(Practices_SubPractices[E],Practices_SubPractices[CP],"2",Practices_SubPractices[Org],"Large"),IF(AND(Practices_SubPractices[CP]=3,Practices_SubPractices[Org]="Large"),SUMIFS(Practices_SubPractices[E],Practices_SubPractices[CP],"3",Practices_SubPractices[Org],"Large"),IF(AND(Practices_SubPractices[CP]=4,Practices_SubPractices[Org]="Large"),SUMIFS(Practices_SubPractices[E],Practices_SubPractices[CP],"4",Practices_SubPractices[Org],"Large"),IF(AND(Practices_SubPractices[CP]=5,Practices_SubPractices[Org]="Large"),SUMIFS(Practices_SubPractices[E],Practices_SubPractices[CP],"5",Practices_SubPractices[Org],"Large"),IF(AND(Practices_SubPractices[CP]=6,Practices_SubPractices[Org]="Large"),SUMIFS(Practices_SubPractices[E],Practices_SubPractices[CP],"6",Practices_SubPractices[Org],"Large"),IF(AND(Practices_SubPractices[CP]=7,Practices_SubPractices[Org] ="Large"),SUMIFS(Practices_SubPractices[E],Practices_SubPractices[CP],"7",Practices_SubPractices[Org],"Large"),IF(AND(Practices_SubPractices[CP]=8,Practices_SubPractices[Org] ="Large"),SUMIFS(Practices_SubPractices[E],Practices_SubPractices[CP],"8",Practices_SubPractices[Org],"Large"),IF(AND(Practices_SubPractices[CP]=9,Practices_SubPractices[Org] ="Large"),SUMIFS(Practices_SubPractices[E],Practices_SubPractices[CP],"9",Practices_SubPractices[Org],"Large"),IF(AND(Practices_SubPractices[CP]=10,Practices_SubPractices[Org] ="Large"),SUMIFS(Practices_SubPractices[E],Practices_SubPractices[CP],"10",Practices_SubPractices[Org],"Large"),"TBD"))))))))))))))))))))))))))))))</f>
        <v>3</v>
      </c>
      <c r="S86" s="87" t="s">
        <v>427</v>
      </c>
    </row>
    <row r="87" spans="1:19" x14ac:dyDescent="0.35">
      <c r="A87" s="73">
        <v>77</v>
      </c>
      <c r="B87" s="73">
        <v>8</v>
      </c>
      <c r="C87" s="73" t="s">
        <v>12</v>
      </c>
      <c r="D87" s="73" t="str">
        <f>Practices_SubPractices[[#This Row],[CP]]&amp;LEFT(Practices_SubPractices[[#This Row],[Org]],1)</f>
        <v>8L</v>
      </c>
      <c r="E87" s="73" t="s">
        <v>266</v>
      </c>
      <c r="F87" s="74" t="s">
        <v>144</v>
      </c>
      <c r="G87" s="74" t="s">
        <v>147</v>
      </c>
      <c r="H87" s="74" t="s">
        <v>249</v>
      </c>
      <c r="I87" s="75">
        <v>2</v>
      </c>
      <c r="J87" s="75">
        <v>2</v>
      </c>
      <c r="K87" s="75">
        <v>2</v>
      </c>
      <c r="L87" s="75">
        <v>2</v>
      </c>
      <c r="M87" s="75">
        <v>1</v>
      </c>
      <c r="N87" s="76"/>
      <c r="O87" s="77">
        <f>IF(AND(Practices_SubPractices[CP]=1,Practices_SubPractices[Org]="Small"),SUMIFS(Practices_SubPractices[B],Practices_SubPractices[CP],"1",Practices_SubPractices[Org],"Small"),IF(AND(Practices_SubPractices[CP]=2,Practices_SubPractices[Org]="Small"),SUMIFS(Practices_SubPractices[B],Practices_SubPractices[CP],"2",Practices_SubPractices[Org],"Small"),IF(AND(Practices_SubPractices[CP]=3,Practices_SubPractices[Org]="Small"),SUMIFS(Practices_SubPractices[B],Practices_SubPractices[CP],"3",Practices_SubPractices[Org],"Small"),IF(AND(Practices_SubPractices[CP]=4,Practices_SubPractices[Org]="Small"),SUMIFS(Practices_SubPractices[B],Practices_SubPractices[CP],"4",Practices_SubPractices[Org],"Small"),IF(AND(Practices_SubPractices[CP]=5,Practices_SubPractices[Org]="Small"),SUMIFS(Practices_SubPractices[B],Practices_SubPractices[CP],"5",Practices_SubPractices[Org],"Small"),IF(AND(Practices_SubPractices[CP]=6,Practices_SubPractices[Org]="Small"),SUMIFS(Practices_SubPractices[B],Practices_SubPractices[CP],"6",Practices_SubPractices[Org],"Small"),IF(AND(Practices_SubPractices[CP]=7,Practices_SubPractices[Org] ="Small"),SUMIFS(Practices_SubPractices[B],Practices_SubPractices[CP],"7",Practices_SubPractices[Org],"Small"),IF(AND(Practices_SubPractices[CP]=8,Practices_SubPractices[Org] ="Small"),SUMIFS(Practices_SubPractices[B],Practices_SubPractices[CP],"8",Practices_SubPractices[Org],"Small"),IF(AND(Practices_SubPractices[CP]=9,Practices_SubPractices[Org] ="Small"),SUMIFS(Practices_SubPractices[B],Practices_SubPractices[CP],"9",Practices_SubPractices[Org],"Small"),IF(AND(Practices_SubPractices[CP]=10,Practices_SubPractices[Org] ="Small"),SUMIFS(Practices_SubPractices[B],Practices_SubPractices[CP],"10",Practices_SubPractices[Org],"Small"),IF(AND(Practices_SubPractices[CP]=1,Practices_SubPractices[Org]="Medium"),SUMIFS(Practices_SubPractices[B],Practices_SubPractices[CP],"1",Practices_SubPractices[Org],"Medium"),IF(AND(Practices_SubPractices[CP]=2,Practices_SubPractices[Org]="Medium"),SUMIFS(Practices_SubPractices[B],Practices_SubPractices[CP],"2",Practices_SubPractices[Org],"Medium"),IF(AND(Practices_SubPractices[CP]=3,Practices_SubPractices[Org]="Medium"),SUMIFS(Practices_SubPractices[B],Practices_SubPractices[CP],"3",Practices_SubPractices[Org],"Medium"),IF(AND(Practices_SubPractices[CP]=4,Practices_SubPractices[Org]="Medium"),SUMIFS(Practices_SubPractices[B],Practices_SubPractices[CP],"4",Practices_SubPractices[Org],"Medium"),IF(AND(Practices_SubPractices[CP]=5,Practices_SubPractices[Org]="Medium"),SUMIFS(Practices_SubPractices[B],Practices_SubPractices[CP],"5",Practices_SubPractices[Org],"Medium"),IF(AND(Practices_SubPractices[CP]=6,Practices_SubPractices[Org]="Medium"),SUMIFS(Practices_SubPractices[B],Practices_SubPractices[CP],"6",Practices_SubPractices[Org],"Medium"),IF(AND(Practices_SubPractices[CP]=7,Practices_SubPractices[Org] ="Medium"),SUMIFS(Practices_SubPractices[B],Practices_SubPractices[CP],"7",Practices_SubPractices[Org],"Medium"),IF(AND(Practices_SubPractices[CP]=8,Practices_SubPractices[Org] ="Medium"),SUMIFS(Practices_SubPractices[B],Practices_SubPractices[CP],"8",Practices_SubPractices[Org],"Medium"),IF(AND(Practices_SubPractices[CP]=9,Practices_SubPractices[Org] ="Medium"),SUMIFS(Practices_SubPractices[B],Practices_SubPractices[CP],"9",Practices_SubPractices[Org],"Medium"),IF(AND(Practices_SubPractices[CP]=10,Practices_SubPractices[Org] ="Medium"),SUMIFS(Practices_SubPractices[B],Practices_SubPractices[CP],"10",Practices_SubPractices[Org],"Medium"),IF(AND(Practices_SubPractices[CP]=1,Practices_SubPractices[Org]="Large"),SUMIFS(Practices_SubPractices[B],Practices_SubPractices[CP],"1",Practices_SubPractices[Org],"Large"),IF(AND(Practices_SubPractices[CP]=2,Practices_SubPractices[Org]="Large"),SUMIFS(Practices_SubPractices[B],Practices_SubPractices[CP],"2",Practices_SubPractices[Org],"Large"),IF(AND(Practices_SubPractices[CP]=3,Practices_SubPractices[Org]="Large"),SUMIFS(Practices_SubPractices[B],Practices_SubPractices[CP],"3",Practices_SubPractices[Org],"Large"),IF(AND(Practices_SubPractices[CP]=4,Practices_SubPractices[Org]="Large"),SUMIFS(Practices_SubPractices[B],Practices_SubPractices[CP],"4",Practices_SubPractices[Org],"Large"),IF(AND(Practices_SubPractices[CP]=5,Practices_SubPractices[Org]="Large"),SUMIFS(Practices_SubPractices[B],Practices_SubPractices[CP],"5",Practices_SubPractices[Org],"Large"),IF(AND(Practices_SubPractices[CP]=6,Practices_SubPractices[Org]="Large"),SUMIFS(Practices_SubPractices[B],Practices_SubPractices[CP],"6",Practices_SubPractices[Org],"Large"),IF(AND(Practices_SubPractices[CP]=7,Practices_SubPractices[Org] ="Large"),SUMIFS(Practices_SubPractices[B],Practices_SubPractices[CP],"7",Practices_SubPractices[Org],"Large"),IF(AND(Practices_SubPractices[CP]=8,Practices_SubPractices[Org] ="Large"),SUMIFS(Practices_SubPractices[B],Practices_SubPractices[CP],"8",Practices_SubPractices[Org],"Large"),IF(AND(Practices_SubPractices[CP]=9,Practices_SubPractices[Org] ="Large"),SUMIFS(Practices_SubPractices[B],Practices_SubPractices[CP],"9",Practices_SubPractices[Org],"Large"),IF(AND(Practices_SubPractices[CP]=10,Practices_SubPractices[Org] ="Large"),SUMIFS(Practices_SubPractices[B],Practices_SubPractices[CP],"10",Practices_SubPractices[Org],"Large"),"TBD"))))))))))))))))))))))))))))))</f>
        <v>14</v>
      </c>
      <c r="P87" s="77">
        <f>IF(AND(Practices_SubPractices[CP]=1,Practices_SubPractices[Org]="Small"),SUMIFS(Practices_SubPractices[C],Practices_SubPractices[CP],"1",Practices_SubPractices[Org],"Small"),IF(AND(Practices_SubPractices[CP]=2,Practices_SubPractices[Org]="Small"),SUMIFS(Practices_SubPractices[C],Practices_SubPractices[CP],"2",Practices_SubPractices[Org],"Small"),IF(AND(Practices_SubPractices[CP]=3,Practices_SubPractices[Org]="Small"),SUMIFS(Practices_SubPractices[C],Practices_SubPractices[CP],"3",Practices_SubPractices[Org],"Small"),IF(AND(Practices_SubPractices[CP]=4,Practices_SubPractices[Org]="Small"),SUMIFS(Practices_SubPractices[C],Practices_SubPractices[CP],"4",Practices_SubPractices[Org],"Small"),IF(AND(Practices_SubPractices[CP]=5,Practices_SubPractices[Org]="Small"),SUMIFS(Practices_SubPractices[C],Practices_SubPractices[CP],"5",Practices_SubPractices[Org],"Small"),IF(AND(Practices_SubPractices[CP]=6,Practices_SubPractices[Org]="Small"),SUMIFS(Practices_SubPractices[C],Practices_SubPractices[CP],"6",Practices_SubPractices[Org],"Small"),IF(AND(Practices_SubPractices[CP]=7,Practices_SubPractices[Org] ="Small"),SUMIFS(Practices_SubPractices[C],Practices_SubPractices[CP],"7",Practices_SubPractices[Org],"Small"),IF(AND(Practices_SubPractices[CP]=8,Practices_SubPractices[Org] ="Small"),SUMIFS(Practices_SubPractices[C],Practices_SubPractices[CP],"8",Practices_SubPractices[Org],"Small"),IF(AND(Practices_SubPractices[CP]=9,Practices_SubPractices[Org] ="Small"),SUMIFS(Practices_SubPractices[C],Practices_SubPractices[CP],"9",Practices_SubPractices[Org],"Small"),IF(AND(Practices_SubPractices[CP]=10,Practices_SubPractices[Org] ="Small"),SUMIFS(Practices_SubPractices[C],Practices_SubPractices[CP],"10",Practices_SubPractices[Org],"Small"),IF(AND(Practices_SubPractices[CP]=1,Practices_SubPractices[Org]="Medium"),SUMIFS(Practices_SubPractices[C],Practices_SubPractices[CP],"1",Practices_SubPractices[Org],"Medium"),IF(AND(Practices_SubPractices[CP]=2,Practices_SubPractices[Org]="Medium"),SUMIFS(Practices_SubPractices[C],Practices_SubPractices[CP],"2",Practices_SubPractices[Org],"Medium"),IF(AND(Practices_SubPractices[CP]=3,Practices_SubPractices[Org]="Medium"),SUMIFS(Practices_SubPractices[C],Practices_SubPractices[CP],"3",Practices_SubPractices[Org],"Medium"),IF(AND(Practices_SubPractices[CP]=4,Practices_SubPractices[Org]="Medium"),SUMIFS(Practices_SubPractices[C],Practices_SubPractices[CP],"4",Practices_SubPractices[Org],"Medium"),IF(AND(Practices_SubPractices[CP]=5,Practices_SubPractices[Org]="Medium"),SUMIFS(Practices_SubPractices[C],Practices_SubPractices[CP],"5",Practices_SubPractices[Org],"Medium"),IF(AND(Practices_SubPractices[CP]=6,Practices_SubPractices[Org]="Medium"),SUMIFS(Practices_SubPractices[C],Practices_SubPractices[CP],"6",Practices_SubPractices[Org],"Medium"),IF(AND(Practices_SubPractices[CP]=7,Practices_SubPractices[Org] ="Medium"),SUMIFS(Practices_SubPractices[C],Practices_SubPractices[CP],"7",Practices_SubPractices[Org],"Medium"),IF(AND(Practices_SubPractices[CP]=8,Practices_SubPractices[Org] ="Medium"),SUMIFS(Practices_SubPractices[C],Practices_SubPractices[CP],"8",Practices_SubPractices[Org],"Medium"),IF(AND(Practices_SubPractices[CP]=9,Practices_SubPractices[Org] ="Medium"),SUMIFS(Practices_SubPractices[C],Practices_SubPractices[CP],"9",Practices_SubPractices[Org],"Medium"),IF(AND(Practices_SubPractices[CP]=10,Practices_SubPractices[Org] ="Medium"),SUMIFS(Practices_SubPractices[C],Practices_SubPractices[CP],"10",Practices_SubPractices[Org],"Medium"),IF(AND(Practices_SubPractices[CP]=1,Practices_SubPractices[Org]="Large"),SUMIFS(Practices_SubPractices[C],Practices_SubPractices[CP],"1",Practices_SubPractices[Org],"Large"),IF(AND(Practices_SubPractices[CP]=2,Practices_SubPractices[Org]="Large"),SUMIFS(Practices_SubPractices[C],Practices_SubPractices[CP],"2",Practices_SubPractices[Org],"Large"),IF(AND(Practices_SubPractices[CP]=3,Practices_SubPractices[Org]="Large"),SUMIFS(Practices_SubPractices[C],Practices_SubPractices[CP],"3",Practices_SubPractices[Org],"Large"),IF(AND(Practices_SubPractices[CP]=4,Practices_SubPractices[Org]="Large"),SUMIFS(Practices_SubPractices[C],Practices_SubPractices[CP],"4",Practices_SubPractices[Org],"Large"),IF(AND(Practices_SubPractices[CP]=5,Practices_SubPractices[Org]="Large"),SUMIFS(Practices_SubPractices[C],Practices_SubPractices[CP],"5",Practices_SubPractices[Org],"Large"),IF(AND(Practices_SubPractices[CP]=6,Practices_SubPractices[Org]="Large"),SUMIFS(Practices_SubPractices[C],Practices_SubPractices[CP],"6",Practices_SubPractices[Org],"Large"),IF(AND(Practices_SubPractices[CP]=7,Practices_SubPractices[Org] ="Large"),SUMIFS(Practices_SubPractices[C],Practices_SubPractices[CP],"7",Practices_SubPractices[Org],"Large"),IF(AND(Practices_SubPractices[CP]=8,Practices_SubPractices[Org] ="Large"),SUMIFS(Practices_SubPractices[C],Practices_SubPractices[CP],"8",Practices_SubPractices[Org],"Large"),IF(AND(Practices_SubPractices[CP]=9,Practices_SubPractices[Org] ="Large"),SUMIFS(Practices_SubPractices[C],Practices_SubPractices[CP],"9",Practices_SubPractices[Org],"Large"),IF(AND(Practices_SubPractices[CP]=10,Practices_SubPractices[Org] ="Large"),SUMIFS(Practices_SubPractices[C],Practices_SubPractices[CP],"10",Practices_SubPractices[Org],"Large"),"TBD"))))))))))))))))))))))))))))))</f>
        <v>5</v>
      </c>
      <c r="Q87" s="77">
        <f>IF(AND(Practices_SubPractices[CP]=1,Practices_SubPractices[Org]="Small"),SUMIFS(Practices_SubPractices[D],Practices_SubPractices[CP],"1",Practices_SubPractices[Org],"Small"),IF(AND(Practices_SubPractices[CP]=2,Practices_SubPractices[Org]="Small"),SUMIFS(Practices_SubPractices[D],Practices_SubPractices[CP],"2",Practices_SubPractices[Org],"Small"),IF(AND(Practices_SubPractices[CP]=3,Practices_SubPractices[Org]="Small"),SUMIFS(Practices_SubPractices[D],Practices_SubPractices[CP],"3",Practices_SubPractices[Org],"Small"),IF(AND(Practices_SubPractices[CP]=4,Practices_SubPractices[Org]="Small"),SUMIFS(Practices_SubPractices[D],Practices_SubPractices[CP],"4",Practices_SubPractices[Org],"Small"),IF(AND(Practices_SubPractices[CP]=5,Practices_SubPractices[Org]="Small"),SUMIFS(Practices_SubPractices[D],Practices_SubPractices[CP],"5",Practices_SubPractices[Org],"Small"),IF(AND(Practices_SubPractices[CP]=6,Practices_SubPractices[Org]="Small"),SUMIFS(Practices_SubPractices[D],Practices_SubPractices[CP],"6",Practices_SubPractices[Org],"Small"),IF(AND(Practices_SubPractices[CP]=7,Practices_SubPractices[Org] ="Small"),SUMIFS(Practices_SubPractices[D],Practices_SubPractices[CP],"7",Practices_SubPractices[Org],"Small"),IF(AND(Practices_SubPractices[CP]=8,Practices_SubPractices[Org] ="Small"),SUMIFS(Practices_SubPractices[D],Practices_SubPractices[CP],"8",Practices_SubPractices[Org],"Small"),IF(AND(Practices_SubPractices[CP]=9,Practices_SubPractices[Org] ="Small"),SUMIFS(Practices_SubPractices[D],Practices_SubPractices[CP],"9",Practices_SubPractices[Org],"Small"),IF(AND(Practices_SubPractices[CP]=10,Practices_SubPractices[Org] ="Small"),SUMIFS(Practices_SubPractices[D],Practices_SubPractices[CP],"10",Practices_SubPractices[Org],"Small"),IF(AND(Practices_SubPractices[CP]=1,Practices_SubPractices[Org]="Medium"),SUMIFS(Practices_SubPractices[D],Practices_SubPractices[CP],"1",Practices_SubPractices[Org],"Medium"),IF(AND(Practices_SubPractices[CP]=2,Practices_SubPractices[Org]="Medium"),SUMIFS(Practices_SubPractices[D],Practices_SubPractices[CP],"2",Practices_SubPractices[Org],"Medium"),IF(AND(Practices_SubPractices[CP]=3,Practices_SubPractices[Org]="Medium"),SUMIFS(Practices_SubPractices[D],Practices_SubPractices[CP],"3",Practices_SubPractices[Org],"Medium"),IF(AND(Practices_SubPractices[CP]=4,Practices_SubPractices[Org]="Medium"),SUMIFS(Practices_SubPractices[D],Practices_SubPractices[CP],"4",Practices_SubPractices[Org],"Medium"),IF(AND(Practices_SubPractices[CP]=5,Practices_SubPractices[Org]="Medium"),SUMIFS(Practices_SubPractices[D],Practices_SubPractices[CP],"5",Practices_SubPractices[Org],"Medium"),IF(AND(Practices_SubPractices[CP]=6,Practices_SubPractices[Org]="Medium"),SUMIFS(Practices_SubPractices[D],Practices_SubPractices[CP],"6",Practices_SubPractices[Org],"Medium"),IF(AND(Practices_SubPractices[CP]=7,Practices_SubPractices[Org] ="Medium"),SUMIFS(Practices_SubPractices[D],Practices_SubPractices[CP],"7",Practices_SubPractices[Org],"Medium"),IF(AND(Practices_SubPractices[CP]=8,Practices_SubPractices[Org] ="Medium"),SUMIFS(Practices_SubPractices[D],Practices_SubPractices[CP],"8",Practices_SubPractices[Org],"Medium"),IF(AND(Practices_SubPractices[CP]=9,Practices_SubPractices[Org] ="Medium"),SUMIFS(Practices_SubPractices[D],Practices_SubPractices[CP],"9",Practices_SubPractices[Org],"Medium"),IF(AND(Practices_SubPractices[CP]=10,Practices_SubPractices[Org] ="Medium"),SUMIFS(Practices_SubPractices[D],Practices_SubPractices[CP],"10",Practices_SubPractices[Org],"Medium"),IF(AND(Practices_SubPractices[CP]=1,Practices_SubPractices[Org]="Large"),SUMIFS(Practices_SubPractices[D],Practices_SubPractices[CP],"1",Practices_SubPractices[Org],"Large"),IF(AND(Practices_SubPractices[CP]=2,Practices_SubPractices[Org]="Large"),SUMIFS(Practices_SubPractices[D],Practices_SubPractices[CP],"2",Practices_SubPractices[Org],"Large"),IF(AND(Practices_SubPractices[CP]=3,Practices_SubPractices[Org]="Large"),SUMIFS(Practices_SubPractices[D],Practices_SubPractices[CP],"3",Practices_SubPractices[Org],"Large"),IF(AND(Practices_SubPractices[CP]=4,Practices_SubPractices[Org]="Large"),SUMIFS(Practices_SubPractices[D],Practices_SubPractices[CP],"4",Practices_SubPractices[Org],"Large"),IF(AND(Practices_SubPractices[CP]=5,Practices_SubPractices[Org]="Large"),SUMIFS(Practices_SubPractices[D],Practices_SubPractices[CP],"5",Practices_SubPractices[Org],"Large"),IF(AND(Practices_SubPractices[CP]=6,Practices_SubPractices[Org]="Large"),SUMIFS(Practices_SubPractices[D],Practices_SubPractices[CP],"6",Practices_SubPractices[Org],"Large"),IF(AND(Practices_SubPractices[CP]=7,Practices_SubPractices[Org] ="Large"),SUMIFS(Practices_SubPractices[D],Practices_SubPractices[CP],"7",Practices_SubPractices[Org],"Large"),IF(AND(Practices_SubPractices[CP]=8,Practices_SubPractices[Org] ="Large"),SUMIFS(Practices_SubPractices[D],Practices_SubPractices[CP],"8",Practices_SubPractices[Org],"Large"),IF(AND(Practices_SubPractices[CP]=9,Practices_SubPractices[Org] ="Large"),SUMIFS(Practices_SubPractices[D],Practices_SubPractices[CP],"9",Practices_SubPractices[Org],"Large"),IF(AND(Practices_SubPractices[CP]=10,Practices_SubPractices[Org] ="Large"),SUMIFS(Practices_SubPractices[D],Practices_SubPractices[CP],"10",Practices_SubPractices[Org],"Large"),"TBD"))))))))))))))))))))))))))))))</f>
        <v>14</v>
      </c>
      <c r="R87" s="77">
        <f>IF(AND(Practices_SubPractices[CP]=1,Practices_SubPractices[Org]="Small"),SUMIFS(Practices_SubPractices[E],Practices_SubPractices[CP],"1",Practices_SubPractices[Org],"Small"),IF(AND(Practices_SubPractices[CP]=2,Practices_SubPractices[Org]="Small"),SUMIFS(Practices_SubPractices[E],Practices_SubPractices[CP],"2",Practices_SubPractices[Org],"Small"),IF(AND(Practices_SubPractices[CP]=3,Practices_SubPractices[Org]="Small"),SUMIFS(Practices_SubPractices[E],Practices_SubPractices[CP],"3",Practices_SubPractices[Org],"Small"),IF(AND(Practices_SubPractices[CP]=4,Practices_SubPractices[Org]="Small"),SUMIFS(Practices_SubPractices[E],Practices_SubPractices[CP],"4",Practices_SubPractices[Org],"Small"),IF(AND(Practices_SubPractices[CP]=5,Practices_SubPractices[Org]="Small"),SUMIFS(Practices_SubPractices[E],Practices_SubPractices[CP],"5",Practices_SubPractices[Org],"Small"),IF(AND(Practices_SubPractices[CP]=6,Practices_SubPractices[Org]="Small"),SUMIFS(Practices_SubPractices[E],Practices_SubPractices[CP],"6",Practices_SubPractices[Org],"Small"),IF(AND(Practices_SubPractices[CP]=7,Practices_SubPractices[Org] ="Small"),SUMIFS(Practices_SubPractices[E],Practices_SubPractices[CP],"7",Practices_SubPractices[Org],"Small"),IF(AND(Practices_SubPractices[CP]=8,Practices_SubPractices[Org] ="Small"),SUMIFS(Practices_SubPractices[E],Practices_SubPractices[CP],"8",Practices_SubPractices[Org],"Small"),IF(AND(Practices_SubPractices[CP]=9,Practices_SubPractices[Org] ="Small"),SUMIFS(Practices_SubPractices[E],Practices_SubPractices[CP],"9",Practices_SubPractices[Org],"Small"),IF(AND(Practices_SubPractices[CP]=10,Practices_SubPractices[Org] ="Small"),SUMIFS(Practices_SubPractices[E],Practices_SubPractices[CP],"10",Practices_SubPractices[Org],"Small"),IF(AND(Practices_SubPractices[CP]=1,Practices_SubPractices[Org]="Medium"),SUMIFS(Practices_SubPractices[E],Practices_SubPractices[CP],"1",Practices_SubPractices[Org],"Medium"),IF(AND(Practices_SubPractices[CP]=2,Practices_SubPractices[Org]="Medium"),SUMIFS(Practices_SubPractices[E],Practices_SubPractices[CP],"2",Practices_SubPractices[Org],"Medium"),IF(AND(Practices_SubPractices[CP]=3,Practices_SubPractices[Org]="Medium"),SUMIFS(Practices_SubPractices[E],Practices_SubPractices[CP],"3",Practices_SubPractices[Org],"Medium"),IF(AND(Practices_SubPractices[CP]=4,Practices_SubPractices[Org]="Medium"),SUMIFS(Practices_SubPractices[E],Practices_SubPractices[CP],"4",Practices_SubPractices[Org],"Medium"),IF(AND(Practices_SubPractices[CP]=5,Practices_SubPractices[Org]="Medium"),SUMIFS(Practices_SubPractices[E],Practices_SubPractices[CP],"5",Practices_SubPractices[Org],"Medium"),IF(AND(Practices_SubPractices[CP]=6,Practices_SubPractices[Org]="Medium"),SUMIFS(Practices_SubPractices[E],Practices_SubPractices[CP],"6",Practices_SubPractices[Org],"Medium"),IF(AND(Practices_SubPractices[CP]=7,Practices_SubPractices[Org] ="Medium"),SUMIFS(Practices_SubPractices[E],Practices_SubPractices[CP],"7",Practices_SubPractices[Org],"Medium"),IF(AND(Practices_SubPractices[CP]=8,Practices_SubPractices[Org] ="Medium"),SUMIFS(Practices_SubPractices[E],Practices_SubPractices[CP],"8",Practices_SubPractices[Org],"Medium"),IF(AND(Practices_SubPractices[CP]=9,Practices_SubPractices[Org] ="Medium"),SUMIFS(Practices_SubPractices[E],Practices_SubPractices[CP],"9",Practices_SubPractices[Org],"Medium"),IF(AND(Practices_SubPractices[CP]=10,Practices_SubPractices[Org] ="Medium"),SUMIFS(Practices_SubPractices[E],Practices_SubPractices[CP],"10",Practices_SubPractices[Org],"Medium"),IF(AND(Practices_SubPractices[CP]=1,Practices_SubPractices[Org]="Large"),SUMIFS(Practices_SubPractices[E],Practices_SubPractices[CP],"1",Practices_SubPractices[Org],"Large"),IF(AND(Practices_SubPractices[CP]=2,Practices_SubPractices[Org]="Large"),SUMIFS(Practices_SubPractices[E],Practices_SubPractices[CP],"2",Practices_SubPractices[Org],"Large"),IF(AND(Practices_SubPractices[CP]=3,Practices_SubPractices[Org]="Large"),SUMIFS(Practices_SubPractices[E],Practices_SubPractices[CP],"3",Practices_SubPractices[Org],"Large"),IF(AND(Practices_SubPractices[CP]=4,Practices_SubPractices[Org]="Large"),SUMIFS(Practices_SubPractices[E],Practices_SubPractices[CP],"4",Practices_SubPractices[Org],"Large"),IF(AND(Practices_SubPractices[CP]=5,Practices_SubPractices[Org]="Large"),SUMIFS(Practices_SubPractices[E],Practices_SubPractices[CP],"5",Practices_SubPractices[Org],"Large"),IF(AND(Practices_SubPractices[CP]=6,Practices_SubPractices[Org]="Large"),SUMIFS(Practices_SubPractices[E],Practices_SubPractices[CP],"6",Practices_SubPractices[Org],"Large"),IF(AND(Practices_SubPractices[CP]=7,Practices_SubPractices[Org] ="Large"),SUMIFS(Practices_SubPractices[E],Practices_SubPractices[CP],"7",Practices_SubPractices[Org],"Large"),IF(AND(Practices_SubPractices[CP]=8,Practices_SubPractices[Org] ="Large"),SUMIFS(Practices_SubPractices[E],Practices_SubPractices[CP],"8",Practices_SubPractices[Org],"Large"),IF(AND(Practices_SubPractices[CP]=9,Practices_SubPractices[Org] ="Large"),SUMIFS(Practices_SubPractices[E],Practices_SubPractices[CP],"9",Practices_SubPractices[Org],"Large"),IF(AND(Practices_SubPractices[CP]=10,Practices_SubPractices[Org] ="Large"),SUMIFS(Practices_SubPractices[E],Practices_SubPractices[CP],"10",Practices_SubPractices[Org],"Large"),"TBD"))))))))))))))))))))))))))))))</f>
        <v>9</v>
      </c>
      <c r="S87" s="87" t="s">
        <v>427</v>
      </c>
    </row>
    <row r="88" spans="1:19" x14ac:dyDescent="0.35">
      <c r="A88" s="73">
        <v>78</v>
      </c>
      <c r="B88" s="73">
        <v>8</v>
      </c>
      <c r="C88" s="73" t="s">
        <v>11</v>
      </c>
      <c r="D88" s="73" t="str">
        <f>Practices_SubPractices[[#This Row],[CP]]&amp;LEFT(Practices_SubPractices[[#This Row],[Org]],1)</f>
        <v>8M</v>
      </c>
      <c r="E88" s="73" t="s">
        <v>267</v>
      </c>
      <c r="F88" s="74" t="s">
        <v>145</v>
      </c>
      <c r="G88" s="74" t="s">
        <v>148</v>
      </c>
      <c r="H88" s="74" t="s">
        <v>253</v>
      </c>
      <c r="I88" s="75">
        <v>1</v>
      </c>
      <c r="J88" s="75">
        <v>1</v>
      </c>
      <c r="K88" s="75">
        <v>1</v>
      </c>
      <c r="L88" s="75">
        <v>1</v>
      </c>
      <c r="M88" s="75">
        <v>1</v>
      </c>
      <c r="N88" s="76"/>
      <c r="O88" s="77">
        <f>IF(AND(Practices_SubPractices[CP]=1,Practices_SubPractices[Org]="Small"),SUMIFS(Practices_SubPractices[B],Practices_SubPractices[CP],"1",Practices_SubPractices[Org],"Small"),IF(AND(Practices_SubPractices[CP]=2,Practices_SubPractices[Org]="Small"),SUMIFS(Practices_SubPractices[B],Practices_SubPractices[CP],"2",Practices_SubPractices[Org],"Small"),IF(AND(Practices_SubPractices[CP]=3,Practices_SubPractices[Org]="Small"),SUMIFS(Practices_SubPractices[B],Practices_SubPractices[CP],"3",Practices_SubPractices[Org],"Small"),IF(AND(Practices_SubPractices[CP]=4,Practices_SubPractices[Org]="Small"),SUMIFS(Practices_SubPractices[B],Practices_SubPractices[CP],"4",Practices_SubPractices[Org],"Small"),IF(AND(Practices_SubPractices[CP]=5,Practices_SubPractices[Org]="Small"),SUMIFS(Practices_SubPractices[B],Practices_SubPractices[CP],"5",Practices_SubPractices[Org],"Small"),IF(AND(Practices_SubPractices[CP]=6,Practices_SubPractices[Org]="Small"),SUMIFS(Practices_SubPractices[B],Practices_SubPractices[CP],"6",Practices_SubPractices[Org],"Small"),IF(AND(Practices_SubPractices[CP]=7,Practices_SubPractices[Org] ="Small"),SUMIFS(Practices_SubPractices[B],Practices_SubPractices[CP],"7",Practices_SubPractices[Org],"Small"),IF(AND(Practices_SubPractices[CP]=8,Practices_SubPractices[Org] ="Small"),SUMIFS(Practices_SubPractices[B],Practices_SubPractices[CP],"8",Practices_SubPractices[Org],"Small"),IF(AND(Practices_SubPractices[CP]=9,Practices_SubPractices[Org] ="Small"),SUMIFS(Practices_SubPractices[B],Practices_SubPractices[CP],"9",Practices_SubPractices[Org],"Small"),IF(AND(Practices_SubPractices[CP]=10,Practices_SubPractices[Org] ="Small"),SUMIFS(Practices_SubPractices[B],Practices_SubPractices[CP],"10",Practices_SubPractices[Org],"Small"),IF(AND(Practices_SubPractices[CP]=1,Practices_SubPractices[Org]="Medium"),SUMIFS(Practices_SubPractices[B],Practices_SubPractices[CP],"1",Practices_SubPractices[Org],"Medium"),IF(AND(Practices_SubPractices[CP]=2,Practices_SubPractices[Org]="Medium"),SUMIFS(Practices_SubPractices[B],Practices_SubPractices[CP],"2",Practices_SubPractices[Org],"Medium"),IF(AND(Practices_SubPractices[CP]=3,Practices_SubPractices[Org]="Medium"),SUMIFS(Practices_SubPractices[B],Practices_SubPractices[CP],"3",Practices_SubPractices[Org],"Medium"),IF(AND(Practices_SubPractices[CP]=4,Practices_SubPractices[Org]="Medium"),SUMIFS(Practices_SubPractices[B],Practices_SubPractices[CP],"4",Practices_SubPractices[Org],"Medium"),IF(AND(Practices_SubPractices[CP]=5,Practices_SubPractices[Org]="Medium"),SUMIFS(Practices_SubPractices[B],Practices_SubPractices[CP],"5",Practices_SubPractices[Org],"Medium"),IF(AND(Practices_SubPractices[CP]=6,Practices_SubPractices[Org]="Medium"),SUMIFS(Practices_SubPractices[B],Practices_SubPractices[CP],"6",Practices_SubPractices[Org],"Medium"),IF(AND(Practices_SubPractices[CP]=7,Practices_SubPractices[Org] ="Medium"),SUMIFS(Practices_SubPractices[B],Practices_SubPractices[CP],"7",Practices_SubPractices[Org],"Medium"),IF(AND(Practices_SubPractices[CP]=8,Practices_SubPractices[Org] ="Medium"),SUMIFS(Practices_SubPractices[B],Practices_SubPractices[CP],"8",Practices_SubPractices[Org],"Medium"),IF(AND(Practices_SubPractices[CP]=9,Practices_SubPractices[Org] ="Medium"),SUMIFS(Practices_SubPractices[B],Practices_SubPractices[CP],"9",Practices_SubPractices[Org],"Medium"),IF(AND(Practices_SubPractices[CP]=10,Practices_SubPractices[Org] ="Medium"),SUMIFS(Practices_SubPractices[B],Practices_SubPractices[CP],"10",Practices_SubPractices[Org],"Medium"),IF(AND(Practices_SubPractices[CP]=1,Practices_SubPractices[Org]="Large"),SUMIFS(Practices_SubPractices[B],Practices_SubPractices[CP],"1",Practices_SubPractices[Org],"Large"),IF(AND(Practices_SubPractices[CP]=2,Practices_SubPractices[Org]="Large"),SUMIFS(Practices_SubPractices[B],Practices_SubPractices[CP],"2",Practices_SubPractices[Org],"Large"),IF(AND(Practices_SubPractices[CP]=3,Practices_SubPractices[Org]="Large"),SUMIFS(Practices_SubPractices[B],Practices_SubPractices[CP],"3",Practices_SubPractices[Org],"Large"),IF(AND(Practices_SubPractices[CP]=4,Practices_SubPractices[Org]="Large"),SUMIFS(Practices_SubPractices[B],Practices_SubPractices[CP],"4",Practices_SubPractices[Org],"Large"),IF(AND(Practices_SubPractices[CP]=5,Practices_SubPractices[Org]="Large"),SUMIFS(Practices_SubPractices[B],Practices_SubPractices[CP],"5",Practices_SubPractices[Org],"Large"),IF(AND(Practices_SubPractices[CP]=6,Practices_SubPractices[Org]="Large"),SUMIFS(Practices_SubPractices[B],Practices_SubPractices[CP],"6",Practices_SubPractices[Org],"Large"),IF(AND(Practices_SubPractices[CP]=7,Practices_SubPractices[Org] ="Large"),SUMIFS(Practices_SubPractices[B],Practices_SubPractices[CP],"7",Practices_SubPractices[Org],"Large"),IF(AND(Practices_SubPractices[CP]=8,Practices_SubPractices[Org] ="Large"),SUMIFS(Practices_SubPractices[B],Practices_SubPractices[CP],"8",Practices_SubPractices[Org],"Large"),IF(AND(Practices_SubPractices[CP]=9,Practices_SubPractices[Org] ="Large"),SUMIFS(Practices_SubPractices[B],Practices_SubPractices[CP],"9",Practices_SubPractices[Org],"Large"),IF(AND(Practices_SubPractices[CP]=10,Practices_SubPractices[Org] ="Large"),SUMIFS(Practices_SubPractices[B],Practices_SubPractices[CP],"10",Practices_SubPractices[Org],"Large"),"TBD"))))))))))))))))))))))))))))))</f>
        <v>5</v>
      </c>
      <c r="P88" s="77">
        <f>IF(AND(Practices_SubPractices[CP]=1,Practices_SubPractices[Org]="Small"),SUMIFS(Practices_SubPractices[C],Practices_SubPractices[CP],"1",Practices_SubPractices[Org],"Small"),IF(AND(Practices_SubPractices[CP]=2,Practices_SubPractices[Org]="Small"),SUMIFS(Practices_SubPractices[C],Practices_SubPractices[CP],"2",Practices_SubPractices[Org],"Small"),IF(AND(Practices_SubPractices[CP]=3,Practices_SubPractices[Org]="Small"),SUMIFS(Practices_SubPractices[C],Practices_SubPractices[CP],"3",Practices_SubPractices[Org],"Small"),IF(AND(Practices_SubPractices[CP]=4,Practices_SubPractices[Org]="Small"),SUMIFS(Practices_SubPractices[C],Practices_SubPractices[CP],"4",Practices_SubPractices[Org],"Small"),IF(AND(Practices_SubPractices[CP]=5,Practices_SubPractices[Org]="Small"),SUMIFS(Practices_SubPractices[C],Practices_SubPractices[CP],"5",Practices_SubPractices[Org],"Small"),IF(AND(Practices_SubPractices[CP]=6,Practices_SubPractices[Org]="Small"),SUMIFS(Practices_SubPractices[C],Practices_SubPractices[CP],"6",Practices_SubPractices[Org],"Small"),IF(AND(Practices_SubPractices[CP]=7,Practices_SubPractices[Org] ="Small"),SUMIFS(Practices_SubPractices[C],Practices_SubPractices[CP],"7",Practices_SubPractices[Org],"Small"),IF(AND(Practices_SubPractices[CP]=8,Practices_SubPractices[Org] ="Small"),SUMIFS(Practices_SubPractices[C],Practices_SubPractices[CP],"8",Practices_SubPractices[Org],"Small"),IF(AND(Practices_SubPractices[CP]=9,Practices_SubPractices[Org] ="Small"),SUMIFS(Practices_SubPractices[C],Practices_SubPractices[CP],"9",Practices_SubPractices[Org],"Small"),IF(AND(Practices_SubPractices[CP]=10,Practices_SubPractices[Org] ="Small"),SUMIFS(Practices_SubPractices[C],Practices_SubPractices[CP],"10",Practices_SubPractices[Org],"Small"),IF(AND(Practices_SubPractices[CP]=1,Practices_SubPractices[Org]="Medium"),SUMIFS(Practices_SubPractices[C],Practices_SubPractices[CP],"1",Practices_SubPractices[Org],"Medium"),IF(AND(Practices_SubPractices[CP]=2,Practices_SubPractices[Org]="Medium"),SUMIFS(Practices_SubPractices[C],Practices_SubPractices[CP],"2",Practices_SubPractices[Org],"Medium"),IF(AND(Practices_SubPractices[CP]=3,Practices_SubPractices[Org]="Medium"),SUMIFS(Practices_SubPractices[C],Practices_SubPractices[CP],"3",Practices_SubPractices[Org],"Medium"),IF(AND(Practices_SubPractices[CP]=4,Practices_SubPractices[Org]="Medium"),SUMIFS(Practices_SubPractices[C],Practices_SubPractices[CP],"4",Practices_SubPractices[Org],"Medium"),IF(AND(Practices_SubPractices[CP]=5,Practices_SubPractices[Org]="Medium"),SUMIFS(Practices_SubPractices[C],Practices_SubPractices[CP],"5",Practices_SubPractices[Org],"Medium"),IF(AND(Practices_SubPractices[CP]=6,Practices_SubPractices[Org]="Medium"),SUMIFS(Practices_SubPractices[C],Practices_SubPractices[CP],"6",Practices_SubPractices[Org],"Medium"),IF(AND(Practices_SubPractices[CP]=7,Practices_SubPractices[Org] ="Medium"),SUMIFS(Practices_SubPractices[C],Practices_SubPractices[CP],"7",Practices_SubPractices[Org],"Medium"),IF(AND(Practices_SubPractices[CP]=8,Practices_SubPractices[Org] ="Medium"),SUMIFS(Practices_SubPractices[C],Practices_SubPractices[CP],"8",Practices_SubPractices[Org],"Medium"),IF(AND(Practices_SubPractices[CP]=9,Practices_SubPractices[Org] ="Medium"),SUMIFS(Practices_SubPractices[C],Practices_SubPractices[CP],"9",Practices_SubPractices[Org],"Medium"),IF(AND(Practices_SubPractices[CP]=10,Practices_SubPractices[Org] ="Medium"),SUMIFS(Practices_SubPractices[C],Practices_SubPractices[CP],"10",Practices_SubPractices[Org],"Medium"),IF(AND(Practices_SubPractices[CP]=1,Practices_SubPractices[Org]="Large"),SUMIFS(Practices_SubPractices[C],Practices_SubPractices[CP],"1",Practices_SubPractices[Org],"Large"),IF(AND(Practices_SubPractices[CP]=2,Practices_SubPractices[Org]="Large"),SUMIFS(Practices_SubPractices[C],Practices_SubPractices[CP],"2",Practices_SubPractices[Org],"Large"),IF(AND(Practices_SubPractices[CP]=3,Practices_SubPractices[Org]="Large"),SUMIFS(Practices_SubPractices[C],Practices_SubPractices[CP],"3",Practices_SubPractices[Org],"Large"),IF(AND(Practices_SubPractices[CP]=4,Practices_SubPractices[Org]="Large"),SUMIFS(Practices_SubPractices[C],Practices_SubPractices[CP],"4",Practices_SubPractices[Org],"Large"),IF(AND(Practices_SubPractices[CP]=5,Practices_SubPractices[Org]="Large"),SUMIFS(Practices_SubPractices[C],Practices_SubPractices[CP],"5",Practices_SubPractices[Org],"Large"),IF(AND(Practices_SubPractices[CP]=6,Practices_SubPractices[Org]="Large"),SUMIFS(Practices_SubPractices[C],Practices_SubPractices[CP],"6",Practices_SubPractices[Org],"Large"),IF(AND(Practices_SubPractices[CP]=7,Practices_SubPractices[Org] ="Large"),SUMIFS(Practices_SubPractices[C],Practices_SubPractices[CP],"7",Practices_SubPractices[Org],"Large"),IF(AND(Practices_SubPractices[CP]=8,Practices_SubPractices[Org] ="Large"),SUMIFS(Practices_SubPractices[C],Practices_SubPractices[CP],"8",Practices_SubPractices[Org],"Large"),IF(AND(Practices_SubPractices[CP]=9,Practices_SubPractices[Org] ="Large"),SUMIFS(Practices_SubPractices[C],Practices_SubPractices[CP],"9",Practices_SubPractices[Org],"Large"),IF(AND(Practices_SubPractices[CP]=10,Practices_SubPractices[Org] ="Large"),SUMIFS(Practices_SubPractices[C],Practices_SubPractices[CP],"10",Practices_SubPractices[Org],"Large"),"TBD"))))))))))))))))))))))))))))))</f>
        <v>5</v>
      </c>
      <c r="Q88" s="77">
        <f>IF(AND(Practices_SubPractices[CP]=1,Practices_SubPractices[Org]="Small"),SUMIFS(Practices_SubPractices[D],Practices_SubPractices[CP],"1",Practices_SubPractices[Org],"Small"),IF(AND(Practices_SubPractices[CP]=2,Practices_SubPractices[Org]="Small"),SUMIFS(Practices_SubPractices[D],Practices_SubPractices[CP],"2",Practices_SubPractices[Org],"Small"),IF(AND(Practices_SubPractices[CP]=3,Practices_SubPractices[Org]="Small"),SUMIFS(Practices_SubPractices[D],Practices_SubPractices[CP],"3",Practices_SubPractices[Org],"Small"),IF(AND(Practices_SubPractices[CP]=4,Practices_SubPractices[Org]="Small"),SUMIFS(Practices_SubPractices[D],Practices_SubPractices[CP],"4",Practices_SubPractices[Org],"Small"),IF(AND(Practices_SubPractices[CP]=5,Practices_SubPractices[Org]="Small"),SUMIFS(Practices_SubPractices[D],Practices_SubPractices[CP],"5",Practices_SubPractices[Org],"Small"),IF(AND(Practices_SubPractices[CP]=6,Practices_SubPractices[Org]="Small"),SUMIFS(Practices_SubPractices[D],Practices_SubPractices[CP],"6",Practices_SubPractices[Org],"Small"),IF(AND(Practices_SubPractices[CP]=7,Practices_SubPractices[Org] ="Small"),SUMIFS(Practices_SubPractices[D],Practices_SubPractices[CP],"7",Practices_SubPractices[Org],"Small"),IF(AND(Practices_SubPractices[CP]=8,Practices_SubPractices[Org] ="Small"),SUMIFS(Practices_SubPractices[D],Practices_SubPractices[CP],"8",Practices_SubPractices[Org],"Small"),IF(AND(Practices_SubPractices[CP]=9,Practices_SubPractices[Org] ="Small"),SUMIFS(Practices_SubPractices[D],Practices_SubPractices[CP],"9",Practices_SubPractices[Org],"Small"),IF(AND(Practices_SubPractices[CP]=10,Practices_SubPractices[Org] ="Small"),SUMIFS(Practices_SubPractices[D],Practices_SubPractices[CP],"10",Practices_SubPractices[Org],"Small"),IF(AND(Practices_SubPractices[CP]=1,Practices_SubPractices[Org]="Medium"),SUMIFS(Practices_SubPractices[D],Practices_SubPractices[CP],"1",Practices_SubPractices[Org],"Medium"),IF(AND(Practices_SubPractices[CP]=2,Practices_SubPractices[Org]="Medium"),SUMIFS(Practices_SubPractices[D],Practices_SubPractices[CP],"2",Practices_SubPractices[Org],"Medium"),IF(AND(Practices_SubPractices[CP]=3,Practices_SubPractices[Org]="Medium"),SUMIFS(Practices_SubPractices[D],Practices_SubPractices[CP],"3",Practices_SubPractices[Org],"Medium"),IF(AND(Practices_SubPractices[CP]=4,Practices_SubPractices[Org]="Medium"),SUMIFS(Practices_SubPractices[D],Practices_SubPractices[CP],"4",Practices_SubPractices[Org],"Medium"),IF(AND(Practices_SubPractices[CP]=5,Practices_SubPractices[Org]="Medium"),SUMIFS(Practices_SubPractices[D],Practices_SubPractices[CP],"5",Practices_SubPractices[Org],"Medium"),IF(AND(Practices_SubPractices[CP]=6,Practices_SubPractices[Org]="Medium"),SUMIFS(Practices_SubPractices[D],Practices_SubPractices[CP],"6",Practices_SubPractices[Org],"Medium"),IF(AND(Practices_SubPractices[CP]=7,Practices_SubPractices[Org] ="Medium"),SUMIFS(Practices_SubPractices[D],Practices_SubPractices[CP],"7",Practices_SubPractices[Org],"Medium"),IF(AND(Practices_SubPractices[CP]=8,Practices_SubPractices[Org] ="Medium"),SUMIFS(Practices_SubPractices[D],Practices_SubPractices[CP],"8",Practices_SubPractices[Org],"Medium"),IF(AND(Practices_SubPractices[CP]=9,Practices_SubPractices[Org] ="Medium"),SUMIFS(Practices_SubPractices[D],Practices_SubPractices[CP],"9",Practices_SubPractices[Org],"Medium"),IF(AND(Practices_SubPractices[CP]=10,Practices_SubPractices[Org] ="Medium"),SUMIFS(Practices_SubPractices[D],Practices_SubPractices[CP],"10",Practices_SubPractices[Org],"Medium"),IF(AND(Practices_SubPractices[CP]=1,Practices_SubPractices[Org]="Large"),SUMIFS(Practices_SubPractices[D],Practices_SubPractices[CP],"1",Practices_SubPractices[Org],"Large"),IF(AND(Practices_SubPractices[CP]=2,Practices_SubPractices[Org]="Large"),SUMIFS(Practices_SubPractices[D],Practices_SubPractices[CP],"2",Practices_SubPractices[Org],"Large"),IF(AND(Practices_SubPractices[CP]=3,Practices_SubPractices[Org]="Large"),SUMIFS(Practices_SubPractices[D],Practices_SubPractices[CP],"3",Practices_SubPractices[Org],"Large"),IF(AND(Practices_SubPractices[CP]=4,Practices_SubPractices[Org]="Large"),SUMIFS(Practices_SubPractices[D],Practices_SubPractices[CP],"4",Practices_SubPractices[Org],"Large"),IF(AND(Practices_SubPractices[CP]=5,Practices_SubPractices[Org]="Large"),SUMIFS(Practices_SubPractices[D],Practices_SubPractices[CP],"5",Practices_SubPractices[Org],"Large"),IF(AND(Practices_SubPractices[CP]=6,Practices_SubPractices[Org]="Large"),SUMIFS(Practices_SubPractices[D],Practices_SubPractices[CP],"6",Practices_SubPractices[Org],"Large"),IF(AND(Practices_SubPractices[CP]=7,Practices_SubPractices[Org] ="Large"),SUMIFS(Practices_SubPractices[D],Practices_SubPractices[CP],"7",Practices_SubPractices[Org],"Large"),IF(AND(Practices_SubPractices[CP]=8,Practices_SubPractices[Org] ="Large"),SUMIFS(Practices_SubPractices[D],Practices_SubPractices[CP],"8",Practices_SubPractices[Org],"Large"),IF(AND(Practices_SubPractices[CP]=9,Practices_SubPractices[Org] ="Large"),SUMIFS(Practices_SubPractices[D],Practices_SubPractices[CP],"9",Practices_SubPractices[Org],"Large"),IF(AND(Practices_SubPractices[CP]=10,Practices_SubPractices[Org] ="Large"),SUMIFS(Practices_SubPractices[D],Practices_SubPractices[CP],"10",Practices_SubPractices[Org],"Large"),"TBD"))))))))))))))))))))))))))))))</f>
        <v>5</v>
      </c>
      <c r="R88" s="77">
        <f>IF(AND(Practices_SubPractices[CP]=1,Practices_SubPractices[Org]="Small"),SUMIFS(Practices_SubPractices[E],Practices_SubPractices[CP],"1",Practices_SubPractices[Org],"Small"),IF(AND(Practices_SubPractices[CP]=2,Practices_SubPractices[Org]="Small"),SUMIFS(Practices_SubPractices[E],Practices_SubPractices[CP],"2",Practices_SubPractices[Org],"Small"),IF(AND(Practices_SubPractices[CP]=3,Practices_SubPractices[Org]="Small"),SUMIFS(Practices_SubPractices[E],Practices_SubPractices[CP],"3",Practices_SubPractices[Org],"Small"),IF(AND(Practices_SubPractices[CP]=4,Practices_SubPractices[Org]="Small"),SUMIFS(Practices_SubPractices[E],Practices_SubPractices[CP],"4",Practices_SubPractices[Org],"Small"),IF(AND(Practices_SubPractices[CP]=5,Practices_SubPractices[Org]="Small"),SUMIFS(Practices_SubPractices[E],Practices_SubPractices[CP],"5",Practices_SubPractices[Org],"Small"),IF(AND(Practices_SubPractices[CP]=6,Practices_SubPractices[Org]="Small"),SUMIFS(Practices_SubPractices[E],Practices_SubPractices[CP],"6",Practices_SubPractices[Org],"Small"),IF(AND(Practices_SubPractices[CP]=7,Practices_SubPractices[Org] ="Small"),SUMIFS(Practices_SubPractices[E],Practices_SubPractices[CP],"7",Practices_SubPractices[Org],"Small"),IF(AND(Practices_SubPractices[CP]=8,Practices_SubPractices[Org] ="Small"),SUMIFS(Practices_SubPractices[E],Practices_SubPractices[CP],"8",Practices_SubPractices[Org],"Small"),IF(AND(Practices_SubPractices[CP]=9,Practices_SubPractices[Org] ="Small"),SUMIFS(Practices_SubPractices[E],Practices_SubPractices[CP],"9",Practices_SubPractices[Org],"Small"),IF(AND(Practices_SubPractices[CP]=10,Practices_SubPractices[Org] ="Small"),SUMIFS(Practices_SubPractices[E],Practices_SubPractices[CP],"10",Practices_SubPractices[Org],"Small"),IF(AND(Practices_SubPractices[CP]=1,Practices_SubPractices[Org]="Medium"),SUMIFS(Practices_SubPractices[E],Practices_SubPractices[CP],"1",Practices_SubPractices[Org],"Medium"),IF(AND(Practices_SubPractices[CP]=2,Practices_SubPractices[Org]="Medium"),SUMIFS(Practices_SubPractices[E],Practices_SubPractices[CP],"2",Practices_SubPractices[Org],"Medium"),IF(AND(Practices_SubPractices[CP]=3,Practices_SubPractices[Org]="Medium"),SUMIFS(Practices_SubPractices[E],Practices_SubPractices[CP],"3",Practices_SubPractices[Org],"Medium"),IF(AND(Practices_SubPractices[CP]=4,Practices_SubPractices[Org]="Medium"),SUMIFS(Practices_SubPractices[E],Practices_SubPractices[CP],"4",Practices_SubPractices[Org],"Medium"),IF(AND(Practices_SubPractices[CP]=5,Practices_SubPractices[Org]="Medium"),SUMIFS(Practices_SubPractices[E],Practices_SubPractices[CP],"5",Practices_SubPractices[Org],"Medium"),IF(AND(Practices_SubPractices[CP]=6,Practices_SubPractices[Org]="Medium"),SUMIFS(Practices_SubPractices[E],Practices_SubPractices[CP],"6",Practices_SubPractices[Org],"Medium"),IF(AND(Practices_SubPractices[CP]=7,Practices_SubPractices[Org] ="Medium"),SUMIFS(Practices_SubPractices[E],Practices_SubPractices[CP],"7",Practices_SubPractices[Org],"Medium"),IF(AND(Practices_SubPractices[CP]=8,Practices_SubPractices[Org] ="Medium"),SUMIFS(Practices_SubPractices[E],Practices_SubPractices[CP],"8",Practices_SubPractices[Org],"Medium"),IF(AND(Practices_SubPractices[CP]=9,Practices_SubPractices[Org] ="Medium"),SUMIFS(Practices_SubPractices[E],Practices_SubPractices[CP],"9",Practices_SubPractices[Org],"Medium"),IF(AND(Practices_SubPractices[CP]=10,Practices_SubPractices[Org] ="Medium"),SUMIFS(Practices_SubPractices[E],Practices_SubPractices[CP],"10",Practices_SubPractices[Org],"Medium"),IF(AND(Practices_SubPractices[CP]=1,Practices_SubPractices[Org]="Large"),SUMIFS(Practices_SubPractices[E],Practices_SubPractices[CP],"1",Practices_SubPractices[Org],"Large"),IF(AND(Practices_SubPractices[CP]=2,Practices_SubPractices[Org]="Large"),SUMIFS(Practices_SubPractices[E],Practices_SubPractices[CP],"2",Practices_SubPractices[Org],"Large"),IF(AND(Practices_SubPractices[CP]=3,Practices_SubPractices[Org]="Large"),SUMIFS(Practices_SubPractices[E],Practices_SubPractices[CP],"3",Practices_SubPractices[Org],"Large"),IF(AND(Practices_SubPractices[CP]=4,Practices_SubPractices[Org]="Large"),SUMIFS(Practices_SubPractices[E],Practices_SubPractices[CP],"4",Practices_SubPractices[Org],"Large"),IF(AND(Practices_SubPractices[CP]=5,Practices_SubPractices[Org]="Large"),SUMIFS(Practices_SubPractices[E],Practices_SubPractices[CP],"5",Practices_SubPractices[Org],"Large"),IF(AND(Practices_SubPractices[CP]=6,Practices_SubPractices[Org]="Large"),SUMIFS(Practices_SubPractices[E],Practices_SubPractices[CP],"6",Practices_SubPractices[Org],"Large"),IF(AND(Practices_SubPractices[CP]=7,Practices_SubPractices[Org] ="Large"),SUMIFS(Practices_SubPractices[E],Practices_SubPractices[CP],"7",Practices_SubPractices[Org],"Large"),IF(AND(Practices_SubPractices[CP]=8,Practices_SubPractices[Org] ="Large"),SUMIFS(Practices_SubPractices[E],Practices_SubPractices[CP],"8",Practices_SubPractices[Org],"Large"),IF(AND(Practices_SubPractices[CP]=9,Practices_SubPractices[Org] ="Large"),SUMIFS(Practices_SubPractices[E],Practices_SubPractices[CP],"9",Practices_SubPractices[Org],"Large"),IF(AND(Practices_SubPractices[CP]=10,Practices_SubPractices[Org] ="Large"),SUMIFS(Practices_SubPractices[E],Practices_SubPractices[CP],"10",Practices_SubPractices[Org],"Large"),"TBD"))))))))))))))))))))))))))))))</f>
        <v>3</v>
      </c>
      <c r="S88" s="87" t="s">
        <v>402</v>
      </c>
    </row>
    <row r="89" spans="1:19" x14ac:dyDescent="0.35">
      <c r="A89" s="73">
        <v>79</v>
      </c>
      <c r="B89" s="73">
        <v>8</v>
      </c>
      <c r="C89" s="73" t="s">
        <v>12</v>
      </c>
      <c r="D89" s="73" t="str">
        <f>Practices_SubPractices[[#This Row],[CP]]&amp;LEFT(Practices_SubPractices[[#This Row],[Org]],1)</f>
        <v>8L</v>
      </c>
      <c r="E89" s="73" t="s">
        <v>267</v>
      </c>
      <c r="F89" s="74" t="s">
        <v>145</v>
      </c>
      <c r="G89" s="74" t="s">
        <v>148</v>
      </c>
      <c r="H89" s="74" t="s">
        <v>253</v>
      </c>
      <c r="I89" s="75">
        <v>1</v>
      </c>
      <c r="J89" s="75">
        <v>1</v>
      </c>
      <c r="K89" s="75">
        <v>1</v>
      </c>
      <c r="L89" s="75">
        <v>1</v>
      </c>
      <c r="M89" s="75">
        <v>1</v>
      </c>
      <c r="N89" s="76"/>
      <c r="O89" s="77">
        <f>IF(AND(Practices_SubPractices[CP]=1,Practices_SubPractices[Org]="Small"),SUMIFS(Practices_SubPractices[B],Practices_SubPractices[CP],"1",Practices_SubPractices[Org],"Small"),IF(AND(Practices_SubPractices[CP]=2,Practices_SubPractices[Org]="Small"),SUMIFS(Practices_SubPractices[B],Practices_SubPractices[CP],"2",Practices_SubPractices[Org],"Small"),IF(AND(Practices_SubPractices[CP]=3,Practices_SubPractices[Org]="Small"),SUMIFS(Practices_SubPractices[B],Practices_SubPractices[CP],"3",Practices_SubPractices[Org],"Small"),IF(AND(Practices_SubPractices[CP]=4,Practices_SubPractices[Org]="Small"),SUMIFS(Practices_SubPractices[B],Practices_SubPractices[CP],"4",Practices_SubPractices[Org],"Small"),IF(AND(Practices_SubPractices[CP]=5,Practices_SubPractices[Org]="Small"),SUMIFS(Practices_SubPractices[B],Practices_SubPractices[CP],"5",Practices_SubPractices[Org],"Small"),IF(AND(Practices_SubPractices[CP]=6,Practices_SubPractices[Org]="Small"),SUMIFS(Practices_SubPractices[B],Practices_SubPractices[CP],"6",Practices_SubPractices[Org],"Small"),IF(AND(Practices_SubPractices[CP]=7,Practices_SubPractices[Org] ="Small"),SUMIFS(Practices_SubPractices[B],Practices_SubPractices[CP],"7",Practices_SubPractices[Org],"Small"),IF(AND(Practices_SubPractices[CP]=8,Practices_SubPractices[Org] ="Small"),SUMIFS(Practices_SubPractices[B],Practices_SubPractices[CP],"8",Practices_SubPractices[Org],"Small"),IF(AND(Practices_SubPractices[CP]=9,Practices_SubPractices[Org] ="Small"),SUMIFS(Practices_SubPractices[B],Practices_SubPractices[CP],"9",Practices_SubPractices[Org],"Small"),IF(AND(Practices_SubPractices[CP]=10,Practices_SubPractices[Org] ="Small"),SUMIFS(Practices_SubPractices[B],Practices_SubPractices[CP],"10",Practices_SubPractices[Org],"Small"),IF(AND(Practices_SubPractices[CP]=1,Practices_SubPractices[Org]="Medium"),SUMIFS(Practices_SubPractices[B],Practices_SubPractices[CP],"1",Practices_SubPractices[Org],"Medium"),IF(AND(Practices_SubPractices[CP]=2,Practices_SubPractices[Org]="Medium"),SUMIFS(Practices_SubPractices[B],Practices_SubPractices[CP],"2",Practices_SubPractices[Org],"Medium"),IF(AND(Practices_SubPractices[CP]=3,Practices_SubPractices[Org]="Medium"),SUMIFS(Practices_SubPractices[B],Practices_SubPractices[CP],"3",Practices_SubPractices[Org],"Medium"),IF(AND(Practices_SubPractices[CP]=4,Practices_SubPractices[Org]="Medium"),SUMIFS(Practices_SubPractices[B],Practices_SubPractices[CP],"4",Practices_SubPractices[Org],"Medium"),IF(AND(Practices_SubPractices[CP]=5,Practices_SubPractices[Org]="Medium"),SUMIFS(Practices_SubPractices[B],Practices_SubPractices[CP],"5",Practices_SubPractices[Org],"Medium"),IF(AND(Practices_SubPractices[CP]=6,Practices_SubPractices[Org]="Medium"),SUMIFS(Practices_SubPractices[B],Practices_SubPractices[CP],"6",Practices_SubPractices[Org],"Medium"),IF(AND(Practices_SubPractices[CP]=7,Practices_SubPractices[Org] ="Medium"),SUMIFS(Practices_SubPractices[B],Practices_SubPractices[CP],"7",Practices_SubPractices[Org],"Medium"),IF(AND(Practices_SubPractices[CP]=8,Practices_SubPractices[Org] ="Medium"),SUMIFS(Practices_SubPractices[B],Practices_SubPractices[CP],"8",Practices_SubPractices[Org],"Medium"),IF(AND(Practices_SubPractices[CP]=9,Practices_SubPractices[Org] ="Medium"),SUMIFS(Practices_SubPractices[B],Practices_SubPractices[CP],"9",Practices_SubPractices[Org],"Medium"),IF(AND(Practices_SubPractices[CP]=10,Practices_SubPractices[Org] ="Medium"),SUMIFS(Practices_SubPractices[B],Practices_SubPractices[CP],"10",Practices_SubPractices[Org],"Medium"),IF(AND(Practices_SubPractices[CP]=1,Practices_SubPractices[Org]="Large"),SUMIFS(Practices_SubPractices[B],Practices_SubPractices[CP],"1",Practices_SubPractices[Org],"Large"),IF(AND(Practices_SubPractices[CP]=2,Practices_SubPractices[Org]="Large"),SUMIFS(Practices_SubPractices[B],Practices_SubPractices[CP],"2",Practices_SubPractices[Org],"Large"),IF(AND(Practices_SubPractices[CP]=3,Practices_SubPractices[Org]="Large"),SUMIFS(Practices_SubPractices[B],Practices_SubPractices[CP],"3",Practices_SubPractices[Org],"Large"),IF(AND(Practices_SubPractices[CP]=4,Practices_SubPractices[Org]="Large"),SUMIFS(Practices_SubPractices[B],Practices_SubPractices[CP],"4",Practices_SubPractices[Org],"Large"),IF(AND(Practices_SubPractices[CP]=5,Practices_SubPractices[Org]="Large"),SUMIFS(Practices_SubPractices[B],Practices_SubPractices[CP],"5",Practices_SubPractices[Org],"Large"),IF(AND(Practices_SubPractices[CP]=6,Practices_SubPractices[Org]="Large"),SUMIFS(Practices_SubPractices[B],Practices_SubPractices[CP],"6",Practices_SubPractices[Org],"Large"),IF(AND(Practices_SubPractices[CP]=7,Practices_SubPractices[Org] ="Large"),SUMIFS(Practices_SubPractices[B],Practices_SubPractices[CP],"7",Practices_SubPractices[Org],"Large"),IF(AND(Practices_SubPractices[CP]=8,Practices_SubPractices[Org] ="Large"),SUMIFS(Practices_SubPractices[B],Practices_SubPractices[CP],"8",Practices_SubPractices[Org],"Large"),IF(AND(Practices_SubPractices[CP]=9,Practices_SubPractices[Org] ="Large"),SUMIFS(Practices_SubPractices[B],Practices_SubPractices[CP],"9",Practices_SubPractices[Org],"Large"),IF(AND(Practices_SubPractices[CP]=10,Practices_SubPractices[Org] ="Large"),SUMIFS(Practices_SubPractices[B],Practices_SubPractices[CP],"10",Practices_SubPractices[Org],"Large"),"TBD"))))))))))))))))))))))))))))))</f>
        <v>14</v>
      </c>
      <c r="P89" s="77">
        <f>IF(AND(Practices_SubPractices[CP]=1,Practices_SubPractices[Org]="Small"),SUMIFS(Practices_SubPractices[C],Practices_SubPractices[CP],"1",Practices_SubPractices[Org],"Small"),IF(AND(Practices_SubPractices[CP]=2,Practices_SubPractices[Org]="Small"),SUMIFS(Practices_SubPractices[C],Practices_SubPractices[CP],"2",Practices_SubPractices[Org],"Small"),IF(AND(Practices_SubPractices[CP]=3,Practices_SubPractices[Org]="Small"),SUMIFS(Practices_SubPractices[C],Practices_SubPractices[CP],"3",Practices_SubPractices[Org],"Small"),IF(AND(Practices_SubPractices[CP]=4,Practices_SubPractices[Org]="Small"),SUMIFS(Practices_SubPractices[C],Practices_SubPractices[CP],"4",Practices_SubPractices[Org],"Small"),IF(AND(Practices_SubPractices[CP]=5,Practices_SubPractices[Org]="Small"),SUMIFS(Practices_SubPractices[C],Practices_SubPractices[CP],"5",Practices_SubPractices[Org],"Small"),IF(AND(Practices_SubPractices[CP]=6,Practices_SubPractices[Org]="Small"),SUMIFS(Practices_SubPractices[C],Practices_SubPractices[CP],"6",Practices_SubPractices[Org],"Small"),IF(AND(Practices_SubPractices[CP]=7,Practices_SubPractices[Org] ="Small"),SUMIFS(Practices_SubPractices[C],Practices_SubPractices[CP],"7",Practices_SubPractices[Org],"Small"),IF(AND(Practices_SubPractices[CP]=8,Practices_SubPractices[Org] ="Small"),SUMIFS(Practices_SubPractices[C],Practices_SubPractices[CP],"8",Practices_SubPractices[Org],"Small"),IF(AND(Practices_SubPractices[CP]=9,Practices_SubPractices[Org] ="Small"),SUMIFS(Practices_SubPractices[C],Practices_SubPractices[CP],"9",Practices_SubPractices[Org],"Small"),IF(AND(Practices_SubPractices[CP]=10,Practices_SubPractices[Org] ="Small"),SUMIFS(Practices_SubPractices[C],Practices_SubPractices[CP],"10",Practices_SubPractices[Org],"Small"),IF(AND(Practices_SubPractices[CP]=1,Practices_SubPractices[Org]="Medium"),SUMIFS(Practices_SubPractices[C],Practices_SubPractices[CP],"1",Practices_SubPractices[Org],"Medium"),IF(AND(Practices_SubPractices[CP]=2,Practices_SubPractices[Org]="Medium"),SUMIFS(Practices_SubPractices[C],Practices_SubPractices[CP],"2",Practices_SubPractices[Org],"Medium"),IF(AND(Practices_SubPractices[CP]=3,Practices_SubPractices[Org]="Medium"),SUMIFS(Practices_SubPractices[C],Practices_SubPractices[CP],"3",Practices_SubPractices[Org],"Medium"),IF(AND(Practices_SubPractices[CP]=4,Practices_SubPractices[Org]="Medium"),SUMIFS(Practices_SubPractices[C],Practices_SubPractices[CP],"4",Practices_SubPractices[Org],"Medium"),IF(AND(Practices_SubPractices[CP]=5,Practices_SubPractices[Org]="Medium"),SUMIFS(Practices_SubPractices[C],Practices_SubPractices[CP],"5",Practices_SubPractices[Org],"Medium"),IF(AND(Practices_SubPractices[CP]=6,Practices_SubPractices[Org]="Medium"),SUMIFS(Practices_SubPractices[C],Practices_SubPractices[CP],"6",Practices_SubPractices[Org],"Medium"),IF(AND(Practices_SubPractices[CP]=7,Practices_SubPractices[Org] ="Medium"),SUMIFS(Practices_SubPractices[C],Practices_SubPractices[CP],"7",Practices_SubPractices[Org],"Medium"),IF(AND(Practices_SubPractices[CP]=8,Practices_SubPractices[Org] ="Medium"),SUMIFS(Practices_SubPractices[C],Practices_SubPractices[CP],"8",Practices_SubPractices[Org],"Medium"),IF(AND(Practices_SubPractices[CP]=9,Practices_SubPractices[Org] ="Medium"),SUMIFS(Practices_SubPractices[C],Practices_SubPractices[CP],"9",Practices_SubPractices[Org],"Medium"),IF(AND(Practices_SubPractices[CP]=10,Practices_SubPractices[Org] ="Medium"),SUMIFS(Practices_SubPractices[C],Practices_SubPractices[CP],"10",Practices_SubPractices[Org],"Medium"),IF(AND(Practices_SubPractices[CP]=1,Practices_SubPractices[Org]="Large"),SUMIFS(Practices_SubPractices[C],Practices_SubPractices[CP],"1",Practices_SubPractices[Org],"Large"),IF(AND(Practices_SubPractices[CP]=2,Practices_SubPractices[Org]="Large"),SUMIFS(Practices_SubPractices[C],Practices_SubPractices[CP],"2",Practices_SubPractices[Org],"Large"),IF(AND(Practices_SubPractices[CP]=3,Practices_SubPractices[Org]="Large"),SUMIFS(Practices_SubPractices[C],Practices_SubPractices[CP],"3",Practices_SubPractices[Org],"Large"),IF(AND(Practices_SubPractices[CP]=4,Practices_SubPractices[Org]="Large"),SUMIFS(Practices_SubPractices[C],Practices_SubPractices[CP],"4",Practices_SubPractices[Org],"Large"),IF(AND(Practices_SubPractices[CP]=5,Practices_SubPractices[Org]="Large"),SUMIFS(Practices_SubPractices[C],Practices_SubPractices[CP],"5",Practices_SubPractices[Org],"Large"),IF(AND(Practices_SubPractices[CP]=6,Practices_SubPractices[Org]="Large"),SUMIFS(Practices_SubPractices[C],Practices_SubPractices[CP],"6",Practices_SubPractices[Org],"Large"),IF(AND(Practices_SubPractices[CP]=7,Practices_SubPractices[Org] ="Large"),SUMIFS(Practices_SubPractices[C],Practices_SubPractices[CP],"7",Practices_SubPractices[Org],"Large"),IF(AND(Practices_SubPractices[CP]=8,Practices_SubPractices[Org] ="Large"),SUMIFS(Practices_SubPractices[C],Practices_SubPractices[CP],"8",Practices_SubPractices[Org],"Large"),IF(AND(Practices_SubPractices[CP]=9,Practices_SubPractices[Org] ="Large"),SUMIFS(Practices_SubPractices[C],Practices_SubPractices[CP],"9",Practices_SubPractices[Org],"Large"),IF(AND(Practices_SubPractices[CP]=10,Practices_SubPractices[Org] ="Large"),SUMIFS(Practices_SubPractices[C],Practices_SubPractices[CP],"10",Practices_SubPractices[Org],"Large"),"TBD"))))))))))))))))))))))))))))))</f>
        <v>5</v>
      </c>
      <c r="Q89" s="77">
        <f>IF(AND(Practices_SubPractices[CP]=1,Practices_SubPractices[Org]="Small"),SUMIFS(Practices_SubPractices[D],Practices_SubPractices[CP],"1",Practices_SubPractices[Org],"Small"),IF(AND(Practices_SubPractices[CP]=2,Practices_SubPractices[Org]="Small"),SUMIFS(Practices_SubPractices[D],Practices_SubPractices[CP],"2",Practices_SubPractices[Org],"Small"),IF(AND(Practices_SubPractices[CP]=3,Practices_SubPractices[Org]="Small"),SUMIFS(Practices_SubPractices[D],Practices_SubPractices[CP],"3",Practices_SubPractices[Org],"Small"),IF(AND(Practices_SubPractices[CP]=4,Practices_SubPractices[Org]="Small"),SUMIFS(Practices_SubPractices[D],Practices_SubPractices[CP],"4",Practices_SubPractices[Org],"Small"),IF(AND(Practices_SubPractices[CP]=5,Practices_SubPractices[Org]="Small"),SUMIFS(Practices_SubPractices[D],Practices_SubPractices[CP],"5",Practices_SubPractices[Org],"Small"),IF(AND(Practices_SubPractices[CP]=6,Practices_SubPractices[Org]="Small"),SUMIFS(Practices_SubPractices[D],Practices_SubPractices[CP],"6",Practices_SubPractices[Org],"Small"),IF(AND(Practices_SubPractices[CP]=7,Practices_SubPractices[Org] ="Small"),SUMIFS(Practices_SubPractices[D],Practices_SubPractices[CP],"7",Practices_SubPractices[Org],"Small"),IF(AND(Practices_SubPractices[CP]=8,Practices_SubPractices[Org] ="Small"),SUMIFS(Practices_SubPractices[D],Practices_SubPractices[CP],"8",Practices_SubPractices[Org],"Small"),IF(AND(Practices_SubPractices[CP]=9,Practices_SubPractices[Org] ="Small"),SUMIFS(Practices_SubPractices[D],Practices_SubPractices[CP],"9",Practices_SubPractices[Org],"Small"),IF(AND(Practices_SubPractices[CP]=10,Practices_SubPractices[Org] ="Small"),SUMIFS(Practices_SubPractices[D],Practices_SubPractices[CP],"10",Practices_SubPractices[Org],"Small"),IF(AND(Practices_SubPractices[CP]=1,Practices_SubPractices[Org]="Medium"),SUMIFS(Practices_SubPractices[D],Practices_SubPractices[CP],"1",Practices_SubPractices[Org],"Medium"),IF(AND(Practices_SubPractices[CP]=2,Practices_SubPractices[Org]="Medium"),SUMIFS(Practices_SubPractices[D],Practices_SubPractices[CP],"2",Practices_SubPractices[Org],"Medium"),IF(AND(Practices_SubPractices[CP]=3,Practices_SubPractices[Org]="Medium"),SUMIFS(Practices_SubPractices[D],Practices_SubPractices[CP],"3",Practices_SubPractices[Org],"Medium"),IF(AND(Practices_SubPractices[CP]=4,Practices_SubPractices[Org]="Medium"),SUMIFS(Practices_SubPractices[D],Practices_SubPractices[CP],"4",Practices_SubPractices[Org],"Medium"),IF(AND(Practices_SubPractices[CP]=5,Practices_SubPractices[Org]="Medium"),SUMIFS(Practices_SubPractices[D],Practices_SubPractices[CP],"5",Practices_SubPractices[Org],"Medium"),IF(AND(Practices_SubPractices[CP]=6,Practices_SubPractices[Org]="Medium"),SUMIFS(Practices_SubPractices[D],Practices_SubPractices[CP],"6",Practices_SubPractices[Org],"Medium"),IF(AND(Practices_SubPractices[CP]=7,Practices_SubPractices[Org] ="Medium"),SUMIFS(Practices_SubPractices[D],Practices_SubPractices[CP],"7",Practices_SubPractices[Org],"Medium"),IF(AND(Practices_SubPractices[CP]=8,Practices_SubPractices[Org] ="Medium"),SUMIFS(Practices_SubPractices[D],Practices_SubPractices[CP],"8",Practices_SubPractices[Org],"Medium"),IF(AND(Practices_SubPractices[CP]=9,Practices_SubPractices[Org] ="Medium"),SUMIFS(Practices_SubPractices[D],Practices_SubPractices[CP],"9",Practices_SubPractices[Org],"Medium"),IF(AND(Practices_SubPractices[CP]=10,Practices_SubPractices[Org] ="Medium"),SUMIFS(Practices_SubPractices[D],Practices_SubPractices[CP],"10",Practices_SubPractices[Org],"Medium"),IF(AND(Practices_SubPractices[CP]=1,Practices_SubPractices[Org]="Large"),SUMIFS(Practices_SubPractices[D],Practices_SubPractices[CP],"1",Practices_SubPractices[Org],"Large"),IF(AND(Practices_SubPractices[CP]=2,Practices_SubPractices[Org]="Large"),SUMIFS(Practices_SubPractices[D],Practices_SubPractices[CP],"2",Practices_SubPractices[Org],"Large"),IF(AND(Practices_SubPractices[CP]=3,Practices_SubPractices[Org]="Large"),SUMIFS(Practices_SubPractices[D],Practices_SubPractices[CP],"3",Practices_SubPractices[Org],"Large"),IF(AND(Practices_SubPractices[CP]=4,Practices_SubPractices[Org]="Large"),SUMIFS(Practices_SubPractices[D],Practices_SubPractices[CP],"4",Practices_SubPractices[Org],"Large"),IF(AND(Practices_SubPractices[CP]=5,Practices_SubPractices[Org]="Large"),SUMIFS(Practices_SubPractices[D],Practices_SubPractices[CP],"5",Practices_SubPractices[Org],"Large"),IF(AND(Practices_SubPractices[CP]=6,Practices_SubPractices[Org]="Large"),SUMIFS(Practices_SubPractices[D],Practices_SubPractices[CP],"6",Practices_SubPractices[Org],"Large"),IF(AND(Practices_SubPractices[CP]=7,Practices_SubPractices[Org] ="Large"),SUMIFS(Practices_SubPractices[D],Practices_SubPractices[CP],"7",Practices_SubPractices[Org],"Large"),IF(AND(Practices_SubPractices[CP]=8,Practices_SubPractices[Org] ="Large"),SUMIFS(Practices_SubPractices[D],Practices_SubPractices[CP],"8",Practices_SubPractices[Org],"Large"),IF(AND(Practices_SubPractices[CP]=9,Practices_SubPractices[Org] ="Large"),SUMIFS(Practices_SubPractices[D],Practices_SubPractices[CP],"9",Practices_SubPractices[Org],"Large"),IF(AND(Practices_SubPractices[CP]=10,Practices_SubPractices[Org] ="Large"),SUMIFS(Practices_SubPractices[D],Practices_SubPractices[CP],"10",Practices_SubPractices[Org],"Large"),"TBD"))))))))))))))))))))))))))))))</f>
        <v>14</v>
      </c>
      <c r="R89" s="77">
        <f>IF(AND(Practices_SubPractices[CP]=1,Practices_SubPractices[Org]="Small"),SUMIFS(Practices_SubPractices[E],Practices_SubPractices[CP],"1",Practices_SubPractices[Org],"Small"),IF(AND(Practices_SubPractices[CP]=2,Practices_SubPractices[Org]="Small"),SUMIFS(Practices_SubPractices[E],Practices_SubPractices[CP],"2",Practices_SubPractices[Org],"Small"),IF(AND(Practices_SubPractices[CP]=3,Practices_SubPractices[Org]="Small"),SUMIFS(Practices_SubPractices[E],Practices_SubPractices[CP],"3",Practices_SubPractices[Org],"Small"),IF(AND(Practices_SubPractices[CP]=4,Practices_SubPractices[Org]="Small"),SUMIFS(Practices_SubPractices[E],Practices_SubPractices[CP],"4",Practices_SubPractices[Org],"Small"),IF(AND(Practices_SubPractices[CP]=5,Practices_SubPractices[Org]="Small"),SUMIFS(Practices_SubPractices[E],Practices_SubPractices[CP],"5",Practices_SubPractices[Org],"Small"),IF(AND(Practices_SubPractices[CP]=6,Practices_SubPractices[Org]="Small"),SUMIFS(Practices_SubPractices[E],Practices_SubPractices[CP],"6",Practices_SubPractices[Org],"Small"),IF(AND(Practices_SubPractices[CP]=7,Practices_SubPractices[Org] ="Small"),SUMIFS(Practices_SubPractices[E],Practices_SubPractices[CP],"7",Practices_SubPractices[Org],"Small"),IF(AND(Practices_SubPractices[CP]=8,Practices_SubPractices[Org] ="Small"),SUMIFS(Practices_SubPractices[E],Practices_SubPractices[CP],"8",Practices_SubPractices[Org],"Small"),IF(AND(Practices_SubPractices[CP]=9,Practices_SubPractices[Org] ="Small"),SUMIFS(Practices_SubPractices[E],Practices_SubPractices[CP],"9",Practices_SubPractices[Org],"Small"),IF(AND(Practices_SubPractices[CP]=10,Practices_SubPractices[Org] ="Small"),SUMIFS(Practices_SubPractices[E],Practices_SubPractices[CP],"10",Practices_SubPractices[Org],"Small"),IF(AND(Practices_SubPractices[CP]=1,Practices_SubPractices[Org]="Medium"),SUMIFS(Practices_SubPractices[E],Practices_SubPractices[CP],"1",Practices_SubPractices[Org],"Medium"),IF(AND(Practices_SubPractices[CP]=2,Practices_SubPractices[Org]="Medium"),SUMIFS(Practices_SubPractices[E],Practices_SubPractices[CP],"2",Practices_SubPractices[Org],"Medium"),IF(AND(Practices_SubPractices[CP]=3,Practices_SubPractices[Org]="Medium"),SUMIFS(Practices_SubPractices[E],Practices_SubPractices[CP],"3",Practices_SubPractices[Org],"Medium"),IF(AND(Practices_SubPractices[CP]=4,Practices_SubPractices[Org]="Medium"),SUMIFS(Practices_SubPractices[E],Practices_SubPractices[CP],"4",Practices_SubPractices[Org],"Medium"),IF(AND(Practices_SubPractices[CP]=5,Practices_SubPractices[Org]="Medium"),SUMIFS(Practices_SubPractices[E],Practices_SubPractices[CP],"5",Practices_SubPractices[Org],"Medium"),IF(AND(Practices_SubPractices[CP]=6,Practices_SubPractices[Org]="Medium"),SUMIFS(Practices_SubPractices[E],Practices_SubPractices[CP],"6",Practices_SubPractices[Org],"Medium"),IF(AND(Practices_SubPractices[CP]=7,Practices_SubPractices[Org] ="Medium"),SUMIFS(Practices_SubPractices[E],Practices_SubPractices[CP],"7",Practices_SubPractices[Org],"Medium"),IF(AND(Practices_SubPractices[CP]=8,Practices_SubPractices[Org] ="Medium"),SUMIFS(Practices_SubPractices[E],Practices_SubPractices[CP],"8",Practices_SubPractices[Org],"Medium"),IF(AND(Practices_SubPractices[CP]=9,Practices_SubPractices[Org] ="Medium"),SUMIFS(Practices_SubPractices[E],Practices_SubPractices[CP],"9",Practices_SubPractices[Org],"Medium"),IF(AND(Practices_SubPractices[CP]=10,Practices_SubPractices[Org] ="Medium"),SUMIFS(Practices_SubPractices[E],Practices_SubPractices[CP],"10",Practices_SubPractices[Org],"Medium"),IF(AND(Practices_SubPractices[CP]=1,Practices_SubPractices[Org]="Large"),SUMIFS(Practices_SubPractices[E],Practices_SubPractices[CP],"1",Practices_SubPractices[Org],"Large"),IF(AND(Practices_SubPractices[CP]=2,Practices_SubPractices[Org]="Large"),SUMIFS(Practices_SubPractices[E],Practices_SubPractices[CP],"2",Practices_SubPractices[Org],"Large"),IF(AND(Practices_SubPractices[CP]=3,Practices_SubPractices[Org]="Large"),SUMIFS(Practices_SubPractices[E],Practices_SubPractices[CP],"3",Practices_SubPractices[Org],"Large"),IF(AND(Practices_SubPractices[CP]=4,Practices_SubPractices[Org]="Large"),SUMIFS(Practices_SubPractices[E],Practices_SubPractices[CP],"4",Practices_SubPractices[Org],"Large"),IF(AND(Practices_SubPractices[CP]=5,Practices_SubPractices[Org]="Large"),SUMIFS(Practices_SubPractices[E],Practices_SubPractices[CP],"5",Practices_SubPractices[Org],"Large"),IF(AND(Practices_SubPractices[CP]=6,Practices_SubPractices[Org]="Large"),SUMIFS(Practices_SubPractices[E],Practices_SubPractices[CP],"6",Practices_SubPractices[Org],"Large"),IF(AND(Practices_SubPractices[CP]=7,Practices_SubPractices[Org] ="Large"),SUMIFS(Practices_SubPractices[E],Practices_SubPractices[CP],"7",Practices_SubPractices[Org],"Large"),IF(AND(Practices_SubPractices[CP]=8,Practices_SubPractices[Org] ="Large"),SUMIFS(Practices_SubPractices[E],Practices_SubPractices[CP],"8",Practices_SubPractices[Org],"Large"),IF(AND(Practices_SubPractices[CP]=9,Practices_SubPractices[Org] ="Large"),SUMIFS(Practices_SubPractices[E],Practices_SubPractices[CP],"9",Practices_SubPractices[Org],"Large"),IF(AND(Practices_SubPractices[CP]=10,Practices_SubPractices[Org] ="Large"),SUMIFS(Practices_SubPractices[E],Practices_SubPractices[CP],"10",Practices_SubPractices[Org],"Large"),"TBD"))))))))))))))))))))))))))))))</f>
        <v>9</v>
      </c>
      <c r="S89" s="87" t="s">
        <v>402</v>
      </c>
    </row>
    <row r="90" spans="1:19" x14ac:dyDescent="0.35">
      <c r="A90" s="73">
        <v>80</v>
      </c>
      <c r="B90" s="73">
        <v>9</v>
      </c>
      <c r="C90" s="73" t="s">
        <v>11</v>
      </c>
      <c r="D90" s="73" t="str">
        <f>Practices_SubPractices[[#This Row],[CP]]&amp;LEFT(Practices_SubPractices[[#This Row],[Org]],1)</f>
        <v>9M</v>
      </c>
      <c r="E90" s="73" t="s">
        <v>265</v>
      </c>
      <c r="F90" s="74" t="s">
        <v>161</v>
      </c>
      <c r="G90" s="74" t="s">
        <v>166</v>
      </c>
      <c r="H90" s="74" t="s">
        <v>258</v>
      </c>
      <c r="I90" s="75">
        <v>0</v>
      </c>
      <c r="J90" s="75">
        <v>1</v>
      </c>
      <c r="K90" s="75">
        <v>0</v>
      </c>
      <c r="L90" s="75">
        <v>1</v>
      </c>
      <c r="M90" s="75">
        <v>2</v>
      </c>
      <c r="N90" s="76"/>
      <c r="O90" s="77">
        <f>IF(AND(Practices_SubPractices[CP]=1,Practices_SubPractices[Org]="Small"),SUMIFS(Practices_SubPractices[B],Practices_SubPractices[CP],"1",Practices_SubPractices[Org],"Small"),IF(AND(Practices_SubPractices[CP]=2,Practices_SubPractices[Org]="Small"),SUMIFS(Practices_SubPractices[B],Practices_SubPractices[CP],"2",Practices_SubPractices[Org],"Small"),IF(AND(Practices_SubPractices[CP]=3,Practices_SubPractices[Org]="Small"),SUMIFS(Practices_SubPractices[B],Practices_SubPractices[CP],"3",Practices_SubPractices[Org],"Small"),IF(AND(Practices_SubPractices[CP]=4,Practices_SubPractices[Org]="Small"),SUMIFS(Practices_SubPractices[B],Practices_SubPractices[CP],"4",Practices_SubPractices[Org],"Small"),IF(AND(Practices_SubPractices[CP]=5,Practices_SubPractices[Org]="Small"),SUMIFS(Practices_SubPractices[B],Practices_SubPractices[CP],"5",Practices_SubPractices[Org],"Small"),IF(AND(Practices_SubPractices[CP]=6,Practices_SubPractices[Org]="Small"),SUMIFS(Practices_SubPractices[B],Practices_SubPractices[CP],"6",Practices_SubPractices[Org],"Small"),IF(AND(Practices_SubPractices[CP]=7,Practices_SubPractices[Org] ="Small"),SUMIFS(Practices_SubPractices[B],Practices_SubPractices[CP],"7",Practices_SubPractices[Org],"Small"),IF(AND(Practices_SubPractices[CP]=8,Practices_SubPractices[Org] ="Small"),SUMIFS(Practices_SubPractices[B],Practices_SubPractices[CP],"8",Practices_SubPractices[Org],"Small"),IF(AND(Practices_SubPractices[CP]=9,Practices_SubPractices[Org] ="Small"),SUMIFS(Practices_SubPractices[B],Practices_SubPractices[CP],"9",Practices_SubPractices[Org],"Small"),IF(AND(Practices_SubPractices[CP]=10,Practices_SubPractices[Org] ="Small"),SUMIFS(Practices_SubPractices[B],Practices_SubPractices[CP],"10",Practices_SubPractices[Org],"Small"),IF(AND(Practices_SubPractices[CP]=1,Practices_SubPractices[Org]="Medium"),SUMIFS(Practices_SubPractices[B],Practices_SubPractices[CP],"1",Practices_SubPractices[Org],"Medium"),IF(AND(Practices_SubPractices[CP]=2,Practices_SubPractices[Org]="Medium"),SUMIFS(Practices_SubPractices[B],Practices_SubPractices[CP],"2",Practices_SubPractices[Org],"Medium"),IF(AND(Practices_SubPractices[CP]=3,Practices_SubPractices[Org]="Medium"),SUMIFS(Practices_SubPractices[B],Practices_SubPractices[CP],"3",Practices_SubPractices[Org],"Medium"),IF(AND(Practices_SubPractices[CP]=4,Practices_SubPractices[Org]="Medium"),SUMIFS(Practices_SubPractices[B],Practices_SubPractices[CP],"4",Practices_SubPractices[Org],"Medium"),IF(AND(Practices_SubPractices[CP]=5,Practices_SubPractices[Org]="Medium"),SUMIFS(Practices_SubPractices[B],Practices_SubPractices[CP],"5",Practices_SubPractices[Org],"Medium"),IF(AND(Practices_SubPractices[CP]=6,Practices_SubPractices[Org]="Medium"),SUMIFS(Practices_SubPractices[B],Practices_SubPractices[CP],"6",Practices_SubPractices[Org],"Medium"),IF(AND(Practices_SubPractices[CP]=7,Practices_SubPractices[Org] ="Medium"),SUMIFS(Practices_SubPractices[B],Practices_SubPractices[CP],"7",Practices_SubPractices[Org],"Medium"),IF(AND(Practices_SubPractices[CP]=8,Practices_SubPractices[Org] ="Medium"),SUMIFS(Practices_SubPractices[B],Practices_SubPractices[CP],"8",Practices_SubPractices[Org],"Medium"),IF(AND(Practices_SubPractices[CP]=9,Practices_SubPractices[Org] ="Medium"),SUMIFS(Practices_SubPractices[B],Practices_SubPractices[CP],"9",Practices_SubPractices[Org],"Medium"),IF(AND(Practices_SubPractices[CP]=10,Practices_SubPractices[Org] ="Medium"),SUMIFS(Practices_SubPractices[B],Practices_SubPractices[CP],"10",Practices_SubPractices[Org],"Medium"),IF(AND(Practices_SubPractices[CP]=1,Practices_SubPractices[Org]="Large"),SUMIFS(Practices_SubPractices[B],Practices_SubPractices[CP],"1",Practices_SubPractices[Org],"Large"),IF(AND(Practices_SubPractices[CP]=2,Practices_SubPractices[Org]="Large"),SUMIFS(Practices_SubPractices[B],Practices_SubPractices[CP],"2",Practices_SubPractices[Org],"Large"),IF(AND(Practices_SubPractices[CP]=3,Practices_SubPractices[Org]="Large"),SUMIFS(Practices_SubPractices[B],Practices_SubPractices[CP],"3",Practices_SubPractices[Org],"Large"),IF(AND(Practices_SubPractices[CP]=4,Practices_SubPractices[Org]="Large"),SUMIFS(Practices_SubPractices[B],Practices_SubPractices[CP],"4",Practices_SubPractices[Org],"Large"),IF(AND(Practices_SubPractices[CP]=5,Practices_SubPractices[Org]="Large"),SUMIFS(Practices_SubPractices[B],Practices_SubPractices[CP],"5",Practices_SubPractices[Org],"Large"),IF(AND(Practices_SubPractices[CP]=6,Practices_SubPractices[Org]="Large"),SUMIFS(Practices_SubPractices[B],Practices_SubPractices[CP],"6",Practices_SubPractices[Org],"Large"),IF(AND(Practices_SubPractices[CP]=7,Practices_SubPractices[Org] ="Large"),SUMIFS(Practices_SubPractices[B],Practices_SubPractices[CP],"7",Practices_SubPractices[Org],"Large"),IF(AND(Practices_SubPractices[CP]=8,Practices_SubPractices[Org] ="Large"),SUMIFS(Practices_SubPractices[B],Practices_SubPractices[CP],"8",Practices_SubPractices[Org],"Large"),IF(AND(Practices_SubPractices[CP]=9,Practices_SubPractices[Org] ="Large"),SUMIFS(Practices_SubPractices[B],Practices_SubPractices[CP],"9",Practices_SubPractices[Org],"Large"),IF(AND(Practices_SubPractices[CP]=10,Practices_SubPractices[Org] ="Large"),SUMIFS(Practices_SubPractices[B],Practices_SubPractices[CP],"10",Practices_SubPractices[Org],"Large"),"TBD"))))))))))))))))))))))))))))))</f>
        <v>4</v>
      </c>
      <c r="P90" s="77">
        <f>IF(AND(Practices_SubPractices[CP]=1,Practices_SubPractices[Org]="Small"),SUMIFS(Practices_SubPractices[C],Practices_SubPractices[CP],"1",Practices_SubPractices[Org],"Small"),IF(AND(Practices_SubPractices[CP]=2,Practices_SubPractices[Org]="Small"),SUMIFS(Practices_SubPractices[C],Practices_SubPractices[CP],"2",Practices_SubPractices[Org],"Small"),IF(AND(Practices_SubPractices[CP]=3,Practices_SubPractices[Org]="Small"),SUMIFS(Practices_SubPractices[C],Practices_SubPractices[CP],"3",Practices_SubPractices[Org],"Small"),IF(AND(Practices_SubPractices[CP]=4,Practices_SubPractices[Org]="Small"),SUMIFS(Practices_SubPractices[C],Practices_SubPractices[CP],"4",Practices_SubPractices[Org],"Small"),IF(AND(Practices_SubPractices[CP]=5,Practices_SubPractices[Org]="Small"),SUMIFS(Practices_SubPractices[C],Practices_SubPractices[CP],"5",Practices_SubPractices[Org],"Small"),IF(AND(Practices_SubPractices[CP]=6,Practices_SubPractices[Org]="Small"),SUMIFS(Practices_SubPractices[C],Practices_SubPractices[CP],"6",Practices_SubPractices[Org],"Small"),IF(AND(Practices_SubPractices[CP]=7,Practices_SubPractices[Org] ="Small"),SUMIFS(Practices_SubPractices[C],Practices_SubPractices[CP],"7",Practices_SubPractices[Org],"Small"),IF(AND(Practices_SubPractices[CP]=8,Practices_SubPractices[Org] ="Small"),SUMIFS(Practices_SubPractices[C],Practices_SubPractices[CP],"8",Practices_SubPractices[Org],"Small"),IF(AND(Practices_SubPractices[CP]=9,Practices_SubPractices[Org] ="Small"),SUMIFS(Practices_SubPractices[C],Practices_SubPractices[CP],"9",Practices_SubPractices[Org],"Small"),IF(AND(Practices_SubPractices[CP]=10,Practices_SubPractices[Org] ="Small"),SUMIFS(Practices_SubPractices[C],Practices_SubPractices[CP],"10",Practices_SubPractices[Org],"Small"),IF(AND(Practices_SubPractices[CP]=1,Practices_SubPractices[Org]="Medium"),SUMIFS(Practices_SubPractices[C],Practices_SubPractices[CP],"1",Practices_SubPractices[Org],"Medium"),IF(AND(Practices_SubPractices[CP]=2,Practices_SubPractices[Org]="Medium"),SUMIFS(Practices_SubPractices[C],Practices_SubPractices[CP],"2",Practices_SubPractices[Org],"Medium"),IF(AND(Practices_SubPractices[CP]=3,Practices_SubPractices[Org]="Medium"),SUMIFS(Practices_SubPractices[C],Practices_SubPractices[CP],"3",Practices_SubPractices[Org],"Medium"),IF(AND(Practices_SubPractices[CP]=4,Practices_SubPractices[Org]="Medium"),SUMIFS(Practices_SubPractices[C],Practices_SubPractices[CP],"4",Practices_SubPractices[Org],"Medium"),IF(AND(Practices_SubPractices[CP]=5,Practices_SubPractices[Org]="Medium"),SUMIFS(Practices_SubPractices[C],Practices_SubPractices[CP],"5",Practices_SubPractices[Org],"Medium"),IF(AND(Practices_SubPractices[CP]=6,Practices_SubPractices[Org]="Medium"),SUMIFS(Practices_SubPractices[C],Practices_SubPractices[CP],"6",Practices_SubPractices[Org],"Medium"),IF(AND(Practices_SubPractices[CP]=7,Practices_SubPractices[Org] ="Medium"),SUMIFS(Practices_SubPractices[C],Practices_SubPractices[CP],"7",Practices_SubPractices[Org],"Medium"),IF(AND(Practices_SubPractices[CP]=8,Practices_SubPractices[Org] ="Medium"),SUMIFS(Practices_SubPractices[C],Practices_SubPractices[CP],"8",Practices_SubPractices[Org],"Medium"),IF(AND(Practices_SubPractices[CP]=9,Practices_SubPractices[Org] ="Medium"),SUMIFS(Practices_SubPractices[C],Practices_SubPractices[CP],"9",Practices_SubPractices[Org],"Medium"),IF(AND(Practices_SubPractices[CP]=10,Practices_SubPractices[Org] ="Medium"),SUMIFS(Practices_SubPractices[C],Practices_SubPractices[CP],"10",Practices_SubPractices[Org],"Medium"),IF(AND(Practices_SubPractices[CP]=1,Practices_SubPractices[Org]="Large"),SUMIFS(Practices_SubPractices[C],Practices_SubPractices[CP],"1",Practices_SubPractices[Org],"Large"),IF(AND(Practices_SubPractices[CP]=2,Practices_SubPractices[Org]="Large"),SUMIFS(Practices_SubPractices[C],Practices_SubPractices[CP],"2",Practices_SubPractices[Org],"Large"),IF(AND(Practices_SubPractices[CP]=3,Practices_SubPractices[Org]="Large"),SUMIFS(Practices_SubPractices[C],Practices_SubPractices[CP],"3",Practices_SubPractices[Org],"Large"),IF(AND(Practices_SubPractices[CP]=4,Practices_SubPractices[Org]="Large"),SUMIFS(Practices_SubPractices[C],Practices_SubPractices[CP],"4",Practices_SubPractices[Org],"Large"),IF(AND(Practices_SubPractices[CP]=5,Practices_SubPractices[Org]="Large"),SUMIFS(Practices_SubPractices[C],Practices_SubPractices[CP],"5",Practices_SubPractices[Org],"Large"),IF(AND(Practices_SubPractices[CP]=6,Practices_SubPractices[Org]="Large"),SUMIFS(Practices_SubPractices[C],Practices_SubPractices[CP],"6",Practices_SubPractices[Org],"Large"),IF(AND(Practices_SubPractices[CP]=7,Practices_SubPractices[Org] ="Large"),SUMIFS(Practices_SubPractices[C],Practices_SubPractices[CP],"7",Practices_SubPractices[Org],"Large"),IF(AND(Practices_SubPractices[CP]=8,Practices_SubPractices[Org] ="Large"),SUMIFS(Practices_SubPractices[C],Practices_SubPractices[CP],"8",Practices_SubPractices[Org],"Large"),IF(AND(Practices_SubPractices[CP]=9,Practices_SubPractices[Org] ="Large"),SUMIFS(Practices_SubPractices[C],Practices_SubPractices[CP],"9",Practices_SubPractices[Org],"Large"),IF(AND(Practices_SubPractices[CP]=10,Practices_SubPractices[Org] ="Large"),SUMIFS(Practices_SubPractices[C],Practices_SubPractices[CP],"10",Practices_SubPractices[Org],"Large"),"TBD"))))))))))))))))))))))))))))))</f>
        <v>0</v>
      </c>
      <c r="Q90" s="77">
        <f>IF(AND(Practices_SubPractices[CP]=1,Practices_SubPractices[Org]="Small"),SUMIFS(Practices_SubPractices[D],Practices_SubPractices[CP],"1",Practices_SubPractices[Org],"Small"),IF(AND(Practices_SubPractices[CP]=2,Practices_SubPractices[Org]="Small"),SUMIFS(Practices_SubPractices[D],Practices_SubPractices[CP],"2",Practices_SubPractices[Org],"Small"),IF(AND(Practices_SubPractices[CP]=3,Practices_SubPractices[Org]="Small"),SUMIFS(Practices_SubPractices[D],Practices_SubPractices[CP],"3",Practices_SubPractices[Org],"Small"),IF(AND(Practices_SubPractices[CP]=4,Practices_SubPractices[Org]="Small"),SUMIFS(Practices_SubPractices[D],Practices_SubPractices[CP],"4",Practices_SubPractices[Org],"Small"),IF(AND(Practices_SubPractices[CP]=5,Practices_SubPractices[Org]="Small"),SUMIFS(Practices_SubPractices[D],Practices_SubPractices[CP],"5",Practices_SubPractices[Org],"Small"),IF(AND(Practices_SubPractices[CP]=6,Practices_SubPractices[Org]="Small"),SUMIFS(Practices_SubPractices[D],Practices_SubPractices[CP],"6",Practices_SubPractices[Org],"Small"),IF(AND(Practices_SubPractices[CP]=7,Practices_SubPractices[Org] ="Small"),SUMIFS(Practices_SubPractices[D],Practices_SubPractices[CP],"7",Practices_SubPractices[Org],"Small"),IF(AND(Practices_SubPractices[CP]=8,Practices_SubPractices[Org] ="Small"),SUMIFS(Practices_SubPractices[D],Practices_SubPractices[CP],"8",Practices_SubPractices[Org],"Small"),IF(AND(Practices_SubPractices[CP]=9,Practices_SubPractices[Org] ="Small"),SUMIFS(Practices_SubPractices[D],Practices_SubPractices[CP],"9",Practices_SubPractices[Org],"Small"),IF(AND(Practices_SubPractices[CP]=10,Practices_SubPractices[Org] ="Small"),SUMIFS(Practices_SubPractices[D],Practices_SubPractices[CP],"10",Practices_SubPractices[Org],"Small"),IF(AND(Practices_SubPractices[CP]=1,Practices_SubPractices[Org]="Medium"),SUMIFS(Practices_SubPractices[D],Practices_SubPractices[CP],"1",Practices_SubPractices[Org],"Medium"),IF(AND(Practices_SubPractices[CP]=2,Practices_SubPractices[Org]="Medium"),SUMIFS(Practices_SubPractices[D],Practices_SubPractices[CP],"2",Practices_SubPractices[Org],"Medium"),IF(AND(Practices_SubPractices[CP]=3,Practices_SubPractices[Org]="Medium"),SUMIFS(Practices_SubPractices[D],Practices_SubPractices[CP],"3",Practices_SubPractices[Org],"Medium"),IF(AND(Practices_SubPractices[CP]=4,Practices_SubPractices[Org]="Medium"),SUMIFS(Practices_SubPractices[D],Practices_SubPractices[CP],"4",Practices_SubPractices[Org],"Medium"),IF(AND(Practices_SubPractices[CP]=5,Practices_SubPractices[Org]="Medium"),SUMIFS(Practices_SubPractices[D],Practices_SubPractices[CP],"5",Practices_SubPractices[Org],"Medium"),IF(AND(Practices_SubPractices[CP]=6,Practices_SubPractices[Org]="Medium"),SUMIFS(Practices_SubPractices[D],Practices_SubPractices[CP],"6",Practices_SubPractices[Org],"Medium"),IF(AND(Practices_SubPractices[CP]=7,Practices_SubPractices[Org] ="Medium"),SUMIFS(Practices_SubPractices[D],Practices_SubPractices[CP],"7",Practices_SubPractices[Org],"Medium"),IF(AND(Practices_SubPractices[CP]=8,Practices_SubPractices[Org] ="Medium"),SUMIFS(Practices_SubPractices[D],Practices_SubPractices[CP],"8",Practices_SubPractices[Org],"Medium"),IF(AND(Practices_SubPractices[CP]=9,Practices_SubPractices[Org] ="Medium"),SUMIFS(Practices_SubPractices[D],Practices_SubPractices[CP],"9",Practices_SubPractices[Org],"Medium"),IF(AND(Practices_SubPractices[CP]=10,Practices_SubPractices[Org] ="Medium"),SUMIFS(Practices_SubPractices[D],Practices_SubPractices[CP],"10",Practices_SubPractices[Org],"Medium"),IF(AND(Practices_SubPractices[CP]=1,Practices_SubPractices[Org]="Large"),SUMIFS(Practices_SubPractices[D],Practices_SubPractices[CP],"1",Practices_SubPractices[Org],"Large"),IF(AND(Practices_SubPractices[CP]=2,Practices_SubPractices[Org]="Large"),SUMIFS(Practices_SubPractices[D],Practices_SubPractices[CP],"2",Practices_SubPractices[Org],"Large"),IF(AND(Practices_SubPractices[CP]=3,Practices_SubPractices[Org]="Large"),SUMIFS(Practices_SubPractices[D],Practices_SubPractices[CP],"3",Practices_SubPractices[Org],"Large"),IF(AND(Practices_SubPractices[CP]=4,Practices_SubPractices[Org]="Large"),SUMIFS(Practices_SubPractices[D],Practices_SubPractices[CP],"4",Practices_SubPractices[Org],"Large"),IF(AND(Practices_SubPractices[CP]=5,Practices_SubPractices[Org]="Large"),SUMIFS(Practices_SubPractices[D],Practices_SubPractices[CP],"5",Practices_SubPractices[Org],"Large"),IF(AND(Practices_SubPractices[CP]=6,Practices_SubPractices[Org]="Large"),SUMIFS(Practices_SubPractices[D],Practices_SubPractices[CP],"6",Practices_SubPractices[Org],"Large"),IF(AND(Practices_SubPractices[CP]=7,Practices_SubPractices[Org] ="Large"),SUMIFS(Practices_SubPractices[D],Practices_SubPractices[CP],"7",Practices_SubPractices[Org],"Large"),IF(AND(Practices_SubPractices[CP]=8,Practices_SubPractices[Org] ="Large"),SUMIFS(Practices_SubPractices[D],Practices_SubPractices[CP],"8",Practices_SubPractices[Org],"Large"),IF(AND(Practices_SubPractices[CP]=9,Practices_SubPractices[Org] ="Large"),SUMIFS(Practices_SubPractices[D],Practices_SubPractices[CP],"9",Practices_SubPractices[Org],"Large"),IF(AND(Practices_SubPractices[CP]=10,Practices_SubPractices[Org] ="Large"),SUMIFS(Practices_SubPractices[D],Practices_SubPractices[CP],"10",Practices_SubPractices[Org],"Large"),"TBD"))))))))))))))))))))))))))))))</f>
        <v>4</v>
      </c>
      <c r="R90" s="77">
        <f>IF(AND(Practices_SubPractices[CP]=1,Practices_SubPractices[Org]="Small"),SUMIFS(Practices_SubPractices[E],Practices_SubPractices[CP],"1",Practices_SubPractices[Org],"Small"),IF(AND(Practices_SubPractices[CP]=2,Practices_SubPractices[Org]="Small"),SUMIFS(Practices_SubPractices[E],Practices_SubPractices[CP],"2",Practices_SubPractices[Org],"Small"),IF(AND(Practices_SubPractices[CP]=3,Practices_SubPractices[Org]="Small"),SUMIFS(Practices_SubPractices[E],Practices_SubPractices[CP],"3",Practices_SubPractices[Org],"Small"),IF(AND(Practices_SubPractices[CP]=4,Practices_SubPractices[Org]="Small"),SUMIFS(Practices_SubPractices[E],Practices_SubPractices[CP],"4",Practices_SubPractices[Org],"Small"),IF(AND(Practices_SubPractices[CP]=5,Practices_SubPractices[Org]="Small"),SUMIFS(Practices_SubPractices[E],Practices_SubPractices[CP],"5",Practices_SubPractices[Org],"Small"),IF(AND(Practices_SubPractices[CP]=6,Practices_SubPractices[Org]="Small"),SUMIFS(Practices_SubPractices[E],Practices_SubPractices[CP],"6",Practices_SubPractices[Org],"Small"),IF(AND(Practices_SubPractices[CP]=7,Practices_SubPractices[Org] ="Small"),SUMIFS(Practices_SubPractices[E],Practices_SubPractices[CP],"7",Practices_SubPractices[Org],"Small"),IF(AND(Practices_SubPractices[CP]=8,Practices_SubPractices[Org] ="Small"),SUMIFS(Practices_SubPractices[E],Practices_SubPractices[CP],"8",Practices_SubPractices[Org],"Small"),IF(AND(Practices_SubPractices[CP]=9,Practices_SubPractices[Org] ="Small"),SUMIFS(Practices_SubPractices[E],Practices_SubPractices[CP],"9",Practices_SubPractices[Org],"Small"),IF(AND(Practices_SubPractices[CP]=10,Practices_SubPractices[Org] ="Small"),SUMIFS(Practices_SubPractices[E],Practices_SubPractices[CP],"10",Practices_SubPractices[Org],"Small"),IF(AND(Practices_SubPractices[CP]=1,Practices_SubPractices[Org]="Medium"),SUMIFS(Practices_SubPractices[E],Practices_SubPractices[CP],"1",Practices_SubPractices[Org],"Medium"),IF(AND(Practices_SubPractices[CP]=2,Practices_SubPractices[Org]="Medium"),SUMIFS(Practices_SubPractices[E],Practices_SubPractices[CP],"2",Practices_SubPractices[Org],"Medium"),IF(AND(Practices_SubPractices[CP]=3,Practices_SubPractices[Org]="Medium"),SUMIFS(Practices_SubPractices[E],Practices_SubPractices[CP],"3",Practices_SubPractices[Org],"Medium"),IF(AND(Practices_SubPractices[CP]=4,Practices_SubPractices[Org]="Medium"),SUMIFS(Practices_SubPractices[E],Practices_SubPractices[CP],"4",Practices_SubPractices[Org],"Medium"),IF(AND(Practices_SubPractices[CP]=5,Practices_SubPractices[Org]="Medium"),SUMIFS(Practices_SubPractices[E],Practices_SubPractices[CP],"5",Practices_SubPractices[Org],"Medium"),IF(AND(Practices_SubPractices[CP]=6,Practices_SubPractices[Org]="Medium"),SUMIFS(Practices_SubPractices[E],Practices_SubPractices[CP],"6",Practices_SubPractices[Org],"Medium"),IF(AND(Practices_SubPractices[CP]=7,Practices_SubPractices[Org] ="Medium"),SUMIFS(Practices_SubPractices[E],Practices_SubPractices[CP],"7",Practices_SubPractices[Org],"Medium"),IF(AND(Practices_SubPractices[CP]=8,Practices_SubPractices[Org] ="Medium"),SUMIFS(Practices_SubPractices[E],Practices_SubPractices[CP],"8",Practices_SubPractices[Org],"Medium"),IF(AND(Practices_SubPractices[CP]=9,Practices_SubPractices[Org] ="Medium"),SUMIFS(Practices_SubPractices[E],Practices_SubPractices[CP],"9",Practices_SubPractices[Org],"Medium"),IF(AND(Practices_SubPractices[CP]=10,Practices_SubPractices[Org] ="Medium"),SUMIFS(Practices_SubPractices[E],Practices_SubPractices[CP],"10",Practices_SubPractices[Org],"Medium"),IF(AND(Practices_SubPractices[CP]=1,Practices_SubPractices[Org]="Large"),SUMIFS(Practices_SubPractices[E],Practices_SubPractices[CP],"1",Practices_SubPractices[Org],"Large"),IF(AND(Practices_SubPractices[CP]=2,Practices_SubPractices[Org]="Large"),SUMIFS(Practices_SubPractices[E],Practices_SubPractices[CP],"2",Practices_SubPractices[Org],"Large"),IF(AND(Practices_SubPractices[CP]=3,Practices_SubPractices[Org]="Large"),SUMIFS(Practices_SubPractices[E],Practices_SubPractices[CP],"3",Practices_SubPractices[Org],"Large"),IF(AND(Practices_SubPractices[CP]=4,Practices_SubPractices[Org]="Large"),SUMIFS(Practices_SubPractices[E],Practices_SubPractices[CP],"4",Practices_SubPractices[Org],"Large"),IF(AND(Practices_SubPractices[CP]=5,Practices_SubPractices[Org]="Large"),SUMIFS(Practices_SubPractices[E],Practices_SubPractices[CP],"5",Practices_SubPractices[Org],"Large"),IF(AND(Practices_SubPractices[CP]=6,Practices_SubPractices[Org]="Large"),SUMIFS(Practices_SubPractices[E],Practices_SubPractices[CP],"6",Practices_SubPractices[Org],"Large"),IF(AND(Practices_SubPractices[CP]=7,Practices_SubPractices[Org] ="Large"),SUMIFS(Practices_SubPractices[E],Practices_SubPractices[CP],"7",Practices_SubPractices[Org],"Large"),IF(AND(Practices_SubPractices[CP]=8,Practices_SubPractices[Org] ="Large"),SUMIFS(Practices_SubPractices[E],Practices_SubPractices[CP],"8",Practices_SubPractices[Org],"Large"),IF(AND(Practices_SubPractices[CP]=9,Practices_SubPractices[Org] ="Large"),SUMIFS(Practices_SubPractices[E],Practices_SubPractices[CP],"9",Practices_SubPractices[Org],"Large"),IF(AND(Practices_SubPractices[CP]=10,Practices_SubPractices[Org] ="Large"),SUMIFS(Practices_SubPractices[E],Practices_SubPractices[CP],"10",Practices_SubPractices[Org],"Large"),"TBD"))))))))))))))))))))))))))))))</f>
        <v>10</v>
      </c>
      <c r="S90" s="87" t="s">
        <v>428</v>
      </c>
    </row>
    <row r="91" spans="1:19" x14ac:dyDescent="0.35">
      <c r="A91" s="73">
        <v>81</v>
      </c>
      <c r="B91" s="73">
        <v>9</v>
      </c>
      <c r="C91" s="73" t="s">
        <v>12</v>
      </c>
      <c r="D91" s="73" t="str">
        <f>Practices_SubPractices[[#This Row],[CP]]&amp;LEFT(Practices_SubPractices[[#This Row],[Org]],1)</f>
        <v>9L</v>
      </c>
      <c r="E91" s="73" t="s">
        <v>265</v>
      </c>
      <c r="F91" s="74" t="s">
        <v>161</v>
      </c>
      <c r="G91" s="74" t="s">
        <v>166</v>
      </c>
      <c r="H91" s="74" t="s">
        <v>258</v>
      </c>
      <c r="I91" s="75">
        <v>0</v>
      </c>
      <c r="J91" s="75">
        <v>1</v>
      </c>
      <c r="K91" s="75">
        <v>0</v>
      </c>
      <c r="L91" s="75">
        <v>1</v>
      </c>
      <c r="M91" s="75">
        <v>2</v>
      </c>
      <c r="N91" s="76"/>
      <c r="O91" s="77">
        <f>IF(AND(Practices_SubPractices[CP]=1,Practices_SubPractices[Org]="Small"),SUMIFS(Practices_SubPractices[B],Practices_SubPractices[CP],"1",Practices_SubPractices[Org],"Small"),IF(AND(Practices_SubPractices[CP]=2,Practices_SubPractices[Org]="Small"),SUMIFS(Practices_SubPractices[B],Practices_SubPractices[CP],"2",Practices_SubPractices[Org],"Small"),IF(AND(Practices_SubPractices[CP]=3,Practices_SubPractices[Org]="Small"),SUMIFS(Practices_SubPractices[B],Practices_SubPractices[CP],"3",Practices_SubPractices[Org],"Small"),IF(AND(Practices_SubPractices[CP]=4,Practices_SubPractices[Org]="Small"),SUMIFS(Practices_SubPractices[B],Practices_SubPractices[CP],"4",Practices_SubPractices[Org],"Small"),IF(AND(Practices_SubPractices[CP]=5,Practices_SubPractices[Org]="Small"),SUMIFS(Practices_SubPractices[B],Practices_SubPractices[CP],"5",Practices_SubPractices[Org],"Small"),IF(AND(Practices_SubPractices[CP]=6,Practices_SubPractices[Org]="Small"),SUMIFS(Practices_SubPractices[B],Practices_SubPractices[CP],"6",Practices_SubPractices[Org],"Small"),IF(AND(Practices_SubPractices[CP]=7,Practices_SubPractices[Org] ="Small"),SUMIFS(Practices_SubPractices[B],Practices_SubPractices[CP],"7",Practices_SubPractices[Org],"Small"),IF(AND(Practices_SubPractices[CP]=8,Practices_SubPractices[Org] ="Small"),SUMIFS(Practices_SubPractices[B],Practices_SubPractices[CP],"8",Practices_SubPractices[Org],"Small"),IF(AND(Practices_SubPractices[CP]=9,Practices_SubPractices[Org] ="Small"),SUMIFS(Practices_SubPractices[B],Practices_SubPractices[CP],"9",Practices_SubPractices[Org],"Small"),IF(AND(Practices_SubPractices[CP]=10,Practices_SubPractices[Org] ="Small"),SUMIFS(Practices_SubPractices[B],Practices_SubPractices[CP],"10",Practices_SubPractices[Org],"Small"),IF(AND(Practices_SubPractices[CP]=1,Practices_SubPractices[Org]="Medium"),SUMIFS(Practices_SubPractices[B],Practices_SubPractices[CP],"1",Practices_SubPractices[Org],"Medium"),IF(AND(Practices_SubPractices[CP]=2,Practices_SubPractices[Org]="Medium"),SUMIFS(Practices_SubPractices[B],Practices_SubPractices[CP],"2",Practices_SubPractices[Org],"Medium"),IF(AND(Practices_SubPractices[CP]=3,Practices_SubPractices[Org]="Medium"),SUMIFS(Practices_SubPractices[B],Practices_SubPractices[CP],"3",Practices_SubPractices[Org],"Medium"),IF(AND(Practices_SubPractices[CP]=4,Practices_SubPractices[Org]="Medium"),SUMIFS(Practices_SubPractices[B],Practices_SubPractices[CP],"4",Practices_SubPractices[Org],"Medium"),IF(AND(Practices_SubPractices[CP]=5,Practices_SubPractices[Org]="Medium"),SUMIFS(Practices_SubPractices[B],Practices_SubPractices[CP],"5",Practices_SubPractices[Org],"Medium"),IF(AND(Practices_SubPractices[CP]=6,Practices_SubPractices[Org]="Medium"),SUMIFS(Practices_SubPractices[B],Practices_SubPractices[CP],"6",Practices_SubPractices[Org],"Medium"),IF(AND(Practices_SubPractices[CP]=7,Practices_SubPractices[Org] ="Medium"),SUMIFS(Practices_SubPractices[B],Practices_SubPractices[CP],"7",Practices_SubPractices[Org],"Medium"),IF(AND(Practices_SubPractices[CP]=8,Practices_SubPractices[Org] ="Medium"),SUMIFS(Practices_SubPractices[B],Practices_SubPractices[CP],"8",Practices_SubPractices[Org],"Medium"),IF(AND(Practices_SubPractices[CP]=9,Practices_SubPractices[Org] ="Medium"),SUMIFS(Practices_SubPractices[B],Practices_SubPractices[CP],"9",Practices_SubPractices[Org],"Medium"),IF(AND(Practices_SubPractices[CP]=10,Practices_SubPractices[Org] ="Medium"),SUMIFS(Practices_SubPractices[B],Practices_SubPractices[CP],"10",Practices_SubPractices[Org],"Medium"),IF(AND(Practices_SubPractices[CP]=1,Practices_SubPractices[Org]="Large"),SUMIFS(Practices_SubPractices[B],Practices_SubPractices[CP],"1",Practices_SubPractices[Org],"Large"),IF(AND(Practices_SubPractices[CP]=2,Practices_SubPractices[Org]="Large"),SUMIFS(Practices_SubPractices[B],Practices_SubPractices[CP],"2",Practices_SubPractices[Org],"Large"),IF(AND(Practices_SubPractices[CP]=3,Practices_SubPractices[Org]="Large"),SUMIFS(Practices_SubPractices[B],Practices_SubPractices[CP],"3",Practices_SubPractices[Org],"Large"),IF(AND(Practices_SubPractices[CP]=4,Practices_SubPractices[Org]="Large"),SUMIFS(Practices_SubPractices[B],Practices_SubPractices[CP],"4",Practices_SubPractices[Org],"Large"),IF(AND(Practices_SubPractices[CP]=5,Practices_SubPractices[Org]="Large"),SUMIFS(Practices_SubPractices[B],Practices_SubPractices[CP],"5",Practices_SubPractices[Org],"Large"),IF(AND(Practices_SubPractices[CP]=6,Practices_SubPractices[Org]="Large"),SUMIFS(Practices_SubPractices[B],Practices_SubPractices[CP],"6",Practices_SubPractices[Org],"Large"),IF(AND(Practices_SubPractices[CP]=7,Practices_SubPractices[Org] ="Large"),SUMIFS(Practices_SubPractices[B],Practices_SubPractices[CP],"7",Practices_SubPractices[Org],"Large"),IF(AND(Practices_SubPractices[CP]=8,Practices_SubPractices[Org] ="Large"),SUMIFS(Practices_SubPractices[B],Practices_SubPractices[CP],"8",Practices_SubPractices[Org],"Large"),IF(AND(Practices_SubPractices[CP]=9,Practices_SubPractices[Org] ="Large"),SUMIFS(Practices_SubPractices[B],Practices_SubPractices[CP],"9",Practices_SubPractices[Org],"Large"),IF(AND(Practices_SubPractices[CP]=10,Practices_SubPractices[Org] ="Large"),SUMIFS(Practices_SubPractices[B],Practices_SubPractices[CP],"10",Practices_SubPractices[Org],"Large"),"TBD"))))))))))))))))))))))))))))))</f>
        <v>6</v>
      </c>
      <c r="P91" s="77">
        <f>IF(AND(Practices_SubPractices[CP]=1,Practices_SubPractices[Org]="Small"),SUMIFS(Practices_SubPractices[C],Practices_SubPractices[CP],"1",Practices_SubPractices[Org],"Small"),IF(AND(Practices_SubPractices[CP]=2,Practices_SubPractices[Org]="Small"),SUMIFS(Practices_SubPractices[C],Practices_SubPractices[CP],"2",Practices_SubPractices[Org],"Small"),IF(AND(Practices_SubPractices[CP]=3,Practices_SubPractices[Org]="Small"),SUMIFS(Practices_SubPractices[C],Practices_SubPractices[CP],"3",Practices_SubPractices[Org],"Small"),IF(AND(Practices_SubPractices[CP]=4,Practices_SubPractices[Org]="Small"),SUMIFS(Practices_SubPractices[C],Practices_SubPractices[CP],"4",Practices_SubPractices[Org],"Small"),IF(AND(Practices_SubPractices[CP]=5,Practices_SubPractices[Org]="Small"),SUMIFS(Practices_SubPractices[C],Practices_SubPractices[CP],"5",Practices_SubPractices[Org],"Small"),IF(AND(Practices_SubPractices[CP]=6,Practices_SubPractices[Org]="Small"),SUMIFS(Practices_SubPractices[C],Practices_SubPractices[CP],"6",Practices_SubPractices[Org],"Small"),IF(AND(Practices_SubPractices[CP]=7,Practices_SubPractices[Org] ="Small"),SUMIFS(Practices_SubPractices[C],Practices_SubPractices[CP],"7",Practices_SubPractices[Org],"Small"),IF(AND(Practices_SubPractices[CP]=8,Practices_SubPractices[Org] ="Small"),SUMIFS(Practices_SubPractices[C],Practices_SubPractices[CP],"8",Practices_SubPractices[Org],"Small"),IF(AND(Practices_SubPractices[CP]=9,Practices_SubPractices[Org] ="Small"),SUMIFS(Practices_SubPractices[C],Practices_SubPractices[CP],"9",Practices_SubPractices[Org],"Small"),IF(AND(Practices_SubPractices[CP]=10,Practices_SubPractices[Org] ="Small"),SUMIFS(Practices_SubPractices[C],Practices_SubPractices[CP],"10",Practices_SubPractices[Org],"Small"),IF(AND(Practices_SubPractices[CP]=1,Practices_SubPractices[Org]="Medium"),SUMIFS(Practices_SubPractices[C],Practices_SubPractices[CP],"1",Practices_SubPractices[Org],"Medium"),IF(AND(Practices_SubPractices[CP]=2,Practices_SubPractices[Org]="Medium"),SUMIFS(Practices_SubPractices[C],Practices_SubPractices[CP],"2",Practices_SubPractices[Org],"Medium"),IF(AND(Practices_SubPractices[CP]=3,Practices_SubPractices[Org]="Medium"),SUMIFS(Practices_SubPractices[C],Practices_SubPractices[CP],"3",Practices_SubPractices[Org],"Medium"),IF(AND(Practices_SubPractices[CP]=4,Practices_SubPractices[Org]="Medium"),SUMIFS(Practices_SubPractices[C],Practices_SubPractices[CP],"4",Practices_SubPractices[Org],"Medium"),IF(AND(Practices_SubPractices[CP]=5,Practices_SubPractices[Org]="Medium"),SUMIFS(Practices_SubPractices[C],Practices_SubPractices[CP],"5",Practices_SubPractices[Org],"Medium"),IF(AND(Practices_SubPractices[CP]=6,Practices_SubPractices[Org]="Medium"),SUMIFS(Practices_SubPractices[C],Practices_SubPractices[CP],"6",Practices_SubPractices[Org],"Medium"),IF(AND(Practices_SubPractices[CP]=7,Practices_SubPractices[Org] ="Medium"),SUMIFS(Practices_SubPractices[C],Practices_SubPractices[CP],"7",Practices_SubPractices[Org],"Medium"),IF(AND(Practices_SubPractices[CP]=8,Practices_SubPractices[Org] ="Medium"),SUMIFS(Practices_SubPractices[C],Practices_SubPractices[CP],"8",Practices_SubPractices[Org],"Medium"),IF(AND(Practices_SubPractices[CP]=9,Practices_SubPractices[Org] ="Medium"),SUMIFS(Practices_SubPractices[C],Practices_SubPractices[CP],"9",Practices_SubPractices[Org],"Medium"),IF(AND(Practices_SubPractices[CP]=10,Practices_SubPractices[Org] ="Medium"),SUMIFS(Practices_SubPractices[C],Practices_SubPractices[CP],"10",Practices_SubPractices[Org],"Medium"),IF(AND(Practices_SubPractices[CP]=1,Practices_SubPractices[Org]="Large"),SUMIFS(Practices_SubPractices[C],Practices_SubPractices[CP],"1",Practices_SubPractices[Org],"Large"),IF(AND(Practices_SubPractices[CP]=2,Practices_SubPractices[Org]="Large"),SUMIFS(Practices_SubPractices[C],Practices_SubPractices[CP],"2",Practices_SubPractices[Org],"Large"),IF(AND(Practices_SubPractices[CP]=3,Practices_SubPractices[Org]="Large"),SUMIFS(Practices_SubPractices[C],Practices_SubPractices[CP],"3",Practices_SubPractices[Org],"Large"),IF(AND(Practices_SubPractices[CP]=4,Practices_SubPractices[Org]="Large"),SUMIFS(Practices_SubPractices[C],Practices_SubPractices[CP],"4",Practices_SubPractices[Org],"Large"),IF(AND(Practices_SubPractices[CP]=5,Practices_SubPractices[Org]="Large"),SUMIFS(Practices_SubPractices[C],Practices_SubPractices[CP],"5",Practices_SubPractices[Org],"Large"),IF(AND(Practices_SubPractices[CP]=6,Practices_SubPractices[Org]="Large"),SUMIFS(Practices_SubPractices[C],Practices_SubPractices[CP],"6",Practices_SubPractices[Org],"Large"),IF(AND(Practices_SubPractices[CP]=7,Practices_SubPractices[Org] ="Large"),SUMIFS(Practices_SubPractices[C],Practices_SubPractices[CP],"7",Practices_SubPractices[Org],"Large"),IF(AND(Practices_SubPractices[CP]=8,Practices_SubPractices[Org] ="Large"),SUMIFS(Practices_SubPractices[C],Practices_SubPractices[CP],"8",Practices_SubPractices[Org],"Large"),IF(AND(Practices_SubPractices[CP]=9,Practices_SubPractices[Org] ="Large"),SUMIFS(Practices_SubPractices[C],Practices_SubPractices[CP],"9",Practices_SubPractices[Org],"Large"),IF(AND(Practices_SubPractices[CP]=10,Practices_SubPractices[Org] ="Large"),SUMIFS(Practices_SubPractices[C],Practices_SubPractices[CP],"10",Practices_SubPractices[Org],"Large"),"TBD"))))))))))))))))))))))))))))))</f>
        <v>0</v>
      </c>
      <c r="Q91" s="77">
        <f>IF(AND(Practices_SubPractices[CP]=1,Practices_SubPractices[Org]="Small"),SUMIFS(Practices_SubPractices[D],Practices_SubPractices[CP],"1",Practices_SubPractices[Org],"Small"),IF(AND(Practices_SubPractices[CP]=2,Practices_SubPractices[Org]="Small"),SUMIFS(Practices_SubPractices[D],Practices_SubPractices[CP],"2",Practices_SubPractices[Org],"Small"),IF(AND(Practices_SubPractices[CP]=3,Practices_SubPractices[Org]="Small"),SUMIFS(Practices_SubPractices[D],Practices_SubPractices[CP],"3",Practices_SubPractices[Org],"Small"),IF(AND(Practices_SubPractices[CP]=4,Practices_SubPractices[Org]="Small"),SUMIFS(Practices_SubPractices[D],Practices_SubPractices[CP],"4",Practices_SubPractices[Org],"Small"),IF(AND(Practices_SubPractices[CP]=5,Practices_SubPractices[Org]="Small"),SUMIFS(Practices_SubPractices[D],Practices_SubPractices[CP],"5",Practices_SubPractices[Org],"Small"),IF(AND(Practices_SubPractices[CP]=6,Practices_SubPractices[Org]="Small"),SUMIFS(Practices_SubPractices[D],Practices_SubPractices[CP],"6",Practices_SubPractices[Org],"Small"),IF(AND(Practices_SubPractices[CP]=7,Practices_SubPractices[Org] ="Small"),SUMIFS(Practices_SubPractices[D],Practices_SubPractices[CP],"7",Practices_SubPractices[Org],"Small"),IF(AND(Practices_SubPractices[CP]=8,Practices_SubPractices[Org] ="Small"),SUMIFS(Practices_SubPractices[D],Practices_SubPractices[CP],"8",Practices_SubPractices[Org],"Small"),IF(AND(Practices_SubPractices[CP]=9,Practices_SubPractices[Org] ="Small"),SUMIFS(Practices_SubPractices[D],Practices_SubPractices[CP],"9",Practices_SubPractices[Org],"Small"),IF(AND(Practices_SubPractices[CP]=10,Practices_SubPractices[Org] ="Small"),SUMIFS(Practices_SubPractices[D],Practices_SubPractices[CP],"10",Practices_SubPractices[Org],"Small"),IF(AND(Practices_SubPractices[CP]=1,Practices_SubPractices[Org]="Medium"),SUMIFS(Practices_SubPractices[D],Practices_SubPractices[CP],"1",Practices_SubPractices[Org],"Medium"),IF(AND(Practices_SubPractices[CP]=2,Practices_SubPractices[Org]="Medium"),SUMIFS(Practices_SubPractices[D],Practices_SubPractices[CP],"2",Practices_SubPractices[Org],"Medium"),IF(AND(Practices_SubPractices[CP]=3,Practices_SubPractices[Org]="Medium"),SUMIFS(Practices_SubPractices[D],Practices_SubPractices[CP],"3",Practices_SubPractices[Org],"Medium"),IF(AND(Practices_SubPractices[CP]=4,Practices_SubPractices[Org]="Medium"),SUMIFS(Practices_SubPractices[D],Practices_SubPractices[CP],"4",Practices_SubPractices[Org],"Medium"),IF(AND(Practices_SubPractices[CP]=5,Practices_SubPractices[Org]="Medium"),SUMIFS(Practices_SubPractices[D],Practices_SubPractices[CP],"5",Practices_SubPractices[Org],"Medium"),IF(AND(Practices_SubPractices[CP]=6,Practices_SubPractices[Org]="Medium"),SUMIFS(Practices_SubPractices[D],Practices_SubPractices[CP],"6",Practices_SubPractices[Org],"Medium"),IF(AND(Practices_SubPractices[CP]=7,Practices_SubPractices[Org] ="Medium"),SUMIFS(Practices_SubPractices[D],Practices_SubPractices[CP],"7",Practices_SubPractices[Org],"Medium"),IF(AND(Practices_SubPractices[CP]=8,Practices_SubPractices[Org] ="Medium"),SUMIFS(Practices_SubPractices[D],Practices_SubPractices[CP],"8",Practices_SubPractices[Org],"Medium"),IF(AND(Practices_SubPractices[CP]=9,Practices_SubPractices[Org] ="Medium"),SUMIFS(Practices_SubPractices[D],Practices_SubPractices[CP],"9",Practices_SubPractices[Org],"Medium"),IF(AND(Practices_SubPractices[CP]=10,Practices_SubPractices[Org] ="Medium"),SUMIFS(Practices_SubPractices[D],Practices_SubPractices[CP],"10",Practices_SubPractices[Org],"Medium"),IF(AND(Practices_SubPractices[CP]=1,Practices_SubPractices[Org]="Large"),SUMIFS(Practices_SubPractices[D],Practices_SubPractices[CP],"1",Practices_SubPractices[Org],"Large"),IF(AND(Practices_SubPractices[CP]=2,Practices_SubPractices[Org]="Large"),SUMIFS(Practices_SubPractices[D],Practices_SubPractices[CP],"2",Practices_SubPractices[Org],"Large"),IF(AND(Practices_SubPractices[CP]=3,Practices_SubPractices[Org]="Large"),SUMIFS(Practices_SubPractices[D],Practices_SubPractices[CP],"3",Practices_SubPractices[Org],"Large"),IF(AND(Practices_SubPractices[CP]=4,Practices_SubPractices[Org]="Large"),SUMIFS(Practices_SubPractices[D],Practices_SubPractices[CP],"4",Practices_SubPractices[Org],"Large"),IF(AND(Practices_SubPractices[CP]=5,Practices_SubPractices[Org]="Large"),SUMIFS(Practices_SubPractices[D],Practices_SubPractices[CP],"5",Practices_SubPractices[Org],"Large"),IF(AND(Practices_SubPractices[CP]=6,Practices_SubPractices[Org]="Large"),SUMIFS(Practices_SubPractices[D],Practices_SubPractices[CP],"6",Practices_SubPractices[Org],"Large"),IF(AND(Practices_SubPractices[CP]=7,Practices_SubPractices[Org] ="Large"),SUMIFS(Practices_SubPractices[D],Practices_SubPractices[CP],"7",Practices_SubPractices[Org],"Large"),IF(AND(Practices_SubPractices[CP]=8,Practices_SubPractices[Org] ="Large"),SUMIFS(Practices_SubPractices[D],Practices_SubPractices[CP],"8",Practices_SubPractices[Org],"Large"),IF(AND(Practices_SubPractices[CP]=9,Practices_SubPractices[Org] ="Large"),SUMIFS(Practices_SubPractices[D],Practices_SubPractices[CP],"9",Practices_SubPractices[Org],"Large"),IF(AND(Practices_SubPractices[CP]=10,Practices_SubPractices[Org] ="Large"),SUMIFS(Practices_SubPractices[D],Practices_SubPractices[CP],"10",Practices_SubPractices[Org],"Large"),"TBD"))))))))))))))))))))))))))))))</f>
        <v>6</v>
      </c>
      <c r="R91" s="77">
        <f>IF(AND(Practices_SubPractices[CP]=1,Practices_SubPractices[Org]="Small"),SUMIFS(Practices_SubPractices[E],Practices_SubPractices[CP],"1",Practices_SubPractices[Org],"Small"),IF(AND(Practices_SubPractices[CP]=2,Practices_SubPractices[Org]="Small"),SUMIFS(Practices_SubPractices[E],Practices_SubPractices[CP],"2",Practices_SubPractices[Org],"Small"),IF(AND(Practices_SubPractices[CP]=3,Practices_SubPractices[Org]="Small"),SUMIFS(Practices_SubPractices[E],Practices_SubPractices[CP],"3",Practices_SubPractices[Org],"Small"),IF(AND(Practices_SubPractices[CP]=4,Practices_SubPractices[Org]="Small"),SUMIFS(Practices_SubPractices[E],Practices_SubPractices[CP],"4",Practices_SubPractices[Org],"Small"),IF(AND(Practices_SubPractices[CP]=5,Practices_SubPractices[Org]="Small"),SUMIFS(Practices_SubPractices[E],Practices_SubPractices[CP],"5",Practices_SubPractices[Org],"Small"),IF(AND(Practices_SubPractices[CP]=6,Practices_SubPractices[Org]="Small"),SUMIFS(Practices_SubPractices[E],Practices_SubPractices[CP],"6",Practices_SubPractices[Org],"Small"),IF(AND(Practices_SubPractices[CP]=7,Practices_SubPractices[Org] ="Small"),SUMIFS(Practices_SubPractices[E],Practices_SubPractices[CP],"7",Practices_SubPractices[Org],"Small"),IF(AND(Practices_SubPractices[CP]=8,Practices_SubPractices[Org] ="Small"),SUMIFS(Practices_SubPractices[E],Practices_SubPractices[CP],"8",Practices_SubPractices[Org],"Small"),IF(AND(Practices_SubPractices[CP]=9,Practices_SubPractices[Org] ="Small"),SUMIFS(Practices_SubPractices[E],Practices_SubPractices[CP],"9",Practices_SubPractices[Org],"Small"),IF(AND(Practices_SubPractices[CP]=10,Practices_SubPractices[Org] ="Small"),SUMIFS(Practices_SubPractices[E],Practices_SubPractices[CP],"10",Practices_SubPractices[Org],"Small"),IF(AND(Practices_SubPractices[CP]=1,Practices_SubPractices[Org]="Medium"),SUMIFS(Practices_SubPractices[E],Practices_SubPractices[CP],"1",Practices_SubPractices[Org],"Medium"),IF(AND(Practices_SubPractices[CP]=2,Practices_SubPractices[Org]="Medium"),SUMIFS(Practices_SubPractices[E],Practices_SubPractices[CP],"2",Practices_SubPractices[Org],"Medium"),IF(AND(Practices_SubPractices[CP]=3,Practices_SubPractices[Org]="Medium"),SUMIFS(Practices_SubPractices[E],Practices_SubPractices[CP],"3",Practices_SubPractices[Org],"Medium"),IF(AND(Practices_SubPractices[CP]=4,Practices_SubPractices[Org]="Medium"),SUMIFS(Practices_SubPractices[E],Practices_SubPractices[CP],"4",Practices_SubPractices[Org],"Medium"),IF(AND(Practices_SubPractices[CP]=5,Practices_SubPractices[Org]="Medium"),SUMIFS(Practices_SubPractices[E],Practices_SubPractices[CP],"5",Practices_SubPractices[Org],"Medium"),IF(AND(Practices_SubPractices[CP]=6,Practices_SubPractices[Org]="Medium"),SUMIFS(Practices_SubPractices[E],Practices_SubPractices[CP],"6",Practices_SubPractices[Org],"Medium"),IF(AND(Practices_SubPractices[CP]=7,Practices_SubPractices[Org] ="Medium"),SUMIFS(Practices_SubPractices[E],Practices_SubPractices[CP],"7",Practices_SubPractices[Org],"Medium"),IF(AND(Practices_SubPractices[CP]=8,Practices_SubPractices[Org] ="Medium"),SUMIFS(Practices_SubPractices[E],Practices_SubPractices[CP],"8",Practices_SubPractices[Org],"Medium"),IF(AND(Practices_SubPractices[CP]=9,Practices_SubPractices[Org] ="Medium"),SUMIFS(Practices_SubPractices[E],Practices_SubPractices[CP],"9",Practices_SubPractices[Org],"Medium"),IF(AND(Practices_SubPractices[CP]=10,Practices_SubPractices[Org] ="Medium"),SUMIFS(Practices_SubPractices[E],Practices_SubPractices[CP],"10",Practices_SubPractices[Org],"Medium"),IF(AND(Practices_SubPractices[CP]=1,Practices_SubPractices[Org]="Large"),SUMIFS(Practices_SubPractices[E],Practices_SubPractices[CP],"1",Practices_SubPractices[Org],"Large"),IF(AND(Practices_SubPractices[CP]=2,Practices_SubPractices[Org]="Large"),SUMIFS(Practices_SubPractices[E],Practices_SubPractices[CP],"2",Practices_SubPractices[Org],"Large"),IF(AND(Practices_SubPractices[CP]=3,Practices_SubPractices[Org]="Large"),SUMIFS(Practices_SubPractices[E],Practices_SubPractices[CP],"3",Practices_SubPractices[Org],"Large"),IF(AND(Practices_SubPractices[CP]=4,Practices_SubPractices[Org]="Large"),SUMIFS(Practices_SubPractices[E],Practices_SubPractices[CP],"4",Practices_SubPractices[Org],"Large"),IF(AND(Practices_SubPractices[CP]=5,Practices_SubPractices[Org]="Large"),SUMIFS(Practices_SubPractices[E],Practices_SubPractices[CP],"5",Practices_SubPractices[Org],"Large"),IF(AND(Practices_SubPractices[CP]=6,Practices_SubPractices[Org]="Large"),SUMIFS(Practices_SubPractices[E],Practices_SubPractices[CP],"6",Practices_SubPractices[Org],"Large"),IF(AND(Practices_SubPractices[CP]=7,Practices_SubPractices[Org] ="Large"),SUMIFS(Practices_SubPractices[E],Practices_SubPractices[CP],"7",Practices_SubPractices[Org],"Large"),IF(AND(Practices_SubPractices[CP]=8,Practices_SubPractices[Org] ="Large"),SUMIFS(Practices_SubPractices[E],Practices_SubPractices[CP],"8",Practices_SubPractices[Org],"Large"),IF(AND(Practices_SubPractices[CP]=9,Practices_SubPractices[Org] ="Large"),SUMIFS(Practices_SubPractices[E],Practices_SubPractices[CP],"9",Practices_SubPractices[Org],"Large"),IF(AND(Practices_SubPractices[CP]=10,Practices_SubPractices[Org] ="Large"),SUMIFS(Practices_SubPractices[E],Practices_SubPractices[CP],"10",Practices_SubPractices[Org],"Large"),"TBD"))))))))))))))))))))))))))))))</f>
        <v>18</v>
      </c>
      <c r="S91" s="87" t="s">
        <v>428</v>
      </c>
    </row>
    <row r="92" spans="1:19" ht="29" x14ac:dyDescent="0.35">
      <c r="A92" s="73">
        <v>82</v>
      </c>
      <c r="B92" s="73">
        <v>9</v>
      </c>
      <c r="C92" s="73" t="s">
        <v>11</v>
      </c>
      <c r="D92" s="73" t="str">
        <f>Practices_SubPractices[[#This Row],[CP]]&amp;LEFT(Practices_SubPractices[[#This Row],[Org]],1)</f>
        <v>9M</v>
      </c>
      <c r="E92" s="73" t="s">
        <v>266</v>
      </c>
      <c r="F92" s="74" t="s">
        <v>162</v>
      </c>
      <c r="G92" s="74" t="s">
        <v>167</v>
      </c>
      <c r="H92" s="74" t="s">
        <v>259</v>
      </c>
      <c r="I92" s="75">
        <v>0</v>
      </c>
      <c r="J92" s="75">
        <v>1</v>
      </c>
      <c r="K92" s="75">
        <v>0</v>
      </c>
      <c r="L92" s="75">
        <v>1</v>
      </c>
      <c r="M92" s="75">
        <v>2</v>
      </c>
      <c r="N92" s="76"/>
      <c r="O92" s="77">
        <f>IF(AND(Practices_SubPractices[CP]=1,Practices_SubPractices[Org]="Small"),SUMIFS(Practices_SubPractices[B],Practices_SubPractices[CP],"1",Practices_SubPractices[Org],"Small"),IF(AND(Practices_SubPractices[CP]=2,Practices_SubPractices[Org]="Small"),SUMIFS(Practices_SubPractices[B],Practices_SubPractices[CP],"2",Practices_SubPractices[Org],"Small"),IF(AND(Practices_SubPractices[CP]=3,Practices_SubPractices[Org]="Small"),SUMIFS(Practices_SubPractices[B],Practices_SubPractices[CP],"3",Practices_SubPractices[Org],"Small"),IF(AND(Practices_SubPractices[CP]=4,Practices_SubPractices[Org]="Small"),SUMIFS(Practices_SubPractices[B],Practices_SubPractices[CP],"4",Practices_SubPractices[Org],"Small"),IF(AND(Practices_SubPractices[CP]=5,Practices_SubPractices[Org]="Small"),SUMIFS(Practices_SubPractices[B],Practices_SubPractices[CP],"5",Practices_SubPractices[Org],"Small"),IF(AND(Practices_SubPractices[CP]=6,Practices_SubPractices[Org]="Small"),SUMIFS(Practices_SubPractices[B],Practices_SubPractices[CP],"6",Practices_SubPractices[Org],"Small"),IF(AND(Practices_SubPractices[CP]=7,Practices_SubPractices[Org] ="Small"),SUMIFS(Practices_SubPractices[B],Practices_SubPractices[CP],"7",Practices_SubPractices[Org],"Small"),IF(AND(Practices_SubPractices[CP]=8,Practices_SubPractices[Org] ="Small"),SUMIFS(Practices_SubPractices[B],Practices_SubPractices[CP],"8",Practices_SubPractices[Org],"Small"),IF(AND(Practices_SubPractices[CP]=9,Practices_SubPractices[Org] ="Small"),SUMIFS(Practices_SubPractices[B],Practices_SubPractices[CP],"9",Practices_SubPractices[Org],"Small"),IF(AND(Practices_SubPractices[CP]=10,Practices_SubPractices[Org] ="Small"),SUMIFS(Practices_SubPractices[B],Practices_SubPractices[CP],"10",Practices_SubPractices[Org],"Small"),IF(AND(Practices_SubPractices[CP]=1,Practices_SubPractices[Org]="Medium"),SUMIFS(Practices_SubPractices[B],Practices_SubPractices[CP],"1",Practices_SubPractices[Org],"Medium"),IF(AND(Practices_SubPractices[CP]=2,Practices_SubPractices[Org]="Medium"),SUMIFS(Practices_SubPractices[B],Practices_SubPractices[CP],"2",Practices_SubPractices[Org],"Medium"),IF(AND(Practices_SubPractices[CP]=3,Practices_SubPractices[Org]="Medium"),SUMIFS(Practices_SubPractices[B],Practices_SubPractices[CP],"3",Practices_SubPractices[Org],"Medium"),IF(AND(Practices_SubPractices[CP]=4,Practices_SubPractices[Org]="Medium"),SUMIFS(Practices_SubPractices[B],Practices_SubPractices[CP],"4",Practices_SubPractices[Org],"Medium"),IF(AND(Practices_SubPractices[CP]=5,Practices_SubPractices[Org]="Medium"),SUMIFS(Practices_SubPractices[B],Practices_SubPractices[CP],"5",Practices_SubPractices[Org],"Medium"),IF(AND(Practices_SubPractices[CP]=6,Practices_SubPractices[Org]="Medium"),SUMIFS(Practices_SubPractices[B],Practices_SubPractices[CP],"6",Practices_SubPractices[Org],"Medium"),IF(AND(Practices_SubPractices[CP]=7,Practices_SubPractices[Org] ="Medium"),SUMIFS(Practices_SubPractices[B],Practices_SubPractices[CP],"7",Practices_SubPractices[Org],"Medium"),IF(AND(Practices_SubPractices[CP]=8,Practices_SubPractices[Org] ="Medium"),SUMIFS(Practices_SubPractices[B],Practices_SubPractices[CP],"8",Practices_SubPractices[Org],"Medium"),IF(AND(Practices_SubPractices[CP]=9,Practices_SubPractices[Org] ="Medium"),SUMIFS(Practices_SubPractices[B],Practices_SubPractices[CP],"9",Practices_SubPractices[Org],"Medium"),IF(AND(Practices_SubPractices[CP]=10,Practices_SubPractices[Org] ="Medium"),SUMIFS(Practices_SubPractices[B],Practices_SubPractices[CP],"10",Practices_SubPractices[Org],"Medium"),IF(AND(Practices_SubPractices[CP]=1,Practices_SubPractices[Org]="Large"),SUMIFS(Practices_SubPractices[B],Practices_SubPractices[CP],"1",Practices_SubPractices[Org],"Large"),IF(AND(Practices_SubPractices[CP]=2,Practices_SubPractices[Org]="Large"),SUMIFS(Practices_SubPractices[B],Practices_SubPractices[CP],"2",Practices_SubPractices[Org],"Large"),IF(AND(Practices_SubPractices[CP]=3,Practices_SubPractices[Org]="Large"),SUMIFS(Practices_SubPractices[B],Practices_SubPractices[CP],"3",Practices_SubPractices[Org],"Large"),IF(AND(Practices_SubPractices[CP]=4,Practices_SubPractices[Org]="Large"),SUMIFS(Practices_SubPractices[B],Practices_SubPractices[CP],"4",Practices_SubPractices[Org],"Large"),IF(AND(Practices_SubPractices[CP]=5,Practices_SubPractices[Org]="Large"),SUMIFS(Practices_SubPractices[B],Practices_SubPractices[CP],"5",Practices_SubPractices[Org],"Large"),IF(AND(Practices_SubPractices[CP]=6,Practices_SubPractices[Org]="Large"),SUMIFS(Practices_SubPractices[B],Practices_SubPractices[CP],"6",Practices_SubPractices[Org],"Large"),IF(AND(Practices_SubPractices[CP]=7,Practices_SubPractices[Org] ="Large"),SUMIFS(Practices_SubPractices[B],Practices_SubPractices[CP],"7",Practices_SubPractices[Org],"Large"),IF(AND(Practices_SubPractices[CP]=8,Practices_SubPractices[Org] ="Large"),SUMIFS(Practices_SubPractices[B],Practices_SubPractices[CP],"8",Practices_SubPractices[Org],"Large"),IF(AND(Practices_SubPractices[CP]=9,Practices_SubPractices[Org] ="Large"),SUMIFS(Practices_SubPractices[B],Practices_SubPractices[CP],"9",Practices_SubPractices[Org],"Large"),IF(AND(Practices_SubPractices[CP]=10,Practices_SubPractices[Org] ="Large"),SUMIFS(Practices_SubPractices[B],Practices_SubPractices[CP],"10",Practices_SubPractices[Org],"Large"),"TBD"))))))))))))))))))))))))))))))</f>
        <v>4</v>
      </c>
      <c r="P92" s="77">
        <f>IF(AND(Practices_SubPractices[CP]=1,Practices_SubPractices[Org]="Small"),SUMIFS(Practices_SubPractices[C],Practices_SubPractices[CP],"1",Practices_SubPractices[Org],"Small"),IF(AND(Practices_SubPractices[CP]=2,Practices_SubPractices[Org]="Small"),SUMIFS(Practices_SubPractices[C],Practices_SubPractices[CP],"2",Practices_SubPractices[Org],"Small"),IF(AND(Practices_SubPractices[CP]=3,Practices_SubPractices[Org]="Small"),SUMIFS(Practices_SubPractices[C],Practices_SubPractices[CP],"3",Practices_SubPractices[Org],"Small"),IF(AND(Practices_SubPractices[CP]=4,Practices_SubPractices[Org]="Small"),SUMIFS(Practices_SubPractices[C],Practices_SubPractices[CP],"4",Practices_SubPractices[Org],"Small"),IF(AND(Practices_SubPractices[CP]=5,Practices_SubPractices[Org]="Small"),SUMIFS(Practices_SubPractices[C],Practices_SubPractices[CP],"5",Practices_SubPractices[Org],"Small"),IF(AND(Practices_SubPractices[CP]=6,Practices_SubPractices[Org]="Small"),SUMIFS(Practices_SubPractices[C],Practices_SubPractices[CP],"6",Practices_SubPractices[Org],"Small"),IF(AND(Practices_SubPractices[CP]=7,Practices_SubPractices[Org] ="Small"),SUMIFS(Practices_SubPractices[C],Practices_SubPractices[CP],"7",Practices_SubPractices[Org],"Small"),IF(AND(Practices_SubPractices[CP]=8,Practices_SubPractices[Org] ="Small"),SUMIFS(Practices_SubPractices[C],Practices_SubPractices[CP],"8",Practices_SubPractices[Org],"Small"),IF(AND(Practices_SubPractices[CP]=9,Practices_SubPractices[Org] ="Small"),SUMIFS(Practices_SubPractices[C],Practices_SubPractices[CP],"9",Practices_SubPractices[Org],"Small"),IF(AND(Practices_SubPractices[CP]=10,Practices_SubPractices[Org] ="Small"),SUMIFS(Practices_SubPractices[C],Practices_SubPractices[CP],"10",Practices_SubPractices[Org],"Small"),IF(AND(Practices_SubPractices[CP]=1,Practices_SubPractices[Org]="Medium"),SUMIFS(Practices_SubPractices[C],Practices_SubPractices[CP],"1",Practices_SubPractices[Org],"Medium"),IF(AND(Practices_SubPractices[CP]=2,Practices_SubPractices[Org]="Medium"),SUMIFS(Practices_SubPractices[C],Practices_SubPractices[CP],"2",Practices_SubPractices[Org],"Medium"),IF(AND(Practices_SubPractices[CP]=3,Practices_SubPractices[Org]="Medium"),SUMIFS(Practices_SubPractices[C],Practices_SubPractices[CP],"3",Practices_SubPractices[Org],"Medium"),IF(AND(Practices_SubPractices[CP]=4,Practices_SubPractices[Org]="Medium"),SUMIFS(Practices_SubPractices[C],Practices_SubPractices[CP],"4",Practices_SubPractices[Org],"Medium"),IF(AND(Practices_SubPractices[CP]=5,Practices_SubPractices[Org]="Medium"),SUMIFS(Practices_SubPractices[C],Practices_SubPractices[CP],"5",Practices_SubPractices[Org],"Medium"),IF(AND(Practices_SubPractices[CP]=6,Practices_SubPractices[Org]="Medium"),SUMIFS(Practices_SubPractices[C],Practices_SubPractices[CP],"6",Practices_SubPractices[Org],"Medium"),IF(AND(Practices_SubPractices[CP]=7,Practices_SubPractices[Org] ="Medium"),SUMIFS(Practices_SubPractices[C],Practices_SubPractices[CP],"7",Practices_SubPractices[Org],"Medium"),IF(AND(Practices_SubPractices[CP]=8,Practices_SubPractices[Org] ="Medium"),SUMIFS(Practices_SubPractices[C],Practices_SubPractices[CP],"8",Practices_SubPractices[Org],"Medium"),IF(AND(Practices_SubPractices[CP]=9,Practices_SubPractices[Org] ="Medium"),SUMIFS(Practices_SubPractices[C],Practices_SubPractices[CP],"9",Practices_SubPractices[Org],"Medium"),IF(AND(Practices_SubPractices[CP]=10,Practices_SubPractices[Org] ="Medium"),SUMIFS(Practices_SubPractices[C],Practices_SubPractices[CP],"10",Practices_SubPractices[Org],"Medium"),IF(AND(Practices_SubPractices[CP]=1,Practices_SubPractices[Org]="Large"),SUMIFS(Practices_SubPractices[C],Practices_SubPractices[CP],"1",Practices_SubPractices[Org],"Large"),IF(AND(Practices_SubPractices[CP]=2,Practices_SubPractices[Org]="Large"),SUMIFS(Practices_SubPractices[C],Practices_SubPractices[CP],"2",Practices_SubPractices[Org],"Large"),IF(AND(Practices_SubPractices[CP]=3,Practices_SubPractices[Org]="Large"),SUMIFS(Practices_SubPractices[C],Practices_SubPractices[CP],"3",Practices_SubPractices[Org],"Large"),IF(AND(Practices_SubPractices[CP]=4,Practices_SubPractices[Org]="Large"),SUMIFS(Practices_SubPractices[C],Practices_SubPractices[CP],"4",Practices_SubPractices[Org],"Large"),IF(AND(Practices_SubPractices[CP]=5,Practices_SubPractices[Org]="Large"),SUMIFS(Practices_SubPractices[C],Practices_SubPractices[CP],"5",Practices_SubPractices[Org],"Large"),IF(AND(Practices_SubPractices[CP]=6,Practices_SubPractices[Org]="Large"),SUMIFS(Practices_SubPractices[C],Practices_SubPractices[CP],"6",Practices_SubPractices[Org],"Large"),IF(AND(Practices_SubPractices[CP]=7,Practices_SubPractices[Org] ="Large"),SUMIFS(Practices_SubPractices[C],Practices_SubPractices[CP],"7",Practices_SubPractices[Org],"Large"),IF(AND(Practices_SubPractices[CP]=8,Practices_SubPractices[Org] ="Large"),SUMIFS(Practices_SubPractices[C],Practices_SubPractices[CP],"8",Practices_SubPractices[Org],"Large"),IF(AND(Practices_SubPractices[CP]=9,Practices_SubPractices[Org] ="Large"),SUMIFS(Practices_SubPractices[C],Practices_SubPractices[CP],"9",Practices_SubPractices[Org],"Large"),IF(AND(Practices_SubPractices[CP]=10,Practices_SubPractices[Org] ="Large"),SUMIFS(Practices_SubPractices[C],Practices_SubPractices[CP],"10",Practices_SubPractices[Org],"Large"),"TBD"))))))))))))))))))))))))))))))</f>
        <v>0</v>
      </c>
      <c r="Q92" s="77">
        <f>IF(AND(Practices_SubPractices[CP]=1,Practices_SubPractices[Org]="Small"),SUMIFS(Practices_SubPractices[D],Practices_SubPractices[CP],"1",Practices_SubPractices[Org],"Small"),IF(AND(Practices_SubPractices[CP]=2,Practices_SubPractices[Org]="Small"),SUMIFS(Practices_SubPractices[D],Practices_SubPractices[CP],"2",Practices_SubPractices[Org],"Small"),IF(AND(Practices_SubPractices[CP]=3,Practices_SubPractices[Org]="Small"),SUMIFS(Practices_SubPractices[D],Practices_SubPractices[CP],"3",Practices_SubPractices[Org],"Small"),IF(AND(Practices_SubPractices[CP]=4,Practices_SubPractices[Org]="Small"),SUMIFS(Practices_SubPractices[D],Practices_SubPractices[CP],"4",Practices_SubPractices[Org],"Small"),IF(AND(Practices_SubPractices[CP]=5,Practices_SubPractices[Org]="Small"),SUMIFS(Practices_SubPractices[D],Practices_SubPractices[CP],"5",Practices_SubPractices[Org],"Small"),IF(AND(Practices_SubPractices[CP]=6,Practices_SubPractices[Org]="Small"),SUMIFS(Practices_SubPractices[D],Practices_SubPractices[CP],"6",Practices_SubPractices[Org],"Small"),IF(AND(Practices_SubPractices[CP]=7,Practices_SubPractices[Org] ="Small"),SUMIFS(Practices_SubPractices[D],Practices_SubPractices[CP],"7",Practices_SubPractices[Org],"Small"),IF(AND(Practices_SubPractices[CP]=8,Practices_SubPractices[Org] ="Small"),SUMIFS(Practices_SubPractices[D],Practices_SubPractices[CP],"8",Practices_SubPractices[Org],"Small"),IF(AND(Practices_SubPractices[CP]=9,Practices_SubPractices[Org] ="Small"),SUMIFS(Practices_SubPractices[D],Practices_SubPractices[CP],"9",Practices_SubPractices[Org],"Small"),IF(AND(Practices_SubPractices[CP]=10,Practices_SubPractices[Org] ="Small"),SUMIFS(Practices_SubPractices[D],Practices_SubPractices[CP],"10",Practices_SubPractices[Org],"Small"),IF(AND(Practices_SubPractices[CP]=1,Practices_SubPractices[Org]="Medium"),SUMIFS(Practices_SubPractices[D],Practices_SubPractices[CP],"1",Practices_SubPractices[Org],"Medium"),IF(AND(Practices_SubPractices[CP]=2,Practices_SubPractices[Org]="Medium"),SUMIFS(Practices_SubPractices[D],Practices_SubPractices[CP],"2",Practices_SubPractices[Org],"Medium"),IF(AND(Practices_SubPractices[CP]=3,Practices_SubPractices[Org]="Medium"),SUMIFS(Practices_SubPractices[D],Practices_SubPractices[CP],"3",Practices_SubPractices[Org],"Medium"),IF(AND(Practices_SubPractices[CP]=4,Practices_SubPractices[Org]="Medium"),SUMIFS(Practices_SubPractices[D],Practices_SubPractices[CP],"4",Practices_SubPractices[Org],"Medium"),IF(AND(Practices_SubPractices[CP]=5,Practices_SubPractices[Org]="Medium"),SUMIFS(Practices_SubPractices[D],Practices_SubPractices[CP],"5",Practices_SubPractices[Org],"Medium"),IF(AND(Practices_SubPractices[CP]=6,Practices_SubPractices[Org]="Medium"),SUMIFS(Practices_SubPractices[D],Practices_SubPractices[CP],"6",Practices_SubPractices[Org],"Medium"),IF(AND(Practices_SubPractices[CP]=7,Practices_SubPractices[Org] ="Medium"),SUMIFS(Practices_SubPractices[D],Practices_SubPractices[CP],"7",Practices_SubPractices[Org],"Medium"),IF(AND(Practices_SubPractices[CP]=8,Practices_SubPractices[Org] ="Medium"),SUMIFS(Practices_SubPractices[D],Practices_SubPractices[CP],"8",Practices_SubPractices[Org],"Medium"),IF(AND(Practices_SubPractices[CP]=9,Practices_SubPractices[Org] ="Medium"),SUMIFS(Practices_SubPractices[D],Practices_SubPractices[CP],"9",Practices_SubPractices[Org],"Medium"),IF(AND(Practices_SubPractices[CP]=10,Practices_SubPractices[Org] ="Medium"),SUMIFS(Practices_SubPractices[D],Practices_SubPractices[CP],"10",Practices_SubPractices[Org],"Medium"),IF(AND(Practices_SubPractices[CP]=1,Practices_SubPractices[Org]="Large"),SUMIFS(Practices_SubPractices[D],Practices_SubPractices[CP],"1",Practices_SubPractices[Org],"Large"),IF(AND(Practices_SubPractices[CP]=2,Practices_SubPractices[Org]="Large"),SUMIFS(Practices_SubPractices[D],Practices_SubPractices[CP],"2",Practices_SubPractices[Org],"Large"),IF(AND(Practices_SubPractices[CP]=3,Practices_SubPractices[Org]="Large"),SUMIFS(Practices_SubPractices[D],Practices_SubPractices[CP],"3",Practices_SubPractices[Org],"Large"),IF(AND(Practices_SubPractices[CP]=4,Practices_SubPractices[Org]="Large"),SUMIFS(Practices_SubPractices[D],Practices_SubPractices[CP],"4",Practices_SubPractices[Org],"Large"),IF(AND(Practices_SubPractices[CP]=5,Practices_SubPractices[Org]="Large"),SUMIFS(Practices_SubPractices[D],Practices_SubPractices[CP],"5",Practices_SubPractices[Org],"Large"),IF(AND(Practices_SubPractices[CP]=6,Practices_SubPractices[Org]="Large"),SUMIFS(Practices_SubPractices[D],Practices_SubPractices[CP],"6",Practices_SubPractices[Org],"Large"),IF(AND(Practices_SubPractices[CP]=7,Practices_SubPractices[Org] ="Large"),SUMIFS(Practices_SubPractices[D],Practices_SubPractices[CP],"7",Practices_SubPractices[Org],"Large"),IF(AND(Practices_SubPractices[CP]=8,Practices_SubPractices[Org] ="Large"),SUMIFS(Practices_SubPractices[D],Practices_SubPractices[CP],"8",Practices_SubPractices[Org],"Large"),IF(AND(Practices_SubPractices[CP]=9,Practices_SubPractices[Org] ="Large"),SUMIFS(Practices_SubPractices[D],Practices_SubPractices[CP],"9",Practices_SubPractices[Org],"Large"),IF(AND(Practices_SubPractices[CP]=10,Practices_SubPractices[Org] ="Large"),SUMIFS(Practices_SubPractices[D],Practices_SubPractices[CP],"10",Practices_SubPractices[Org],"Large"),"TBD"))))))))))))))))))))))))))))))</f>
        <v>4</v>
      </c>
      <c r="R92" s="77">
        <f>IF(AND(Practices_SubPractices[CP]=1,Practices_SubPractices[Org]="Small"),SUMIFS(Practices_SubPractices[E],Practices_SubPractices[CP],"1",Practices_SubPractices[Org],"Small"),IF(AND(Practices_SubPractices[CP]=2,Practices_SubPractices[Org]="Small"),SUMIFS(Practices_SubPractices[E],Practices_SubPractices[CP],"2",Practices_SubPractices[Org],"Small"),IF(AND(Practices_SubPractices[CP]=3,Practices_SubPractices[Org]="Small"),SUMIFS(Practices_SubPractices[E],Practices_SubPractices[CP],"3",Practices_SubPractices[Org],"Small"),IF(AND(Practices_SubPractices[CP]=4,Practices_SubPractices[Org]="Small"),SUMIFS(Practices_SubPractices[E],Practices_SubPractices[CP],"4",Practices_SubPractices[Org],"Small"),IF(AND(Practices_SubPractices[CP]=5,Practices_SubPractices[Org]="Small"),SUMIFS(Practices_SubPractices[E],Practices_SubPractices[CP],"5",Practices_SubPractices[Org],"Small"),IF(AND(Practices_SubPractices[CP]=6,Practices_SubPractices[Org]="Small"),SUMIFS(Practices_SubPractices[E],Practices_SubPractices[CP],"6",Practices_SubPractices[Org],"Small"),IF(AND(Practices_SubPractices[CP]=7,Practices_SubPractices[Org] ="Small"),SUMIFS(Practices_SubPractices[E],Practices_SubPractices[CP],"7",Practices_SubPractices[Org],"Small"),IF(AND(Practices_SubPractices[CP]=8,Practices_SubPractices[Org] ="Small"),SUMIFS(Practices_SubPractices[E],Practices_SubPractices[CP],"8",Practices_SubPractices[Org],"Small"),IF(AND(Practices_SubPractices[CP]=9,Practices_SubPractices[Org] ="Small"),SUMIFS(Practices_SubPractices[E],Practices_SubPractices[CP],"9",Practices_SubPractices[Org],"Small"),IF(AND(Practices_SubPractices[CP]=10,Practices_SubPractices[Org] ="Small"),SUMIFS(Practices_SubPractices[E],Practices_SubPractices[CP],"10",Practices_SubPractices[Org],"Small"),IF(AND(Practices_SubPractices[CP]=1,Practices_SubPractices[Org]="Medium"),SUMIFS(Practices_SubPractices[E],Practices_SubPractices[CP],"1",Practices_SubPractices[Org],"Medium"),IF(AND(Practices_SubPractices[CP]=2,Practices_SubPractices[Org]="Medium"),SUMIFS(Practices_SubPractices[E],Practices_SubPractices[CP],"2",Practices_SubPractices[Org],"Medium"),IF(AND(Practices_SubPractices[CP]=3,Practices_SubPractices[Org]="Medium"),SUMIFS(Practices_SubPractices[E],Practices_SubPractices[CP],"3",Practices_SubPractices[Org],"Medium"),IF(AND(Practices_SubPractices[CP]=4,Practices_SubPractices[Org]="Medium"),SUMIFS(Practices_SubPractices[E],Practices_SubPractices[CP],"4",Practices_SubPractices[Org],"Medium"),IF(AND(Practices_SubPractices[CP]=5,Practices_SubPractices[Org]="Medium"),SUMIFS(Practices_SubPractices[E],Practices_SubPractices[CP],"5",Practices_SubPractices[Org],"Medium"),IF(AND(Practices_SubPractices[CP]=6,Practices_SubPractices[Org]="Medium"),SUMIFS(Practices_SubPractices[E],Practices_SubPractices[CP],"6",Practices_SubPractices[Org],"Medium"),IF(AND(Practices_SubPractices[CP]=7,Practices_SubPractices[Org] ="Medium"),SUMIFS(Practices_SubPractices[E],Practices_SubPractices[CP],"7",Practices_SubPractices[Org],"Medium"),IF(AND(Practices_SubPractices[CP]=8,Practices_SubPractices[Org] ="Medium"),SUMIFS(Practices_SubPractices[E],Practices_SubPractices[CP],"8",Practices_SubPractices[Org],"Medium"),IF(AND(Practices_SubPractices[CP]=9,Practices_SubPractices[Org] ="Medium"),SUMIFS(Practices_SubPractices[E],Practices_SubPractices[CP],"9",Practices_SubPractices[Org],"Medium"),IF(AND(Practices_SubPractices[CP]=10,Practices_SubPractices[Org] ="Medium"),SUMIFS(Practices_SubPractices[E],Practices_SubPractices[CP],"10",Practices_SubPractices[Org],"Medium"),IF(AND(Practices_SubPractices[CP]=1,Practices_SubPractices[Org]="Large"),SUMIFS(Practices_SubPractices[E],Practices_SubPractices[CP],"1",Practices_SubPractices[Org],"Large"),IF(AND(Practices_SubPractices[CP]=2,Practices_SubPractices[Org]="Large"),SUMIFS(Practices_SubPractices[E],Practices_SubPractices[CP],"2",Practices_SubPractices[Org],"Large"),IF(AND(Practices_SubPractices[CP]=3,Practices_SubPractices[Org]="Large"),SUMIFS(Practices_SubPractices[E],Practices_SubPractices[CP],"3",Practices_SubPractices[Org],"Large"),IF(AND(Practices_SubPractices[CP]=4,Practices_SubPractices[Org]="Large"),SUMIFS(Practices_SubPractices[E],Practices_SubPractices[CP],"4",Practices_SubPractices[Org],"Large"),IF(AND(Practices_SubPractices[CP]=5,Practices_SubPractices[Org]="Large"),SUMIFS(Practices_SubPractices[E],Practices_SubPractices[CP],"5",Practices_SubPractices[Org],"Large"),IF(AND(Practices_SubPractices[CP]=6,Practices_SubPractices[Org]="Large"),SUMIFS(Practices_SubPractices[E],Practices_SubPractices[CP],"6",Practices_SubPractices[Org],"Large"),IF(AND(Practices_SubPractices[CP]=7,Practices_SubPractices[Org] ="Large"),SUMIFS(Practices_SubPractices[E],Practices_SubPractices[CP],"7",Practices_SubPractices[Org],"Large"),IF(AND(Practices_SubPractices[CP]=8,Practices_SubPractices[Org] ="Large"),SUMIFS(Practices_SubPractices[E],Practices_SubPractices[CP],"8",Practices_SubPractices[Org],"Large"),IF(AND(Practices_SubPractices[CP]=9,Practices_SubPractices[Org] ="Large"),SUMIFS(Practices_SubPractices[E],Practices_SubPractices[CP],"9",Practices_SubPractices[Org],"Large"),IF(AND(Practices_SubPractices[CP]=10,Practices_SubPractices[Org] ="Large"),SUMIFS(Practices_SubPractices[E],Practices_SubPractices[CP],"10",Practices_SubPractices[Org],"Large"),"TBD"))))))))))))))))))))))))))))))</f>
        <v>10</v>
      </c>
      <c r="S92" s="86" t="s">
        <v>429</v>
      </c>
    </row>
    <row r="93" spans="1:19" ht="29" x14ac:dyDescent="0.35">
      <c r="A93" s="73">
        <v>83</v>
      </c>
      <c r="B93" s="73">
        <v>9</v>
      </c>
      <c r="C93" s="73" t="s">
        <v>12</v>
      </c>
      <c r="D93" s="73" t="str">
        <f>Practices_SubPractices[[#This Row],[CP]]&amp;LEFT(Practices_SubPractices[[#This Row],[Org]],1)</f>
        <v>9L</v>
      </c>
      <c r="E93" s="73" t="s">
        <v>266</v>
      </c>
      <c r="F93" s="74" t="s">
        <v>162</v>
      </c>
      <c r="G93" s="74" t="s">
        <v>167</v>
      </c>
      <c r="H93" s="74" t="s">
        <v>259</v>
      </c>
      <c r="I93" s="75">
        <v>0</v>
      </c>
      <c r="J93" s="75">
        <v>1</v>
      </c>
      <c r="K93" s="75">
        <v>0</v>
      </c>
      <c r="L93" s="75">
        <v>1</v>
      </c>
      <c r="M93" s="75">
        <v>2</v>
      </c>
      <c r="N93" s="76"/>
      <c r="O93" s="77">
        <f>IF(AND(Practices_SubPractices[CP]=1,Practices_SubPractices[Org]="Small"),SUMIFS(Practices_SubPractices[B],Practices_SubPractices[CP],"1",Practices_SubPractices[Org],"Small"),IF(AND(Practices_SubPractices[CP]=2,Practices_SubPractices[Org]="Small"),SUMIFS(Practices_SubPractices[B],Practices_SubPractices[CP],"2",Practices_SubPractices[Org],"Small"),IF(AND(Practices_SubPractices[CP]=3,Practices_SubPractices[Org]="Small"),SUMIFS(Practices_SubPractices[B],Practices_SubPractices[CP],"3",Practices_SubPractices[Org],"Small"),IF(AND(Practices_SubPractices[CP]=4,Practices_SubPractices[Org]="Small"),SUMIFS(Practices_SubPractices[B],Practices_SubPractices[CP],"4",Practices_SubPractices[Org],"Small"),IF(AND(Practices_SubPractices[CP]=5,Practices_SubPractices[Org]="Small"),SUMIFS(Practices_SubPractices[B],Practices_SubPractices[CP],"5",Practices_SubPractices[Org],"Small"),IF(AND(Practices_SubPractices[CP]=6,Practices_SubPractices[Org]="Small"),SUMIFS(Practices_SubPractices[B],Practices_SubPractices[CP],"6",Practices_SubPractices[Org],"Small"),IF(AND(Practices_SubPractices[CP]=7,Practices_SubPractices[Org] ="Small"),SUMIFS(Practices_SubPractices[B],Practices_SubPractices[CP],"7",Practices_SubPractices[Org],"Small"),IF(AND(Practices_SubPractices[CP]=8,Practices_SubPractices[Org] ="Small"),SUMIFS(Practices_SubPractices[B],Practices_SubPractices[CP],"8",Practices_SubPractices[Org],"Small"),IF(AND(Practices_SubPractices[CP]=9,Practices_SubPractices[Org] ="Small"),SUMIFS(Practices_SubPractices[B],Practices_SubPractices[CP],"9",Practices_SubPractices[Org],"Small"),IF(AND(Practices_SubPractices[CP]=10,Practices_SubPractices[Org] ="Small"),SUMIFS(Practices_SubPractices[B],Practices_SubPractices[CP],"10",Practices_SubPractices[Org],"Small"),IF(AND(Practices_SubPractices[CP]=1,Practices_SubPractices[Org]="Medium"),SUMIFS(Practices_SubPractices[B],Practices_SubPractices[CP],"1",Practices_SubPractices[Org],"Medium"),IF(AND(Practices_SubPractices[CP]=2,Practices_SubPractices[Org]="Medium"),SUMIFS(Practices_SubPractices[B],Practices_SubPractices[CP],"2",Practices_SubPractices[Org],"Medium"),IF(AND(Practices_SubPractices[CP]=3,Practices_SubPractices[Org]="Medium"),SUMIFS(Practices_SubPractices[B],Practices_SubPractices[CP],"3",Practices_SubPractices[Org],"Medium"),IF(AND(Practices_SubPractices[CP]=4,Practices_SubPractices[Org]="Medium"),SUMIFS(Practices_SubPractices[B],Practices_SubPractices[CP],"4",Practices_SubPractices[Org],"Medium"),IF(AND(Practices_SubPractices[CP]=5,Practices_SubPractices[Org]="Medium"),SUMIFS(Practices_SubPractices[B],Practices_SubPractices[CP],"5",Practices_SubPractices[Org],"Medium"),IF(AND(Practices_SubPractices[CP]=6,Practices_SubPractices[Org]="Medium"),SUMIFS(Practices_SubPractices[B],Practices_SubPractices[CP],"6",Practices_SubPractices[Org],"Medium"),IF(AND(Practices_SubPractices[CP]=7,Practices_SubPractices[Org] ="Medium"),SUMIFS(Practices_SubPractices[B],Practices_SubPractices[CP],"7",Practices_SubPractices[Org],"Medium"),IF(AND(Practices_SubPractices[CP]=8,Practices_SubPractices[Org] ="Medium"),SUMIFS(Practices_SubPractices[B],Practices_SubPractices[CP],"8",Practices_SubPractices[Org],"Medium"),IF(AND(Practices_SubPractices[CP]=9,Practices_SubPractices[Org] ="Medium"),SUMIFS(Practices_SubPractices[B],Practices_SubPractices[CP],"9",Practices_SubPractices[Org],"Medium"),IF(AND(Practices_SubPractices[CP]=10,Practices_SubPractices[Org] ="Medium"),SUMIFS(Practices_SubPractices[B],Practices_SubPractices[CP],"10",Practices_SubPractices[Org],"Medium"),IF(AND(Practices_SubPractices[CP]=1,Practices_SubPractices[Org]="Large"),SUMIFS(Practices_SubPractices[B],Practices_SubPractices[CP],"1",Practices_SubPractices[Org],"Large"),IF(AND(Practices_SubPractices[CP]=2,Practices_SubPractices[Org]="Large"),SUMIFS(Practices_SubPractices[B],Practices_SubPractices[CP],"2",Practices_SubPractices[Org],"Large"),IF(AND(Practices_SubPractices[CP]=3,Practices_SubPractices[Org]="Large"),SUMIFS(Practices_SubPractices[B],Practices_SubPractices[CP],"3",Practices_SubPractices[Org],"Large"),IF(AND(Practices_SubPractices[CP]=4,Practices_SubPractices[Org]="Large"),SUMIFS(Practices_SubPractices[B],Practices_SubPractices[CP],"4",Practices_SubPractices[Org],"Large"),IF(AND(Practices_SubPractices[CP]=5,Practices_SubPractices[Org]="Large"),SUMIFS(Practices_SubPractices[B],Practices_SubPractices[CP],"5",Practices_SubPractices[Org],"Large"),IF(AND(Practices_SubPractices[CP]=6,Practices_SubPractices[Org]="Large"),SUMIFS(Practices_SubPractices[B],Practices_SubPractices[CP],"6",Practices_SubPractices[Org],"Large"),IF(AND(Practices_SubPractices[CP]=7,Practices_SubPractices[Org] ="Large"),SUMIFS(Practices_SubPractices[B],Practices_SubPractices[CP],"7",Practices_SubPractices[Org],"Large"),IF(AND(Practices_SubPractices[CP]=8,Practices_SubPractices[Org] ="Large"),SUMIFS(Practices_SubPractices[B],Practices_SubPractices[CP],"8",Practices_SubPractices[Org],"Large"),IF(AND(Practices_SubPractices[CP]=9,Practices_SubPractices[Org] ="Large"),SUMIFS(Practices_SubPractices[B],Practices_SubPractices[CP],"9",Practices_SubPractices[Org],"Large"),IF(AND(Practices_SubPractices[CP]=10,Practices_SubPractices[Org] ="Large"),SUMIFS(Practices_SubPractices[B],Practices_SubPractices[CP],"10",Practices_SubPractices[Org],"Large"),"TBD"))))))))))))))))))))))))))))))</f>
        <v>6</v>
      </c>
      <c r="P93" s="77">
        <f>IF(AND(Practices_SubPractices[CP]=1,Practices_SubPractices[Org]="Small"),SUMIFS(Practices_SubPractices[C],Practices_SubPractices[CP],"1",Practices_SubPractices[Org],"Small"),IF(AND(Practices_SubPractices[CP]=2,Practices_SubPractices[Org]="Small"),SUMIFS(Practices_SubPractices[C],Practices_SubPractices[CP],"2",Practices_SubPractices[Org],"Small"),IF(AND(Practices_SubPractices[CP]=3,Practices_SubPractices[Org]="Small"),SUMIFS(Practices_SubPractices[C],Practices_SubPractices[CP],"3",Practices_SubPractices[Org],"Small"),IF(AND(Practices_SubPractices[CP]=4,Practices_SubPractices[Org]="Small"),SUMIFS(Practices_SubPractices[C],Practices_SubPractices[CP],"4",Practices_SubPractices[Org],"Small"),IF(AND(Practices_SubPractices[CP]=5,Practices_SubPractices[Org]="Small"),SUMIFS(Practices_SubPractices[C],Practices_SubPractices[CP],"5",Practices_SubPractices[Org],"Small"),IF(AND(Practices_SubPractices[CP]=6,Practices_SubPractices[Org]="Small"),SUMIFS(Practices_SubPractices[C],Practices_SubPractices[CP],"6",Practices_SubPractices[Org],"Small"),IF(AND(Practices_SubPractices[CP]=7,Practices_SubPractices[Org] ="Small"),SUMIFS(Practices_SubPractices[C],Practices_SubPractices[CP],"7",Practices_SubPractices[Org],"Small"),IF(AND(Practices_SubPractices[CP]=8,Practices_SubPractices[Org] ="Small"),SUMIFS(Practices_SubPractices[C],Practices_SubPractices[CP],"8",Practices_SubPractices[Org],"Small"),IF(AND(Practices_SubPractices[CP]=9,Practices_SubPractices[Org] ="Small"),SUMIFS(Practices_SubPractices[C],Practices_SubPractices[CP],"9",Practices_SubPractices[Org],"Small"),IF(AND(Practices_SubPractices[CP]=10,Practices_SubPractices[Org] ="Small"),SUMIFS(Practices_SubPractices[C],Practices_SubPractices[CP],"10",Practices_SubPractices[Org],"Small"),IF(AND(Practices_SubPractices[CP]=1,Practices_SubPractices[Org]="Medium"),SUMIFS(Practices_SubPractices[C],Practices_SubPractices[CP],"1",Practices_SubPractices[Org],"Medium"),IF(AND(Practices_SubPractices[CP]=2,Practices_SubPractices[Org]="Medium"),SUMIFS(Practices_SubPractices[C],Practices_SubPractices[CP],"2",Practices_SubPractices[Org],"Medium"),IF(AND(Practices_SubPractices[CP]=3,Practices_SubPractices[Org]="Medium"),SUMIFS(Practices_SubPractices[C],Practices_SubPractices[CP],"3",Practices_SubPractices[Org],"Medium"),IF(AND(Practices_SubPractices[CP]=4,Practices_SubPractices[Org]="Medium"),SUMIFS(Practices_SubPractices[C],Practices_SubPractices[CP],"4",Practices_SubPractices[Org],"Medium"),IF(AND(Practices_SubPractices[CP]=5,Practices_SubPractices[Org]="Medium"),SUMIFS(Practices_SubPractices[C],Practices_SubPractices[CP],"5",Practices_SubPractices[Org],"Medium"),IF(AND(Practices_SubPractices[CP]=6,Practices_SubPractices[Org]="Medium"),SUMIFS(Practices_SubPractices[C],Practices_SubPractices[CP],"6",Practices_SubPractices[Org],"Medium"),IF(AND(Practices_SubPractices[CP]=7,Practices_SubPractices[Org] ="Medium"),SUMIFS(Practices_SubPractices[C],Practices_SubPractices[CP],"7",Practices_SubPractices[Org],"Medium"),IF(AND(Practices_SubPractices[CP]=8,Practices_SubPractices[Org] ="Medium"),SUMIFS(Practices_SubPractices[C],Practices_SubPractices[CP],"8",Practices_SubPractices[Org],"Medium"),IF(AND(Practices_SubPractices[CP]=9,Practices_SubPractices[Org] ="Medium"),SUMIFS(Practices_SubPractices[C],Practices_SubPractices[CP],"9",Practices_SubPractices[Org],"Medium"),IF(AND(Practices_SubPractices[CP]=10,Practices_SubPractices[Org] ="Medium"),SUMIFS(Practices_SubPractices[C],Practices_SubPractices[CP],"10",Practices_SubPractices[Org],"Medium"),IF(AND(Practices_SubPractices[CP]=1,Practices_SubPractices[Org]="Large"),SUMIFS(Practices_SubPractices[C],Practices_SubPractices[CP],"1",Practices_SubPractices[Org],"Large"),IF(AND(Practices_SubPractices[CP]=2,Practices_SubPractices[Org]="Large"),SUMIFS(Practices_SubPractices[C],Practices_SubPractices[CP],"2",Practices_SubPractices[Org],"Large"),IF(AND(Practices_SubPractices[CP]=3,Practices_SubPractices[Org]="Large"),SUMIFS(Practices_SubPractices[C],Practices_SubPractices[CP],"3",Practices_SubPractices[Org],"Large"),IF(AND(Practices_SubPractices[CP]=4,Practices_SubPractices[Org]="Large"),SUMIFS(Practices_SubPractices[C],Practices_SubPractices[CP],"4",Practices_SubPractices[Org],"Large"),IF(AND(Practices_SubPractices[CP]=5,Practices_SubPractices[Org]="Large"),SUMIFS(Practices_SubPractices[C],Practices_SubPractices[CP],"5",Practices_SubPractices[Org],"Large"),IF(AND(Practices_SubPractices[CP]=6,Practices_SubPractices[Org]="Large"),SUMIFS(Practices_SubPractices[C],Practices_SubPractices[CP],"6",Practices_SubPractices[Org],"Large"),IF(AND(Practices_SubPractices[CP]=7,Practices_SubPractices[Org] ="Large"),SUMIFS(Practices_SubPractices[C],Practices_SubPractices[CP],"7",Practices_SubPractices[Org],"Large"),IF(AND(Practices_SubPractices[CP]=8,Practices_SubPractices[Org] ="Large"),SUMIFS(Practices_SubPractices[C],Practices_SubPractices[CP],"8",Practices_SubPractices[Org],"Large"),IF(AND(Practices_SubPractices[CP]=9,Practices_SubPractices[Org] ="Large"),SUMIFS(Practices_SubPractices[C],Practices_SubPractices[CP],"9",Practices_SubPractices[Org],"Large"),IF(AND(Practices_SubPractices[CP]=10,Practices_SubPractices[Org] ="Large"),SUMIFS(Practices_SubPractices[C],Practices_SubPractices[CP],"10",Practices_SubPractices[Org],"Large"),"TBD"))))))))))))))))))))))))))))))</f>
        <v>0</v>
      </c>
      <c r="Q93" s="77">
        <f>IF(AND(Practices_SubPractices[CP]=1,Practices_SubPractices[Org]="Small"),SUMIFS(Practices_SubPractices[D],Practices_SubPractices[CP],"1",Practices_SubPractices[Org],"Small"),IF(AND(Practices_SubPractices[CP]=2,Practices_SubPractices[Org]="Small"),SUMIFS(Practices_SubPractices[D],Practices_SubPractices[CP],"2",Practices_SubPractices[Org],"Small"),IF(AND(Practices_SubPractices[CP]=3,Practices_SubPractices[Org]="Small"),SUMIFS(Practices_SubPractices[D],Practices_SubPractices[CP],"3",Practices_SubPractices[Org],"Small"),IF(AND(Practices_SubPractices[CP]=4,Practices_SubPractices[Org]="Small"),SUMIFS(Practices_SubPractices[D],Practices_SubPractices[CP],"4",Practices_SubPractices[Org],"Small"),IF(AND(Practices_SubPractices[CP]=5,Practices_SubPractices[Org]="Small"),SUMIFS(Practices_SubPractices[D],Practices_SubPractices[CP],"5",Practices_SubPractices[Org],"Small"),IF(AND(Practices_SubPractices[CP]=6,Practices_SubPractices[Org]="Small"),SUMIFS(Practices_SubPractices[D],Practices_SubPractices[CP],"6",Practices_SubPractices[Org],"Small"),IF(AND(Practices_SubPractices[CP]=7,Practices_SubPractices[Org] ="Small"),SUMIFS(Practices_SubPractices[D],Practices_SubPractices[CP],"7",Practices_SubPractices[Org],"Small"),IF(AND(Practices_SubPractices[CP]=8,Practices_SubPractices[Org] ="Small"),SUMIFS(Practices_SubPractices[D],Practices_SubPractices[CP],"8",Practices_SubPractices[Org],"Small"),IF(AND(Practices_SubPractices[CP]=9,Practices_SubPractices[Org] ="Small"),SUMIFS(Practices_SubPractices[D],Practices_SubPractices[CP],"9",Practices_SubPractices[Org],"Small"),IF(AND(Practices_SubPractices[CP]=10,Practices_SubPractices[Org] ="Small"),SUMIFS(Practices_SubPractices[D],Practices_SubPractices[CP],"10",Practices_SubPractices[Org],"Small"),IF(AND(Practices_SubPractices[CP]=1,Practices_SubPractices[Org]="Medium"),SUMIFS(Practices_SubPractices[D],Practices_SubPractices[CP],"1",Practices_SubPractices[Org],"Medium"),IF(AND(Practices_SubPractices[CP]=2,Practices_SubPractices[Org]="Medium"),SUMIFS(Practices_SubPractices[D],Practices_SubPractices[CP],"2",Practices_SubPractices[Org],"Medium"),IF(AND(Practices_SubPractices[CP]=3,Practices_SubPractices[Org]="Medium"),SUMIFS(Practices_SubPractices[D],Practices_SubPractices[CP],"3",Practices_SubPractices[Org],"Medium"),IF(AND(Practices_SubPractices[CP]=4,Practices_SubPractices[Org]="Medium"),SUMIFS(Practices_SubPractices[D],Practices_SubPractices[CP],"4",Practices_SubPractices[Org],"Medium"),IF(AND(Practices_SubPractices[CP]=5,Practices_SubPractices[Org]="Medium"),SUMIFS(Practices_SubPractices[D],Practices_SubPractices[CP],"5",Practices_SubPractices[Org],"Medium"),IF(AND(Practices_SubPractices[CP]=6,Practices_SubPractices[Org]="Medium"),SUMIFS(Practices_SubPractices[D],Practices_SubPractices[CP],"6",Practices_SubPractices[Org],"Medium"),IF(AND(Practices_SubPractices[CP]=7,Practices_SubPractices[Org] ="Medium"),SUMIFS(Practices_SubPractices[D],Practices_SubPractices[CP],"7",Practices_SubPractices[Org],"Medium"),IF(AND(Practices_SubPractices[CP]=8,Practices_SubPractices[Org] ="Medium"),SUMIFS(Practices_SubPractices[D],Practices_SubPractices[CP],"8",Practices_SubPractices[Org],"Medium"),IF(AND(Practices_SubPractices[CP]=9,Practices_SubPractices[Org] ="Medium"),SUMIFS(Practices_SubPractices[D],Practices_SubPractices[CP],"9",Practices_SubPractices[Org],"Medium"),IF(AND(Practices_SubPractices[CP]=10,Practices_SubPractices[Org] ="Medium"),SUMIFS(Practices_SubPractices[D],Practices_SubPractices[CP],"10",Practices_SubPractices[Org],"Medium"),IF(AND(Practices_SubPractices[CP]=1,Practices_SubPractices[Org]="Large"),SUMIFS(Practices_SubPractices[D],Practices_SubPractices[CP],"1",Practices_SubPractices[Org],"Large"),IF(AND(Practices_SubPractices[CP]=2,Practices_SubPractices[Org]="Large"),SUMIFS(Practices_SubPractices[D],Practices_SubPractices[CP],"2",Practices_SubPractices[Org],"Large"),IF(AND(Practices_SubPractices[CP]=3,Practices_SubPractices[Org]="Large"),SUMIFS(Practices_SubPractices[D],Practices_SubPractices[CP],"3",Practices_SubPractices[Org],"Large"),IF(AND(Practices_SubPractices[CP]=4,Practices_SubPractices[Org]="Large"),SUMIFS(Practices_SubPractices[D],Practices_SubPractices[CP],"4",Practices_SubPractices[Org],"Large"),IF(AND(Practices_SubPractices[CP]=5,Practices_SubPractices[Org]="Large"),SUMIFS(Practices_SubPractices[D],Practices_SubPractices[CP],"5",Practices_SubPractices[Org],"Large"),IF(AND(Practices_SubPractices[CP]=6,Practices_SubPractices[Org]="Large"),SUMIFS(Practices_SubPractices[D],Practices_SubPractices[CP],"6",Practices_SubPractices[Org],"Large"),IF(AND(Practices_SubPractices[CP]=7,Practices_SubPractices[Org] ="Large"),SUMIFS(Practices_SubPractices[D],Practices_SubPractices[CP],"7",Practices_SubPractices[Org],"Large"),IF(AND(Practices_SubPractices[CP]=8,Practices_SubPractices[Org] ="Large"),SUMIFS(Practices_SubPractices[D],Practices_SubPractices[CP],"8",Practices_SubPractices[Org],"Large"),IF(AND(Practices_SubPractices[CP]=9,Practices_SubPractices[Org] ="Large"),SUMIFS(Practices_SubPractices[D],Practices_SubPractices[CP],"9",Practices_SubPractices[Org],"Large"),IF(AND(Practices_SubPractices[CP]=10,Practices_SubPractices[Org] ="Large"),SUMIFS(Practices_SubPractices[D],Practices_SubPractices[CP],"10",Practices_SubPractices[Org],"Large"),"TBD"))))))))))))))))))))))))))))))</f>
        <v>6</v>
      </c>
      <c r="R93" s="77">
        <f>IF(AND(Practices_SubPractices[CP]=1,Practices_SubPractices[Org]="Small"),SUMIFS(Practices_SubPractices[E],Practices_SubPractices[CP],"1",Practices_SubPractices[Org],"Small"),IF(AND(Practices_SubPractices[CP]=2,Practices_SubPractices[Org]="Small"),SUMIFS(Practices_SubPractices[E],Practices_SubPractices[CP],"2",Practices_SubPractices[Org],"Small"),IF(AND(Practices_SubPractices[CP]=3,Practices_SubPractices[Org]="Small"),SUMIFS(Practices_SubPractices[E],Practices_SubPractices[CP],"3",Practices_SubPractices[Org],"Small"),IF(AND(Practices_SubPractices[CP]=4,Practices_SubPractices[Org]="Small"),SUMIFS(Practices_SubPractices[E],Practices_SubPractices[CP],"4",Practices_SubPractices[Org],"Small"),IF(AND(Practices_SubPractices[CP]=5,Practices_SubPractices[Org]="Small"),SUMIFS(Practices_SubPractices[E],Practices_SubPractices[CP],"5",Practices_SubPractices[Org],"Small"),IF(AND(Practices_SubPractices[CP]=6,Practices_SubPractices[Org]="Small"),SUMIFS(Practices_SubPractices[E],Practices_SubPractices[CP],"6",Practices_SubPractices[Org],"Small"),IF(AND(Practices_SubPractices[CP]=7,Practices_SubPractices[Org] ="Small"),SUMIFS(Practices_SubPractices[E],Practices_SubPractices[CP],"7",Practices_SubPractices[Org],"Small"),IF(AND(Practices_SubPractices[CP]=8,Practices_SubPractices[Org] ="Small"),SUMIFS(Practices_SubPractices[E],Practices_SubPractices[CP],"8",Practices_SubPractices[Org],"Small"),IF(AND(Practices_SubPractices[CP]=9,Practices_SubPractices[Org] ="Small"),SUMIFS(Practices_SubPractices[E],Practices_SubPractices[CP],"9",Practices_SubPractices[Org],"Small"),IF(AND(Practices_SubPractices[CP]=10,Practices_SubPractices[Org] ="Small"),SUMIFS(Practices_SubPractices[E],Practices_SubPractices[CP],"10",Practices_SubPractices[Org],"Small"),IF(AND(Practices_SubPractices[CP]=1,Practices_SubPractices[Org]="Medium"),SUMIFS(Practices_SubPractices[E],Practices_SubPractices[CP],"1",Practices_SubPractices[Org],"Medium"),IF(AND(Practices_SubPractices[CP]=2,Practices_SubPractices[Org]="Medium"),SUMIFS(Practices_SubPractices[E],Practices_SubPractices[CP],"2",Practices_SubPractices[Org],"Medium"),IF(AND(Practices_SubPractices[CP]=3,Practices_SubPractices[Org]="Medium"),SUMIFS(Practices_SubPractices[E],Practices_SubPractices[CP],"3",Practices_SubPractices[Org],"Medium"),IF(AND(Practices_SubPractices[CP]=4,Practices_SubPractices[Org]="Medium"),SUMIFS(Practices_SubPractices[E],Practices_SubPractices[CP],"4",Practices_SubPractices[Org],"Medium"),IF(AND(Practices_SubPractices[CP]=5,Practices_SubPractices[Org]="Medium"),SUMIFS(Practices_SubPractices[E],Practices_SubPractices[CP],"5",Practices_SubPractices[Org],"Medium"),IF(AND(Practices_SubPractices[CP]=6,Practices_SubPractices[Org]="Medium"),SUMIFS(Practices_SubPractices[E],Practices_SubPractices[CP],"6",Practices_SubPractices[Org],"Medium"),IF(AND(Practices_SubPractices[CP]=7,Practices_SubPractices[Org] ="Medium"),SUMIFS(Practices_SubPractices[E],Practices_SubPractices[CP],"7",Practices_SubPractices[Org],"Medium"),IF(AND(Practices_SubPractices[CP]=8,Practices_SubPractices[Org] ="Medium"),SUMIFS(Practices_SubPractices[E],Practices_SubPractices[CP],"8",Practices_SubPractices[Org],"Medium"),IF(AND(Practices_SubPractices[CP]=9,Practices_SubPractices[Org] ="Medium"),SUMIFS(Practices_SubPractices[E],Practices_SubPractices[CP],"9",Practices_SubPractices[Org],"Medium"),IF(AND(Practices_SubPractices[CP]=10,Practices_SubPractices[Org] ="Medium"),SUMIFS(Practices_SubPractices[E],Practices_SubPractices[CP],"10",Practices_SubPractices[Org],"Medium"),IF(AND(Practices_SubPractices[CP]=1,Practices_SubPractices[Org]="Large"),SUMIFS(Practices_SubPractices[E],Practices_SubPractices[CP],"1",Practices_SubPractices[Org],"Large"),IF(AND(Practices_SubPractices[CP]=2,Practices_SubPractices[Org]="Large"),SUMIFS(Practices_SubPractices[E],Practices_SubPractices[CP],"2",Practices_SubPractices[Org],"Large"),IF(AND(Practices_SubPractices[CP]=3,Practices_SubPractices[Org]="Large"),SUMIFS(Practices_SubPractices[E],Practices_SubPractices[CP],"3",Practices_SubPractices[Org],"Large"),IF(AND(Practices_SubPractices[CP]=4,Practices_SubPractices[Org]="Large"),SUMIFS(Practices_SubPractices[E],Practices_SubPractices[CP],"4",Practices_SubPractices[Org],"Large"),IF(AND(Practices_SubPractices[CP]=5,Practices_SubPractices[Org]="Large"),SUMIFS(Practices_SubPractices[E],Practices_SubPractices[CP],"5",Practices_SubPractices[Org],"Large"),IF(AND(Practices_SubPractices[CP]=6,Practices_SubPractices[Org]="Large"),SUMIFS(Practices_SubPractices[E],Practices_SubPractices[CP],"6",Practices_SubPractices[Org],"Large"),IF(AND(Practices_SubPractices[CP]=7,Practices_SubPractices[Org] ="Large"),SUMIFS(Practices_SubPractices[E],Practices_SubPractices[CP],"7",Practices_SubPractices[Org],"Large"),IF(AND(Practices_SubPractices[CP]=8,Practices_SubPractices[Org] ="Large"),SUMIFS(Practices_SubPractices[E],Practices_SubPractices[CP],"8",Practices_SubPractices[Org],"Large"),IF(AND(Practices_SubPractices[CP]=9,Practices_SubPractices[Org] ="Large"),SUMIFS(Practices_SubPractices[E],Practices_SubPractices[CP],"9",Practices_SubPractices[Org],"Large"),IF(AND(Practices_SubPractices[CP]=10,Practices_SubPractices[Org] ="Large"),SUMIFS(Practices_SubPractices[E],Practices_SubPractices[CP],"10",Practices_SubPractices[Org],"Large"),"TBD"))))))))))))))))))))))))))))))</f>
        <v>18</v>
      </c>
      <c r="S93" s="86" t="s">
        <v>429</v>
      </c>
    </row>
    <row r="94" spans="1:19" x14ac:dyDescent="0.35">
      <c r="A94" s="73">
        <v>84</v>
      </c>
      <c r="B94" s="73">
        <v>9</v>
      </c>
      <c r="C94" s="73" t="s">
        <v>11</v>
      </c>
      <c r="D94" s="73" t="str">
        <f>Practices_SubPractices[[#This Row],[CP]]&amp;LEFT(Practices_SubPractices[[#This Row],[Org]],1)</f>
        <v>9M</v>
      </c>
      <c r="E94" s="73" t="s">
        <v>267</v>
      </c>
      <c r="F94" s="74" t="s">
        <v>163</v>
      </c>
      <c r="G94" s="74" t="s">
        <v>168</v>
      </c>
      <c r="H94" s="74" t="s">
        <v>370</v>
      </c>
      <c r="I94" s="75">
        <v>0</v>
      </c>
      <c r="J94" s="75">
        <v>1</v>
      </c>
      <c r="K94" s="75">
        <v>0</v>
      </c>
      <c r="L94" s="75">
        <v>1</v>
      </c>
      <c r="M94" s="75">
        <v>2</v>
      </c>
      <c r="N94" s="76"/>
      <c r="O94" s="77">
        <f>IF(AND(Practices_SubPractices[CP]=1,Practices_SubPractices[Org]="Small"),SUMIFS(Practices_SubPractices[B],Practices_SubPractices[CP],"1",Practices_SubPractices[Org],"Small"),IF(AND(Practices_SubPractices[CP]=2,Practices_SubPractices[Org]="Small"),SUMIFS(Practices_SubPractices[B],Practices_SubPractices[CP],"2",Practices_SubPractices[Org],"Small"),IF(AND(Practices_SubPractices[CP]=3,Practices_SubPractices[Org]="Small"),SUMIFS(Practices_SubPractices[B],Practices_SubPractices[CP],"3",Practices_SubPractices[Org],"Small"),IF(AND(Practices_SubPractices[CP]=4,Practices_SubPractices[Org]="Small"),SUMIFS(Practices_SubPractices[B],Practices_SubPractices[CP],"4",Practices_SubPractices[Org],"Small"),IF(AND(Practices_SubPractices[CP]=5,Practices_SubPractices[Org]="Small"),SUMIFS(Practices_SubPractices[B],Practices_SubPractices[CP],"5",Practices_SubPractices[Org],"Small"),IF(AND(Practices_SubPractices[CP]=6,Practices_SubPractices[Org]="Small"),SUMIFS(Practices_SubPractices[B],Practices_SubPractices[CP],"6",Practices_SubPractices[Org],"Small"),IF(AND(Practices_SubPractices[CP]=7,Practices_SubPractices[Org] ="Small"),SUMIFS(Practices_SubPractices[B],Practices_SubPractices[CP],"7",Practices_SubPractices[Org],"Small"),IF(AND(Practices_SubPractices[CP]=8,Practices_SubPractices[Org] ="Small"),SUMIFS(Practices_SubPractices[B],Practices_SubPractices[CP],"8",Practices_SubPractices[Org],"Small"),IF(AND(Practices_SubPractices[CP]=9,Practices_SubPractices[Org] ="Small"),SUMIFS(Practices_SubPractices[B],Practices_SubPractices[CP],"9",Practices_SubPractices[Org],"Small"),IF(AND(Practices_SubPractices[CP]=10,Practices_SubPractices[Org] ="Small"),SUMIFS(Practices_SubPractices[B],Practices_SubPractices[CP],"10",Practices_SubPractices[Org],"Small"),IF(AND(Practices_SubPractices[CP]=1,Practices_SubPractices[Org]="Medium"),SUMIFS(Practices_SubPractices[B],Practices_SubPractices[CP],"1",Practices_SubPractices[Org],"Medium"),IF(AND(Practices_SubPractices[CP]=2,Practices_SubPractices[Org]="Medium"),SUMIFS(Practices_SubPractices[B],Practices_SubPractices[CP],"2",Practices_SubPractices[Org],"Medium"),IF(AND(Practices_SubPractices[CP]=3,Practices_SubPractices[Org]="Medium"),SUMIFS(Practices_SubPractices[B],Practices_SubPractices[CP],"3",Practices_SubPractices[Org],"Medium"),IF(AND(Practices_SubPractices[CP]=4,Practices_SubPractices[Org]="Medium"),SUMIFS(Practices_SubPractices[B],Practices_SubPractices[CP],"4",Practices_SubPractices[Org],"Medium"),IF(AND(Practices_SubPractices[CP]=5,Practices_SubPractices[Org]="Medium"),SUMIFS(Practices_SubPractices[B],Practices_SubPractices[CP],"5",Practices_SubPractices[Org],"Medium"),IF(AND(Practices_SubPractices[CP]=6,Practices_SubPractices[Org]="Medium"),SUMIFS(Practices_SubPractices[B],Practices_SubPractices[CP],"6",Practices_SubPractices[Org],"Medium"),IF(AND(Practices_SubPractices[CP]=7,Practices_SubPractices[Org] ="Medium"),SUMIFS(Practices_SubPractices[B],Practices_SubPractices[CP],"7",Practices_SubPractices[Org],"Medium"),IF(AND(Practices_SubPractices[CP]=8,Practices_SubPractices[Org] ="Medium"),SUMIFS(Practices_SubPractices[B],Practices_SubPractices[CP],"8",Practices_SubPractices[Org],"Medium"),IF(AND(Practices_SubPractices[CP]=9,Practices_SubPractices[Org] ="Medium"),SUMIFS(Practices_SubPractices[B],Practices_SubPractices[CP],"9",Practices_SubPractices[Org],"Medium"),IF(AND(Practices_SubPractices[CP]=10,Practices_SubPractices[Org] ="Medium"),SUMIFS(Practices_SubPractices[B],Practices_SubPractices[CP],"10",Practices_SubPractices[Org],"Medium"),IF(AND(Practices_SubPractices[CP]=1,Practices_SubPractices[Org]="Large"),SUMIFS(Practices_SubPractices[B],Practices_SubPractices[CP],"1",Practices_SubPractices[Org],"Large"),IF(AND(Practices_SubPractices[CP]=2,Practices_SubPractices[Org]="Large"),SUMIFS(Practices_SubPractices[B],Practices_SubPractices[CP],"2",Practices_SubPractices[Org],"Large"),IF(AND(Practices_SubPractices[CP]=3,Practices_SubPractices[Org]="Large"),SUMIFS(Practices_SubPractices[B],Practices_SubPractices[CP],"3",Practices_SubPractices[Org],"Large"),IF(AND(Practices_SubPractices[CP]=4,Practices_SubPractices[Org]="Large"),SUMIFS(Practices_SubPractices[B],Practices_SubPractices[CP],"4",Practices_SubPractices[Org],"Large"),IF(AND(Practices_SubPractices[CP]=5,Practices_SubPractices[Org]="Large"),SUMIFS(Practices_SubPractices[B],Practices_SubPractices[CP],"5",Practices_SubPractices[Org],"Large"),IF(AND(Practices_SubPractices[CP]=6,Practices_SubPractices[Org]="Large"),SUMIFS(Practices_SubPractices[B],Practices_SubPractices[CP],"6",Practices_SubPractices[Org],"Large"),IF(AND(Practices_SubPractices[CP]=7,Practices_SubPractices[Org] ="Large"),SUMIFS(Practices_SubPractices[B],Practices_SubPractices[CP],"7",Practices_SubPractices[Org],"Large"),IF(AND(Practices_SubPractices[CP]=8,Practices_SubPractices[Org] ="Large"),SUMIFS(Practices_SubPractices[B],Practices_SubPractices[CP],"8",Practices_SubPractices[Org],"Large"),IF(AND(Practices_SubPractices[CP]=9,Practices_SubPractices[Org] ="Large"),SUMIFS(Practices_SubPractices[B],Practices_SubPractices[CP],"9",Practices_SubPractices[Org],"Large"),IF(AND(Practices_SubPractices[CP]=10,Practices_SubPractices[Org] ="Large"),SUMIFS(Practices_SubPractices[B],Practices_SubPractices[CP],"10",Practices_SubPractices[Org],"Large"),"TBD"))))))))))))))))))))))))))))))</f>
        <v>4</v>
      </c>
      <c r="P94" s="77">
        <f>IF(AND(Practices_SubPractices[CP]=1,Practices_SubPractices[Org]="Small"),SUMIFS(Practices_SubPractices[C],Practices_SubPractices[CP],"1",Practices_SubPractices[Org],"Small"),IF(AND(Practices_SubPractices[CP]=2,Practices_SubPractices[Org]="Small"),SUMIFS(Practices_SubPractices[C],Practices_SubPractices[CP],"2",Practices_SubPractices[Org],"Small"),IF(AND(Practices_SubPractices[CP]=3,Practices_SubPractices[Org]="Small"),SUMIFS(Practices_SubPractices[C],Practices_SubPractices[CP],"3",Practices_SubPractices[Org],"Small"),IF(AND(Practices_SubPractices[CP]=4,Practices_SubPractices[Org]="Small"),SUMIFS(Practices_SubPractices[C],Practices_SubPractices[CP],"4",Practices_SubPractices[Org],"Small"),IF(AND(Practices_SubPractices[CP]=5,Practices_SubPractices[Org]="Small"),SUMIFS(Practices_SubPractices[C],Practices_SubPractices[CP],"5",Practices_SubPractices[Org],"Small"),IF(AND(Practices_SubPractices[CP]=6,Practices_SubPractices[Org]="Small"),SUMIFS(Practices_SubPractices[C],Practices_SubPractices[CP],"6",Practices_SubPractices[Org],"Small"),IF(AND(Practices_SubPractices[CP]=7,Practices_SubPractices[Org] ="Small"),SUMIFS(Practices_SubPractices[C],Practices_SubPractices[CP],"7",Practices_SubPractices[Org],"Small"),IF(AND(Practices_SubPractices[CP]=8,Practices_SubPractices[Org] ="Small"),SUMIFS(Practices_SubPractices[C],Practices_SubPractices[CP],"8",Practices_SubPractices[Org],"Small"),IF(AND(Practices_SubPractices[CP]=9,Practices_SubPractices[Org] ="Small"),SUMIFS(Practices_SubPractices[C],Practices_SubPractices[CP],"9",Practices_SubPractices[Org],"Small"),IF(AND(Practices_SubPractices[CP]=10,Practices_SubPractices[Org] ="Small"),SUMIFS(Practices_SubPractices[C],Practices_SubPractices[CP],"10",Practices_SubPractices[Org],"Small"),IF(AND(Practices_SubPractices[CP]=1,Practices_SubPractices[Org]="Medium"),SUMIFS(Practices_SubPractices[C],Practices_SubPractices[CP],"1",Practices_SubPractices[Org],"Medium"),IF(AND(Practices_SubPractices[CP]=2,Practices_SubPractices[Org]="Medium"),SUMIFS(Practices_SubPractices[C],Practices_SubPractices[CP],"2",Practices_SubPractices[Org],"Medium"),IF(AND(Practices_SubPractices[CP]=3,Practices_SubPractices[Org]="Medium"),SUMIFS(Practices_SubPractices[C],Practices_SubPractices[CP],"3",Practices_SubPractices[Org],"Medium"),IF(AND(Practices_SubPractices[CP]=4,Practices_SubPractices[Org]="Medium"),SUMIFS(Practices_SubPractices[C],Practices_SubPractices[CP],"4",Practices_SubPractices[Org],"Medium"),IF(AND(Practices_SubPractices[CP]=5,Practices_SubPractices[Org]="Medium"),SUMIFS(Practices_SubPractices[C],Practices_SubPractices[CP],"5",Practices_SubPractices[Org],"Medium"),IF(AND(Practices_SubPractices[CP]=6,Practices_SubPractices[Org]="Medium"),SUMIFS(Practices_SubPractices[C],Practices_SubPractices[CP],"6",Practices_SubPractices[Org],"Medium"),IF(AND(Practices_SubPractices[CP]=7,Practices_SubPractices[Org] ="Medium"),SUMIFS(Practices_SubPractices[C],Practices_SubPractices[CP],"7",Practices_SubPractices[Org],"Medium"),IF(AND(Practices_SubPractices[CP]=8,Practices_SubPractices[Org] ="Medium"),SUMIFS(Practices_SubPractices[C],Practices_SubPractices[CP],"8",Practices_SubPractices[Org],"Medium"),IF(AND(Practices_SubPractices[CP]=9,Practices_SubPractices[Org] ="Medium"),SUMIFS(Practices_SubPractices[C],Practices_SubPractices[CP],"9",Practices_SubPractices[Org],"Medium"),IF(AND(Practices_SubPractices[CP]=10,Practices_SubPractices[Org] ="Medium"),SUMIFS(Practices_SubPractices[C],Practices_SubPractices[CP],"10",Practices_SubPractices[Org],"Medium"),IF(AND(Practices_SubPractices[CP]=1,Practices_SubPractices[Org]="Large"),SUMIFS(Practices_SubPractices[C],Practices_SubPractices[CP],"1",Practices_SubPractices[Org],"Large"),IF(AND(Practices_SubPractices[CP]=2,Practices_SubPractices[Org]="Large"),SUMIFS(Practices_SubPractices[C],Practices_SubPractices[CP],"2",Practices_SubPractices[Org],"Large"),IF(AND(Practices_SubPractices[CP]=3,Practices_SubPractices[Org]="Large"),SUMIFS(Practices_SubPractices[C],Practices_SubPractices[CP],"3",Practices_SubPractices[Org],"Large"),IF(AND(Practices_SubPractices[CP]=4,Practices_SubPractices[Org]="Large"),SUMIFS(Practices_SubPractices[C],Practices_SubPractices[CP],"4",Practices_SubPractices[Org],"Large"),IF(AND(Practices_SubPractices[CP]=5,Practices_SubPractices[Org]="Large"),SUMIFS(Practices_SubPractices[C],Practices_SubPractices[CP],"5",Practices_SubPractices[Org],"Large"),IF(AND(Practices_SubPractices[CP]=6,Practices_SubPractices[Org]="Large"),SUMIFS(Practices_SubPractices[C],Practices_SubPractices[CP],"6",Practices_SubPractices[Org],"Large"),IF(AND(Practices_SubPractices[CP]=7,Practices_SubPractices[Org] ="Large"),SUMIFS(Practices_SubPractices[C],Practices_SubPractices[CP],"7",Practices_SubPractices[Org],"Large"),IF(AND(Practices_SubPractices[CP]=8,Practices_SubPractices[Org] ="Large"),SUMIFS(Practices_SubPractices[C],Practices_SubPractices[CP],"8",Practices_SubPractices[Org],"Large"),IF(AND(Practices_SubPractices[CP]=9,Practices_SubPractices[Org] ="Large"),SUMIFS(Practices_SubPractices[C],Practices_SubPractices[CP],"9",Practices_SubPractices[Org],"Large"),IF(AND(Practices_SubPractices[CP]=10,Practices_SubPractices[Org] ="Large"),SUMIFS(Practices_SubPractices[C],Practices_SubPractices[CP],"10",Practices_SubPractices[Org],"Large"),"TBD"))))))))))))))))))))))))))))))</f>
        <v>0</v>
      </c>
      <c r="Q94" s="77">
        <f>IF(AND(Practices_SubPractices[CP]=1,Practices_SubPractices[Org]="Small"),SUMIFS(Practices_SubPractices[D],Practices_SubPractices[CP],"1",Practices_SubPractices[Org],"Small"),IF(AND(Practices_SubPractices[CP]=2,Practices_SubPractices[Org]="Small"),SUMIFS(Practices_SubPractices[D],Practices_SubPractices[CP],"2",Practices_SubPractices[Org],"Small"),IF(AND(Practices_SubPractices[CP]=3,Practices_SubPractices[Org]="Small"),SUMIFS(Practices_SubPractices[D],Practices_SubPractices[CP],"3",Practices_SubPractices[Org],"Small"),IF(AND(Practices_SubPractices[CP]=4,Practices_SubPractices[Org]="Small"),SUMIFS(Practices_SubPractices[D],Practices_SubPractices[CP],"4",Practices_SubPractices[Org],"Small"),IF(AND(Practices_SubPractices[CP]=5,Practices_SubPractices[Org]="Small"),SUMIFS(Practices_SubPractices[D],Practices_SubPractices[CP],"5",Practices_SubPractices[Org],"Small"),IF(AND(Practices_SubPractices[CP]=6,Practices_SubPractices[Org]="Small"),SUMIFS(Practices_SubPractices[D],Practices_SubPractices[CP],"6",Practices_SubPractices[Org],"Small"),IF(AND(Practices_SubPractices[CP]=7,Practices_SubPractices[Org] ="Small"),SUMIFS(Practices_SubPractices[D],Practices_SubPractices[CP],"7",Practices_SubPractices[Org],"Small"),IF(AND(Practices_SubPractices[CP]=8,Practices_SubPractices[Org] ="Small"),SUMIFS(Practices_SubPractices[D],Practices_SubPractices[CP],"8",Practices_SubPractices[Org],"Small"),IF(AND(Practices_SubPractices[CP]=9,Practices_SubPractices[Org] ="Small"),SUMIFS(Practices_SubPractices[D],Practices_SubPractices[CP],"9",Practices_SubPractices[Org],"Small"),IF(AND(Practices_SubPractices[CP]=10,Practices_SubPractices[Org] ="Small"),SUMIFS(Practices_SubPractices[D],Practices_SubPractices[CP],"10",Practices_SubPractices[Org],"Small"),IF(AND(Practices_SubPractices[CP]=1,Practices_SubPractices[Org]="Medium"),SUMIFS(Practices_SubPractices[D],Practices_SubPractices[CP],"1",Practices_SubPractices[Org],"Medium"),IF(AND(Practices_SubPractices[CP]=2,Practices_SubPractices[Org]="Medium"),SUMIFS(Practices_SubPractices[D],Practices_SubPractices[CP],"2",Practices_SubPractices[Org],"Medium"),IF(AND(Practices_SubPractices[CP]=3,Practices_SubPractices[Org]="Medium"),SUMIFS(Practices_SubPractices[D],Practices_SubPractices[CP],"3",Practices_SubPractices[Org],"Medium"),IF(AND(Practices_SubPractices[CP]=4,Practices_SubPractices[Org]="Medium"),SUMIFS(Practices_SubPractices[D],Practices_SubPractices[CP],"4",Practices_SubPractices[Org],"Medium"),IF(AND(Practices_SubPractices[CP]=5,Practices_SubPractices[Org]="Medium"),SUMIFS(Practices_SubPractices[D],Practices_SubPractices[CP],"5",Practices_SubPractices[Org],"Medium"),IF(AND(Practices_SubPractices[CP]=6,Practices_SubPractices[Org]="Medium"),SUMIFS(Practices_SubPractices[D],Practices_SubPractices[CP],"6",Practices_SubPractices[Org],"Medium"),IF(AND(Practices_SubPractices[CP]=7,Practices_SubPractices[Org] ="Medium"),SUMIFS(Practices_SubPractices[D],Practices_SubPractices[CP],"7",Practices_SubPractices[Org],"Medium"),IF(AND(Practices_SubPractices[CP]=8,Practices_SubPractices[Org] ="Medium"),SUMIFS(Practices_SubPractices[D],Practices_SubPractices[CP],"8",Practices_SubPractices[Org],"Medium"),IF(AND(Practices_SubPractices[CP]=9,Practices_SubPractices[Org] ="Medium"),SUMIFS(Practices_SubPractices[D],Practices_SubPractices[CP],"9",Practices_SubPractices[Org],"Medium"),IF(AND(Practices_SubPractices[CP]=10,Practices_SubPractices[Org] ="Medium"),SUMIFS(Practices_SubPractices[D],Practices_SubPractices[CP],"10",Practices_SubPractices[Org],"Medium"),IF(AND(Practices_SubPractices[CP]=1,Practices_SubPractices[Org]="Large"),SUMIFS(Practices_SubPractices[D],Practices_SubPractices[CP],"1",Practices_SubPractices[Org],"Large"),IF(AND(Practices_SubPractices[CP]=2,Practices_SubPractices[Org]="Large"),SUMIFS(Practices_SubPractices[D],Practices_SubPractices[CP],"2",Practices_SubPractices[Org],"Large"),IF(AND(Practices_SubPractices[CP]=3,Practices_SubPractices[Org]="Large"),SUMIFS(Practices_SubPractices[D],Practices_SubPractices[CP],"3",Practices_SubPractices[Org],"Large"),IF(AND(Practices_SubPractices[CP]=4,Practices_SubPractices[Org]="Large"),SUMIFS(Practices_SubPractices[D],Practices_SubPractices[CP],"4",Practices_SubPractices[Org],"Large"),IF(AND(Practices_SubPractices[CP]=5,Practices_SubPractices[Org]="Large"),SUMIFS(Practices_SubPractices[D],Practices_SubPractices[CP],"5",Practices_SubPractices[Org],"Large"),IF(AND(Practices_SubPractices[CP]=6,Practices_SubPractices[Org]="Large"),SUMIFS(Practices_SubPractices[D],Practices_SubPractices[CP],"6",Practices_SubPractices[Org],"Large"),IF(AND(Practices_SubPractices[CP]=7,Practices_SubPractices[Org] ="Large"),SUMIFS(Practices_SubPractices[D],Practices_SubPractices[CP],"7",Practices_SubPractices[Org],"Large"),IF(AND(Practices_SubPractices[CP]=8,Practices_SubPractices[Org] ="Large"),SUMIFS(Practices_SubPractices[D],Practices_SubPractices[CP],"8",Practices_SubPractices[Org],"Large"),IF(AND(Practices_SubPractices[CP]=9,Practices_SubPractices[Org] ="Large"),SUMIFS(Practices_SubPractices[D],Practices_SubPractices[CP],"9",Practices_SubPractices[Org],"Large"),IF(AND(Practices_SubPractices[CP]=10,Practices_SubPractices[Org] ="Large"),SUMIFS(Practices_SubPractices[D],Practices_SubPractices[CP],"10",Practices_SubPractices[Org],"Large"),"TBD"))))))))))))))))))))))))))))))</f>
        <v>4</v>
      </c>
      <c r="R94" s="77">
        <f>IF(AND(Practices_SubPractices[CP]=1,Practices_SubPractices[Org]="Small"),SUMIFS(Practices_SubPractices[E],Practices_SubPractices[CP],"1",Practices_SubPractices[Org],"Small"),IF(AND(Practices_SubPractices[CP]=2,Practices_SubPractices[Org]="Small"),SUMIFS(Practices_SubPractices[E],Practices_SubPractices[CP],"2",Practices_SubPractices[Org],"Small"),IF(AND(Practices_SubPractices[CP]=3,Practices_SubPractices[Org]="Small"),SUMIFS(Practices_SubPractices[E],Practices_SubPractices[CP],"3",Practices_SubPractices[Org],"Small"),IF(AND(Practices_SubPractices[CP]=4,Practices_SubPractices[Org]="Small"),SUMIFS(Practices_SubPractices[E],Practices_SubPractices[CP],"4",Practices_SubPractices[Org],"Small"),IF(AND(Practices_SubPractices[CP]=5,Practices_SubPractices[Org]="Small"),SUMIFS(Practices_SubPractices[E],Practices_SubPractices[CP],"5",Practices_SubPractices[Org],"Small"),IF(AND(Practices_SubPractices[CP]=6,Practices_SubPractices[Org]="Small"),SUMIFS(Practices_SubPractices[E],Practices_SubPractices[CP],"6",Practices_SubPractices[Org],"Small"),IF(AND(Practices_SubPractices[CP]=7,Practices_SubPractices[Org] ="Small"),SUMIFS(Practices_SubPractices[E],Practices_SubPractices[CP],"7",Practices_SubPractices[Org],"Small"),IF(AND(Practices_SubPractices[CP]=8,Practices_SubPractices[Org] ="Small"),SUMIFS(Practices_SubPractices[E],Practices_SubPractices[CP],"8",Practices_SubPractices[Org],"Small"),IF(AND(Practices_SubPractices[CP]=9,Practices_SubPractices[Org] ="Small"),SUMIFS(Practices_SubPractices[E],Practices_SubPractices[CP],"9",Practices_SubPractices[Org],"Small"),IF(AND(Practices_SubPractices[CP]=10,Practices_SubPractices[Org] ="Small"),SUMIFS(Practices_SubPractices[E],Practices_SubPractices[CP],"10",Practices_SubPractices[Org],"Small"),IF(AND(Practices_SubPractices[CP]=1,Practices_SubPractices[Org]="Medium"),SUMIFS(Practices_SubPractices[E],Practices_SubPractices[CP],"1",Practices_SubPractices[Org],"Medium"),IF(AND(Practices_SubPractices[CP]=2,Practices_SubPractices[Org]="Medium"),SUMIFS(Practices_SubPractices[E],Practices_SubPractices[CP],"2",Practices_SubPractices[Org],"Medium"),IF(AND(Practices_SubPractices[CP]=3,Practices_SubPractices[Org]="Medium"),SUMIFS(Practices_SubPractices[E],Practices_SubPractices[CP],"3",Practices_SubPractices[Org],"Medium"),IF(AND(Practices_SubPractices[CP]=4,Practices_SubPractices[Org]="Medium"),SUMIFS(Practices_SubPractices[E],Practices_SubPractices[CP],"4",Practices_SubPractices[Org],"Medium"),IF(AND(Practices_SubPractices[CP]=5,Practices_SubPractices[Org]="Medium"),SUMIFS(Practices_SubPractices[E],Practices_SubPractices[CP],"5",Practices_SubPractices[Org],"Medium"),IF(AND(Practices_SubPractices[CP]=6,Practices_SubPractices[Org]="Medium"),SUMIFS(Practices_SubPractices[E],Practices_SubPractices[CP],"6",Practices_SubPractices[Org],"Medium"),IF(AND(Practices_SubPractices[CP]=7,Practices_SubPractices[Org] ="Medium"),SUMIFS(Practices_SubPractices[E],Practices_SubPractices[CP],"7",Practices_SubPractices[Org],"Medium"),IF(AND(Practices_SubPractices[CP]=8,Practices_SubPractices[Org] ="Medium"),SUMIFS(Practices_SubPractices[E],Practices_SubPractices[CP],"8",Practices_SubPractices[Org],"Medium"),IF(AND(Practices_SubPractices[CP]=9,Practices_SubPractices[Org] ="Medium"),SUMIFS(Practices_SubPractices[E],Practices_SubPractices[CP],"9",Practices_SubPractices[Org],"Medium"),IF(AND(Practices_SubPractices[CP]=10,Practices_SubPractices[Org] ="Medium"),SUMIFS(Practices_SubPractices[E],Practices_SubPractices[CP],"10",Practices_SubPractices[Org],"Medium"),IF(AND(Practices_SubPractices[CP]=1,Practices_SubPractices[Org]="Large"),SUMIFS(Practices_SubPractices[E],Practices_SubPractices[CP],"1",Practices_SubPractices[Org],"Large"),IF(AND(Practices_SubPractices[CP]=2,Practices_SubPractices[Org]="Large"),SUMIFS(Practices_SubPractices[E],Practices_SubPractices[CP],"2",Practices_SubPractices[Org],"Large"),IF(AND(Practices_SubPractices[CP]=3,Practices_SubPractices[Org]="Large"),SUMIFS(Practices_SubPractices[E],Practices_SubPractices[CP],"3",Practices_SubPractices[Org],"Large"),IF(AND(Practices_SubPractices[CP]=4,Practices_SubPractices[Org]="Large"),SUMIFS(Practices_SubPractices[E],Practices_SubPractices[CP],"4",Practices_SubPractices[Org],"Large"),IF(AND(Practices_SubPractices[CP]=5,Practices_SubPractices[Org]="Large"),SUMIFS(Practices_SubPractices[E],Practices_SubPractices[CP],"5",Practices_SubPractices[Org],"Large"),IF(AND(Practices_SubPractices[CP]=6,Practices_SubPractices[Org]="Large"),SUMIFS(Practices_SubPractices[E],Practices_SubPractices[CP],"6",Practices_SubPractices[Org],"Large"),IF(AND(Practices_SubPractices[CP]=7,Practices_SubPractices[Org] ="Large"),SUMIFS(Practices_SubPractices[E],Practices_SubPractices[CP],"7",Practices_SubPractices[Org],"Large"),IF(AND(Practices_SubPractices[CP]=8,Practices_SubPractices[Org] ="Large"),SUMIFS(Practices_SubPractices[E],Practices_SubPractices[CP],"8",Practices_SubPractices[Org],"Large"),IF(AND(Practices_SubPractices[CP]=9,Practices_SubPractices[Org] ="Large"),SUMIFS(Practices_SubPractices[E],Practices_SubPractices[CP],"9",Practices_SubPractices[Org],"Large"),IF(AND(Practices_SubPractices[CP]=10,Practices_SubPractices[Org] ="Large"),SUMIFS(Practices_SubPractices[E],Practices_SubPractices[CP],"10",Practices_SubPractices[Org],"Large"),"TBD"))))))))))))))))))))))))))))))</f>
        <v>10</v>
      </c>
      <c r="S94" s="48" t="s">
        <v>430</v>
      </c>
    </row>
    <row r="95" spans="1:19" x14ac:dyDescent="0.35">
      <c r="A95" s="73">
        <v>85</v>
      </c>
      <c r="B95" s="73">
        <v>9</v>
      </c>
      <c r="C95" s="73" t="s">
        <v>12</v>
      </c>
      <c r="D95" s="73" t="str">
        <f>Practices_SubPractices[[#This Row],[CP]]&amp;LEFT(Practices_SubPractices[[#This Row],[Org]],1)</f>
        <v>9L</v>
      </c>
      <c r="E95" s="73" t="s">
        <v>267</v>
      </c>
      <c r="F95" s="74" t="s">
        <v>163</v>
      </c>
      <c r="G95" s="74" t="s">
        <v>168</v>
      </c>
      <c r="H95" s="74" t="s">
        <v>370</v>
      </c>
      <c r="I95" s="75">
        <v>0</v>
      </c>
      <c r="J95" s="75">
        <v>1</v>
      </c>
      <c r="K95" s="75">
        <v>0</v>
      </c>
      <c r="L95" s="75">
        <v>1</v>
      </c>
      <c r="M95" s="75">
        <v>2</v>
      </c>
      <c r="N95" s="76"/>
      <c r="O95" s="77">
        <f>IF(AND(Practices_SubPractices[CP]=1,Practices_SubPractices[Org]="Small"),SUMIFS(Practices_SubPractices[B],Practices_SubPractices[CP],"1",Practices_SubPractices[Org],"Small"),IF(AND(Practices_SubPractices[CP]=2,Practices_SubPractices[Org]="Small"),SUMIFS(Practices_SubPractices[B],Practices_SubPractices[CP],"2",Practices_SubPractices[Org],"Small"),IF(AND(Practices_SubPractices[CP]=3,Practices_SubPractices[Org]="Small"),SUMIFS(Practices_SubPractices[B],Practices_SubPractices[CP],"3",Practices_SubPractices[Org],"Small"),IF(AND(Practices_SubPractices[CP]=4,Practices_SubPractices[Org]="Small"),SUMIFS(Practices_SubPractices[B],Practices_SubPractices[CP],"4",Practices_SubPractices[Org],"Small"),IF(AND(Practices_SubPractices[CP]=5,Practices_SubPractices[Org]="Small"),SUMIFS(Practices_SubPractices[B],Practices_SubPractices[CP],"5",Practices_SubPractices[Org],"Small"),IF(AND(Practices_SubPractices[CP]=6,Practices_SubPractices[Org]="Small"),SUMIFS(Practices_SubPractices[B],Practices_SubPractices[CP],"6",Practices_SubPractices[Org],"Small"),IF(AND(Practices_SubPractices[CP]=7,Practices_SubPractices[Org] ="Small"),SUMIFS(Practices_SubPractices[B],Practices_SubPractices[CP],"7",Practices_SubPractices[Org],"Small"),IF(AND(Practices_SubPractices[CP]=8,Practices_SubPractices[Org] ="Small"),SUMIFS(Practices_SubPractices[B],Practices_SubPractices[CP],"8",Practices_SubPractices[Org],"Small"),IF(AND(Practices_SubPractices[CP]=9,Practices_SubPractices[Org] ="Small"),SUMIFS(Practices_SubPractices[B],Practices_SubPractices[CP],"9",Practices_SubPractices[Org],"Small"),IF(AND(Practices_SubPractices[CP]=10,Practices_SubPractices[Org] ="Small"),SUMIFS(Practices_SubPractices[B],Practices_SubPractices[CP],"10",Practices_SubPractices[Org],"Small"),IF(AND(Practices_SubPractices[CP]=1,Practices_SubPractices[Org]="Medium"),SUMIFS(Practices_SubPractices[B],Practices_SubPractices[CP],"1",Practices_SubPractices[Org],"Medium"),IF(AND(Practices_SubPractices[CP]=2,Practices_SubPractices[Org]="Medium"),SUMIFS(Practices_SubPractices[B],Practices_SubPractices[CP],"2",Practices_SubPractices[Org],"Medium"),IF(AND(Practices_SubPractices[CP]=3,Practices_SubPractices[Org]="Medium"),SUMIFS(Practices_SubPractices[B],Practices_SubPractices[CP],"3",Practices_SubPractices[Org],"Medium"),IF(AND(Practices_SubPractices[CP]=4,Practices_SubPractices[Org]="Medium"),SUMIFS(Practices_SubPractices[B],Practices_SubPractices[CP],"4",Practices_SubPractices[Org],"Medium"),IF(AND(Practices_SubPractices[CP]=5,Practices_SubPractices[Org]="Medium"),SUMIFS(Practices_SubPractices[B],Practices_SubPractices[CP],"5",Practices_SubPractices[Org],"Medium"),IF(AND(Practices_SubPractices[CP]=6,Practices_SubPractices[Org]="Medium"),SUMIFS(Practices_SubPractices[B],Practices_SubPractices[CP],"6",Practices_SubPractices[Org],"Medium"),IF(AND(Practices_SubPractices[CP]=7,Practices_SubPractices[Org] ="Medium"),SUMIFS(Practices_SubPractices[B],Practices_SubPractices[CP],"7",Practices_SubPractices[Org],"Medium"),IF(AND(Practices_SubPractices[CP]=8,Practices_SubPractices[Org] ="Medium"),SUMIFS(Practices_SubPractices[B],Practices_SubPractices[CP],"8",Practices_SubPractices[Org],"Medium"),IF(AND(Practices_SubPractices[CP]=9,Practices_SubPractices[Org] ="Medium"),SUMIFS(Practices_SubPractices[B],Practices_SubPractices[CP],"9",Practices_SubPractices[Org],"Medium"),IF(AND(Practices_SubPractices[CP]=10,Practices_SubPractices[Org] ="Medium"),SUMIFS(Practices_SubPractices[B],Practices_SubPractices[CP],"10",Practices_SubPractices[Org],"Medium"),IF(AND(Practices_SubPractices[CP]=1,Practices_SubPractices[Org]="Large"),SUMIFS(Practices_SubPractices[B],Practices_SubPractices[CP],"1",Practices_SubPractices[Org],"Large"),IF(AND(Practices_SubPractices[CP]=2,Practices_SubPractices[Org]="Large"),SUMIFS(Practices_SubPractices[B],Practices_SubPractices[CP],"2",Practices_SubPractices[Org],"Large"),IF(AND(Practices_SubPractices[CP]=3,Practices_SubPractices[Org]="Large"),SUMIFS(Practices_SubPractices[B],Practices_SubPractices[CP],"3",Practices_SubPractices[Org],"Large"),IF(AND(Practices_SubPractices[CP]=4,Practices_SubPractices[Org]="Large"),SUMIFS(Practices_SubPractices[B],Practices_SubPractices[CP],"4",Practices_SubPractices[Org],"Large"),IF(AND(Practices_SubPractices[CP]=5,Practices_SubPractices[Org]="Large"),SUMIFS(Practices_SubPractices[B],Practices_SubPractices[CP],"5",Practices_SubPractices[Org],"Large"),IF(AND(Practices_SubPractices[CP]=6,Practices_SubPractices[Org]="Large"),SUMIFS(Practices_SubPractices[B],Practices_SubPractices[CP],"6",Practices_SubPractices[Org],"Large"),IF(AND(Practices_SubPractices[CP]=7,Practices_SubPractices[Org] ="Large"),SUMIFS(Practices_SubPractices[B],Practices_SubPractices[CP],"7",Practices_SubPractices[Org],"Large"),IF(AND(Practices_SubPractices[CP]=8,Practices_SubPractices[Org] ="Large"),SUMIFS(Practices_SubPractices[B],Practices_SubPractices[CP],"8",Practices_SubPractices[Org],"Large"),IF(AND(Practices_SubPractices[CP]=9,Practices_SubPractices[Org] ="Large"),SUMIFS(Practices_SubPractices[B],Practices_SubPractices[CP],"9",Practices_SubPractices[Org],"Large"),IF(AND(Practices_SubPractices[CP]=10,Practices_SubPractices[Org] ="Large"),SUMIFS(Practices_SubPractices[B],Practices_SubPractices[CP],"10",Practices_SubPractices[Org],"Large"),"TBD"))))))))))))))))))))))))))))))</f>
        <v>6</v>
      </c>
      <c r="P95" s="77">
        <f>IF(AND(Practices_SubPractices[CP]=1,Practices_SubPractices[Org]="Small"),SUMIFS(Practices_SubPractices[C],Practices_SubPractices[CP],"1",Practices_SubPractices[Org],"Small"),IF(AND(Practices_SubPractices[CP]=2,Practices_SubPractices[Org]="Small"),SUMIFS(Practices_SubPractices[C],Practices_SubPractices[CP],"2",Practices_SubPractices[Org],"Small"),IF(AND(Practices_SubPractices[CP]=3,Practices_SubPractices[Org]="Small"),SUMIFS(Practices_SubPractices[C],Practices_SubPractices[CP],"3",Practices_SubPractices[Org],"Small"),IF(AND(Practices_SubPractices[CP]=4,Practices_SubPractices[Org]="Small"),SUMIFS(Practices_SubPractices[C],Practices_SubPractices[CP],"4",Practices_SubPractices[Org],"Small"),IF(AND(Practices_SubPractices[CP]=5,Practices_SubPractices[Org]="Small"),SUMIFS(Practices_SubPractices[C],Practices_SubPractices[CP],"5",Practices_SubPractices[Org],"Small"),IF(AND(Practices_SubPractices[CP]=6,Practices_SubPractices[Org]="Small"),SUMIFS(Practices_SubPractices[C],Practices_SubPractices[CP],"6",Practices_SubPractices[Org],"Small"),IF(AND(Practices_SubPractices[CP]=7,Practices_SubPractices[Org] ="Small"),SUMIFS(Practices_SubPractices[C],Practices_SubPractices[CP],"7",Practices_SubPractices[Org],"Small"),IF(AND(Practices_SubPractices[CP]=8,Practices_SubPractices[Org] ="Small"),SUMIFS(Practices_SubPractices[C],Practices_SubPractices[CP],"8",Practices_SubPractices[Org],"Small"),IF(AND(Practices_SubPractices[CP]=9,Practices_SubPractices[Org] ="Small"),SUMIFS(Practices_SubPractices[C],Practices_SubPractices[CP],"9",Practices_SubPractices[Org],"Small"),IF(AND(Practices_SubPractices[CP]=10,Practices_SubPractices[Org] ="Small"),SUMIFS(Practices_SubPractices[C],Practices_SubPractices[CP],"10",Practices_SubPractices[Org],"Small"),IF(AND(Practices_SubPractices[CP]=1,Practices_SubPractices[Org]="Medium"),SUMIFS(Practices_SubPractices[C],Practices_SubPractices[CP],"1",Practices_SubPractices[Org],"Medium"),IF(AND(Practices_SubPractices[CP]=2,Practices_SubPractices[Org]="Medium"),SUMIFS(Practices_SubPractices[C],Practices_SubPractices[CP],"2",Practices_SubPractices[Org],"Medium"),IF(AND(Practices_SubPractices[CP]=3,Practices_SubPractices[Org]="Medium"),SUMIFS(Practices_SubPractices[C],Practices_SubPractices[CP],"3",Practices_SubPractices[Org],"Medium"),IF(AND(Practices_SubPractices[CP]=4,Practices_SubPractices[Org]="Medium"),SUMIFS(Practices_SubPractices[C],Practices_SubPractices[CP],"4",Practices_SubPractices[Org],"Medium"),IF(AND(Practices_SubPractices[CP]=5,Practices_SubPractices[Org]="Medium"),SUMIFS(Practices_SubPractices[C],Practices_SubPractices[CP],"5",Practices_SubPractices[Org],"Medium"),IF(AND(Practices_SubPractices[CP]=6,Practices_SubPractices[Org]="Medium"),SUMIFS(Practices_SubPractices[C],Practices_SubPractices[CP],"6",Practices_SubPractices[Org],"Medium"),IF(AND(Practices_SubPractices[CP]=7,Practices_SubPractices[Org] ="Medium"),SUMIFS(Practices_SubPractices[C],Practices_SubPractices[CP],"7",Practices_SubPractices[Org],"Medium"),IF(AND(Practices_SubPractices[CP]=8,Practices_SubPractices[Org] ="Medium"),SUMIFS(Practices_SubPractices[C],Practices_SubPractices[CP],"8",Practices_SubPractices[Org],"Medium"),IF(AND(Practices_SubPractices[CP]=9,Practices_SubPractices[Org] ="Medium"),SUMIFS(Practices_SubPractices[C],Practices_SubPractices[CP],"9",Practices_SubPractices[Org],"Medium"),IF(AND(Practices_SubPractices[CP]=10,Practices_SubPractices[Org] ="Medium"),SUMIFS(Practices_SubPractices[C],Practices_SubPractices[CP],"10",Practices_SubPractices[Org],"Medium"),IF(AND(Practices_SubPractices[CP]=1,Practices_SubPractices[Org]="Large"),SUMIFS(Practices_SubPractices[C],Practices_SubPractices[CP],"1",Practices_SubPractices[Org],"Large"),IF(AND(Practices_SubPractices[CP]=2,Practices_SubPractices[Org]="Large"),SUMIFS(Practices_SubPractices[C],Practices_SubPractices[CP],"2",Practices_SubPractices[Org],"Large"),IF(AND(Practices_SubPractices[CP]=3,Practices_SubPractices[Org]="Large"),SUMIFS(Practices_SubPractices[C],Practices_SubPractices[CP],"3",Practices_SubPractices[Org],"Large"),IF(AND(Practices_SubPractices[CP]=4,Practices_SubPractices[Org]="Large"),SUMIFS(Practices_SubPractices[C],Practices_SubPractices[CP],"4",Practices_SubPractices[Org],"Large"),IF(AND(Practices_SubPractices[CP]=5,Practices_SubPractices[Org]="Large"),SUMIFS(Practices_SubPractices[C],Practices_SubPractices[CP],"5",Practices_SubPractices[Org],"Large"),IF(AND(Practices_SubPractices[CP]=6,Practices_SubPractices[Org]="Large"),SUMIFS(Practices_SubPractices[C],Practices_SubPractices[CP],"6",Practices_SubPractices[Org],"Large"),IF(AND(Practices_SubPractices[CP]=7,Practices_SubPractices[Org] ="Large"),SUMIFS(Practices_SubPractices[C],Practices_SubPractices[CP],"7",Practices_SubPractices[Org],"Large"),IF(AND(Practices_SubPractices[CP]=8,Practices_SubPractices[Org] ="Large"),SUMIFS(Practices_SubPractices[C],Practices_SubPractices[CP],"8",Practices_SubPractices[Org],"Large"),IF(AND(Practices_SubPractices[CP]=9,Practices_SubPractices[Org] ="Large"),SUMIFS(Practices_SubPractices[C],Practices_SubPractices[CP],"9",Practices_SubPractices[Org],"Large"),IF(AND(Practices_SubPractices[CP]=10,Practices_SubPractices[Org] ="Large"),SUMIFS(Practices_SubPractices[C],Practices_SubPractices[CP],"10",Practices_SubPractices[Org],"Large"),"TBD"))))))))))))))))))))))))))))))</f>
        <v>0</v>
      </c>
      <c r="Q95" s="77">
        <f>IF(AND(Practices_SubPractices[CP]=1,Practices_SubPractices[Org]="Small"),SUMIFS(Practices_SubPractices[D],Practices_SubPractices[CP],"1",Practices_SubPractices[Org],"Small"),IF(AND(Practices_SubPractices[CP]=2,Practices_SubPractices[Org]="Small"),SUMIFS(Practices_SubPractices[D],Practices_SubPractices[CP],"2",Practices_SubPractices[Org],"Small"),IF(AND(Practices_SubPractices[CP]=3,Practices_SubPractices[Org]="Small"),SUMIFS(Practices_SubPractices[D],Practices_SubPractices[CP],"3",Practices_SubPractices[Org],"Small"),IF(AND(Practices_SubPractices[CP]=4,Practices_SubPractices[Org]="Small"),SUMIFS(Practices_SubPractices[D],Practices_SubPractices[CP],"4",Practices_SubPractices[Org],"Small"),IF(AND(Practices_SubPractices[CP]=5,Practices_SubPractices[Org]="Small"),SUMIFS(Practices_SubPractices[D],Practices_SubPractices[CP],"5",Practices_SubPractices[Org],"Small"),IF(AND(Practices_SubPractices[CP]=6,Practices_SubPractices[Org]="Small"),SUMIFS(Practices_SubPractices[D],Practices_SubPractices[CP],"6",Practices_SubPractices[Org],"Small"),IF(AND(Practices_SubPractices[CP]=7,Practices_SubPractices[Org] ="Small"),SUMIFS(Practices_SubPractices[D],Practices_SubPractices[CP],"7",Practices_SubPractices[Org],"Small"),IF(AND(Practices_SubPractices[CP]=8,Practices_SubPractices[Org] ="Small"),SUMIFS(Practices_SubPractices[D],Practices_SubPractices[CP],"8",Practices_SubPractices[Org],"Small"),IF(AND(Practices_SubPractices[CP]=9,Practices_SubPractices[Org] ="Small"),SUMIFS(Practices_SubPractices[D],Practices_SubPractices[CP],"9",Practices_SubPractices[Org],"Small"),IF(AND(Practices_SubPractices[CP]=10,Practices_SubPractices[Org] ="Small"),SUMIFS(Practices_SubPractices[D],Practices_SubPractices[CP],"10",Practices_SubPractices[Org],"Small"),IF(AND(Practices_SubPractices[CP]=1,Practices_SubPractices[Org]="Medium"),SUMIFS(Practices_SubPractices[D],Practices_SubPractices[CP],"1",Practices_SubPractices[Org],"Medium"),IF(AND(Practices_SubPractices[CP]=2,Practices_SubPractices[Org]="Medium"),SUMIFS(Practices_SubPractices[D],Practices_SubPractices[CP],"2",Practices_SubPractices[Org],"Medium"),IF(AND(Practices_SubPractices[CP]=3,Practices_SubPractices[Org]="Medium"),SUMIFS(Practices_SubPractices[D],Practices_SubPractices[CP],"3",Practices_SubPractices[Org],"Medium"),IF(AND(Practices_SubPractices[CP]=4,Practices_SubPractices[Org]="Medium"),SUMIFS(Practices_SubPractices[D],Practices_SubPractices[CP],"4",Practices_SubPractices[Org],"Medium"),IF(AND(Practices_SubPractices[CP]=5,Practices_SubPractices[Org]="Medium"),SUMIFS(Practices_SubPractices[D],Practices_SubPractices[CP],"5",Practices_SubPractices[Org],"Medium"),IF(AND(Practices_SubPractices[CP]=6,Practices_SubPractices[Org]="Medium"),SUMIFS(Practices_SubPractices[D],Practices_SubPractices[CP],"6",Practices_SubPractices[Org],"Medium"),IF(AND(Practices_SubPractices[CP]=7,Practices_SubPractices[Org] ="Medium"),SUMIFS(Practices_SubPractices[D],Practices_SubPractices[CP],"7",Practices_SubPractices[Org],"Medium"),IF(AND(Practices_SubPractices[CP]=8,Practices_SubPractices[Org] ="Medium"),SUMIFS(Practices_SubPractices[D],Practices_SubPractices[CP],"8",Practices_SubPractices[Org],"Medium"),IF(AND(Practices_SubPractices[CP]=9,Practices_SubPractices[Org] ="Medium"),SUMIFS(Practices_SubPractices[D],Practices_SubPractices[CP],"9",Practices_SubPractices[Org],"Medium"),IF(AND(Practices_SubPractices[CP]=10,Practices_SubPractices[Org] ="Medium"),SUMIFS(Practices_SubPractices[D],Practices_SubPractices[CP],"10",Practices_SubPractices[Org],"Medium"),IF(AND(Practices_SubPractices[CP]=1,Practices_SubPractices[Org]="Large"),SUMIFS(Practices_SubPractices[D],Practices_SubPractices[CP],"1",Practices_SubPractices[Org],"Large"),IF(AND(Practices_SubPractices[CP]=2,Practices_SubPractices[Org]="Large"),SUMIFS(Practices_SubPractices[D],Practices_SubPractices[CP],"2",Practices_SubPractices[Org],"Large"),IF(AND(Practices_SubPractices[CP]=3,Practices_SubPractices[Org]="Large"),SUMIFS(Practices_SubPractices[D],Practices_SubPractices[CP],"3",Practices_SubPractices[Org],"Large"),IF(AND(Practices_SubPractices[CP]=4,Practices_SubPractices[Org]="Large"),SUMIFS(Practices_SubPractices[D],Practices_SubPractices[CP],"4",Practices_SubPractices[Org],"Large"),IF(AND(Practices_SubPractices[CP]=5,Practices_SubPractices[Org]="Large"),SUMIFS(Practices_SubPractices[D],Practices_SubPractices[CP],"5",Practices_SubPractices[Org],"Large"),IF(AND(Practices_SubPractices[CP]=6,Practices_SubPractices[Org]="Large"),SUMIFS(Practices_SubPractices[D],Practices_SubPractices[CP],"6",Practices_SubPractices[Org],"Large"),IF(AND(Practices_SubPractices[CP]=7,Practices_SubPractices[Org] ="Large"),SUMIFS(Practices_SubPractices[D],Practices_SubPractices[CP],"7",Practices_SubPractices[Org],"Large"),IF(AND(Practices_SubPractices[CP]=8,Practices_SubPractices[Org] ="Large"),SUMIFS(Practices_SubPractices[D],Practices_SubPractices[CP],"8",Practices_SubPractices[Org],"Large"),IF(AND(Practices_SubPractices[CP]=9,Practices_SubPractices[Org] ="Large"),SUMIFS(Practices_SubPractices[D],Practices_SubPractices[CP],"9",Practices_SubPractices[Org],"Large"),IF(AND(Practices_SubPractices[CP]=10,Practices_SubPractices[Org] ="Large"),SUMIFS(Practices_SubPractices[D],Practices_SubPractices[CP],"10",Practices_SubPractices[Org],"Large"),"TBD"))))))))))))))))))))))))))))))</f>
        <v>6</v>
      </c>
      <c r="R95" s="77">
        <f>IF(AND(Practices_SubPractices[CP]=1,Practices_SubPractices[Org]="Small"),SUMIFS(Practices_SubPractices[E],Practices_SubPractices[CP],"1",Practices_SubPractices[Org],"Small"),IF(AND(Practices_SubPractices[CP]=2,Practices_SubPractices[Org]="Small"),SUMIFS(Practices_SubPractices[E],Practices_SubPractices[CP],"2",Practices_SubPractices[Org],"Small"),IF(AND(Practices_SubPractices[CP]=3,Practices_SubPractices[Org]="Small"),SUMIFS(Practices_SubPractices[E],Practices_SubPractices[CP],"3",Practices_SubPractices[Org],"Small"),IF(AND(Practices_SubPractices[CP]=4,Practices_SubPractices[Org]="Small"),SUMIFS(Practices_SubPractices[E],Practices_SubPractices[CP],"4",Practices_SubPractices[Org],"Small"),IF(AND(Practices_SubPractices[CP]=5,Practices_SubPractices[Org]="Small"),SUMIFS(Practices_SubPractices[E],Practices_SubPractices[CP],"5",Practices_SubPractices[Org],"Small"),IF(AND(Practices_SubPractices[CP]=6,Practices_SubPractices[Org]="Small"),SUMIFS(Practices_SubPractices[E],Practices_SubPractices[CP],"6",Practices_SubPractices[Org],"Small"),IF(AND(Practices_SubPractices[CP]=7,Practices_SubPractices[Org] ="Small"),SUMIFS(Practices_SubPractices[E],Practices_SubPractices[CP],"7",Practices_SubPractices[Org],"Small"),IF(AND(Practices_SubPractices[CP]=8,Practices_SubPractices[Org] ="Small"),SUMIFS(Practices_SubPractices[E],Practices_SubPractices[CP],"8",Practices_SubPractices[Org],"Small"),IF(AND(Practices_SubPractices[CP]=9,Practices_SubPractices[Org] ="Small"),SUMIFS(Practices_SubPractices[E],Practices_SubPractices[CP],"9",Practices_SubPractices[Org],"Small"),IF(AND(Practices_SubPractices[CP]=10,Practices_SubPractices[Org] ="Small"),SUMIFS(Practices_SubPractices[E],Practices_SubPractices[CP],"10",Practices_SubPractices[Org],"Small"),IF(AND(Practices_SubPractices[CP]=1,Practices_SubPractices[Org]="Medium"),SUMIFS(Practices_SubPractices[E],Practices_SubPractices[CP],"1",Practices_SubPractices[Org],"Medium"),IF(AND(Practices_SubPractices[CP]=2,Practices_SubPractices[Org]="Medium"),SUMIFS(Practices_SubPractices[E],Practices_SubPractices[CP],"2",Practices_SubPractices[Org],"Medium"),IF(AND(Practices_SubPractices[CP]=3,Practices_SubPractices[Org]="Medium"),SUMIFS(Practices_SubPractices[E],Practices_SubPractices[CP],"3",Practices_SubPractices[Org],"Medium"),IF(AND(Practices_SubPractices[CP]=4,Practices_SubPractices[Org]="Medium"),SUMIFS(Practices_SubPractices[E],Practices_SubPractices[CP],"4",Practices_SubPractices[Org],"Medium"),IF(AND(Practices_SubPractices[CP]=5,Practices_SubPractices[Org]="Medium"),SUMIFS(Practices_SubPractices[E],Practices_SubPractices[CP],"5",Practices_SubPractices[Org],"Medium"),IF(AND(Practices_SubPractices[CP]=6,Practices_SubPractices[Org]="Medium"),SUMIFS(Practices_SubPractices[E],Practices_SubPractices[CP],"6",Practices_SubPractices[Org],"Medium"),IF(AND(Practices_SubPractices[CP]=7,Practices_SubPractices[Org] ="Medium"),SUMIFS(Practices_SubPractices[E],Practices_SubPractices[CP],"7",Practices_SubPractices[Org],"Medium"),IF(AND(Practices_SubPractices[CP]=8,Practices_SubPractices[Org] ="Medium"),SUMIFS(Practices_SubPractices[E],Practices_SubPractices[CP],"8",Practices_SubPractices[Org],"Medium"),IF(AND(Practices_SubPractices[CP]=9,Practices_SubPractices[Org] ="Medium"),SUMIFS(Practices_SubPractices[E],Practices_SubPractices[CP],"9",Practices_SubPractices[Org],"Medium"),IF(AND(Practices_SubPractices[CP]=10,Practices_SubPractices[Org] ="Medium"),SUMIFS(Practices_SubPractices[E],Practices_SubPractices[CP],"10",Practices_SubPractices[Org],"Medium"),IF(AND(Practices_SubPractices[CP]=1,Practices_SubPractices[Org]="Large"),SUMIFS(Practices_SubPractices[E],Practices_SubPractices[CP],"1",Practices_SubPractices[Org],"Large"),IF(AND(Practices_SubPractices[CP]=2,Practices_SubPractices[Org]="Large"),SUMIFS(Practices_SubPractices[E],Practices_SubPractices[CP],"2",Practices_SubPractices[Org],"Large"),IF(AND(Practices_SubPractices[CP]=3,Practices_SubPractices[Org]="Large"),SUMIFS(Practices_SubPractices[E],Practices_SubPractices[CP],"3",Practices_SubPractices[Org],"Large"),IF(AND(Practices_SubPractices[CP]=4,Practices_SubPractices[Org]="Large"),SUMIFS(Practices_SubPractices[E],Practices_SubPractices[CP],"4",Practices_SubPractices[Org],"Large"),IF(AND(Practices_SubPractices[CP]=5,Practices_SubPractices[Org]="Large"),SUMIFS(Practices_SubPractices[E],Practices_SubPractices[CP],"5",Practices_SubPractices[Org],"Large"),IF(AND(Practices_SubPractices[CP]=6,Practices_SubPractices[Org]="Large"),SUMIFS(Practices_SubPractices[E],Practices_SubPractices[CP],"6",Practices_SubPractices[Org],"Large"),IF(AND(Practices_SubPractices[CP]=7,Practices_SubPractices[Org] ="Large"),SUMIFS(Practices_SubPractices[E],Practices_SubPractices[CP],"7",Practices_SubPractices[Org],"Large"),IF(AND(Practices_SubPractices[CP]=8,Practices_SubPractices[Org] ="Large"),SUMIFS(Practices_SubPractices[E],Practices_SubPractices[CP],"8",Practices_SubPractices[Org],"Large"),IF(AND(Practices_SubPractices[CP]=9,Practices_SubPractices[Org] ="Large"),SUMIFS(Practices_SubPractices[E],Practices_SubPractices[CP],"9",Practices_SubPractices[Org],"Large"),IF(AND(Practices_SubPractices[CP]=10,Practices_SubPractices[Org] ="Large"),SUMIFS(Practices_SubPractices[E],Practices_SubPractices[CP],"10",Practices_SubPractices[Org],"Large"),"TBD"))))))))))))))))))))))))))))))</f>
        <v>18</v>
      </c>
      <c r="S95" s="48" t="s">
        <v>430</v>
      </c>
    </row>
    <row r="96" spans="1:19" x14ac:dyDescent="0.35">
      <c r="A96" s="73">
        <v>86</v>
      </c>
      <c r="B96" s="73">
        <v>9</v>
      </c>
      <c r="C96" s="73" t="s">
        <v>11</v>
      </c>
      <c r="D96" s="73" t="str">
        <f>Practices_SubPractices[[#This Row],[CP]]&amp;LEFT(Practices_SubPractices[[#This Row],[Org]],1)</f>
        <v>9M</v>
      </c>
      <c r="E96" s="73" t="s">
        <v>268</v>
      </c>
      <c r="F96" s="74" t="s">
        <v>164</v>
      </c>
      <c r="G96" s="74" t="s">
        <v>4</v>
      </c>
      <c r="H96" s="74" t="s">
        <v>260</v>
      </c>
      <c r="I96" s="75">
        <v>0</v>
      </c>
      <c r="J96" s="75">
        <v>1</v>
      </c>
      <c r="K96" s="75">
        <v>0</v>
      </c>
      <c r="L96" s="75">
        <v>1</v>
      </c>
      <c r="M96" s="75">
        <v>2</v>
      </c>
      <c r="N96" s="76"/>
      <c r="O96" s="77">
        <f>IF(AND(Practices_SubPractices[CP]=1,Practices_SubPractices[Org]="Small"),SUMIFS(Practices_SubPractices[B],Practices_SubPractices[CP],"1",Practices_SubPractices[Org],"Small"),IF(AND(Practices_SubPractices[CP]=2,Practices_SubPractices[Org]="Small"),SUMIFS(Practices_SubPractices[B],Practices_SubPractices[CP],"2",Practices_SubPractices[Org],"Small"),IF(AND(Practices_SubPractices[CP]=3,Practices_SubPractices[Org]="Small"),SUMIFS(Practices_SubPractices[B],Practices_SubPractices[CP],"3",Practices_SubPractices[Org],"Small"),IF(AND(Practices_SubPractices[CP]=4,Practices_SubPractices[Org]="Small"),SUMIFS(Practices_SubPractices[B],Practices_SubPractices[CP],"4",Practices_SubPractices[Org],"Small"),IF(AND(Practices_SubPractices[CP]=5,Practices_SubPractices[Org]="Small"),SUMIFS(Practices_SubPractices[B],Practices_SubPractices[CP],"5",Practices_SubPractices[Org],"Small"),IF(AND(Practices_SubPractices[CP]=6,Practices_SubPractices[Org]="Small"),SUMIFS(Practices_SubPractices[B],Practices_SubPractices[CP],"6",Practices_SubPractices[Org],"Small"),IF(AND(Practices_SubPractices[CP]=7,Practices_SubPractices[Org] ="Small"),SUMIFS(Practices_SubPractices[B],Practices_SubPractices[CP],"7",Practices_SubPractices[Org],"Small"),IF(AND(Practices_SubPractices[CP]=8,Practices_SubPractices[Org] ="Small"),SUMIFS(Practices_SubPractices[B],Practices_SubPractices[CP],"8",Practices_SubPractices[Org],"Small"),IF(AND(Practices_SubPractices[CP]=9,Practices_SubPractices[Org] ="Small"),SUMIFS(Practices_SubPractices[B],Practices_SubPractices[CP],"9",Practices_SubPractices[Org],"Small"),IF(AND(Practices_SubPractices[CP]=10,Practices_SubPractices[Org] ="Small"),SUMIFS(Practices_SubPractices[B],Practices_SubPractices[CP],"10",Practices_SubPractices[Org],"Small"),IF(AND(Practices_SubPractices[CP]=1,Practices_SubPractices[Org]="Medium"),SUMIFS(Practices_SubPractices[B],Practices_SubPractices[CP],"1",Practices_SubPractices[Org],"Medium"),IF(AND(Practices_SubPractices[CP]=2,Practices_SubPractices[Org]="Medium"),SUMIFS(Practices_SubPractices[B],Practices_SubPractices[CP],"2",Practices_SubPractices[Org],"Medium"),IF(AND(Practices_SubPractices[CP]=3,Practices_SubPractices[Org]="Medium"),SUMIFS(Practices_SubPractices[B],Practices_SubPractices[CP],"3",Practices_SubPractices[Org],"Medium"),IF(AND(Practices_SubPractices[CP]=4,Practices_SubPractices[Org]="Medium"),SUMIFS(Practices_SubPractices[B],Practices_SubPractices[CP],"4",Practices_SubPractices[Org],"Medium"),IF(AND(Practices_SubPractices[CP]=5,Practices_SubPractices[Org]="Medium"),SUMIFS(Practices_SubPractices[B],Practices_SubPractices[CP],"5",Practices_SubPractices[Org],"Medium"),IF(AND(Practices_SubPractices[CP]=6,Practices_SubPractices[Org]="Medium"),SUMIFS(Practices_SubPractices[B],Practices_SubPractices[CP],"6",Practices_SubPractices[Org],"Medium"),IF(AND(Practices_SubPractices[CP]=7,Practices_SubPractices[Org] ="Medium"),SUMIFS(Practices_SubPractices[B],Practices_SubPractices[CP],"7",Practices_SubPractices[Org],"Medium"),IF(AND(Practices_SubPractices[CP]=8,Practices_SubPractices[Org] ="Medium"),SUMIFS(Practices_SubPractices[B],Practices_SubPractices[CP],"8",Practices_SubPractices[Org],"Medium"),IF(AND(Practices_SubPractices[CP]=9,Practices_SubPractices[Org] ="Medium"),SUMIFS(Practices_SubPractices[B],Practices_SubPractices[CP],"9",Practices_SubPractices[Org],"Medium"),IF(AND(Practices_SubPractices[CP]=10,Practices_SubPractices[Org] ="Medium"),SUMIFS(Practices_SubPractices[B],Practices_SubPractices[CP],"10",Practices_SubPractices[Org],"Medium"),IF(AND(Practices_SubPractices[CP]=1,Practices_SubPractices[Org]="Large"),SUMIFS(Practices_SubPractices[B],Practices_SubPractices[CP],"1",Practices_SubPractices[Org],"Large"),IF(AND(Practices_SubPractices[CP]=2,Practices_SubPractices[Org]="Large"),SUMIFS(Practices_SubPractices[B],Practices_SubPractices[CP],"2",Practices_SubPractices[Org],"Large"),IF(AND(Practices_SubPractices[CP]=3,Practices_SubPractices[Org]="Large"),SUMIFS(Practices_SubPractices[B],Practices_SubPractices[CP],"3",Practices_SubPractices[Org],"Large"),IF(AND(Practices_SubPractices[CP]=4,Practices_SubPractices[Org]="Large"),SUMIFS(Practices_SubPractices[B],Practices_SubPractices[CP],"4",Practices_SubPractices[Org],"Large"),IF(AND(Practices_SubPractices[CP]=5,Practices_SubPractices[Org]="Large"),SUMIFS(Practices_SubPractices[B],Practices_SubPractices[CP],"5",Practices_SubPractices[Org],"Large"),IF(AND(Practices_SubPractices[CP]=6,Practices_SubPractices[Org]="Large"),SUMIFS(Practices_SubPractices[B],Practices_SubPractices[CP],"6",Practices_SubPractices[Org],"Large"),IF(AND(Practices_SubPractices[CP]=7,Practices_SubPractices[Org] ="Large"),SUMIFS(Practices_SubPractices[B],Practices_SubPractices[CP],"7",Practices_SubPractices[Org],"Large"),IF(AND(Practices_SubPractices[CP]=8,Practices_SubPractices[Org] ="Large"),SUMIFS(Practices_SubPractices[B],Practices_SubPractices[CP],"8",Practices_SubPractices[Org],"Large"),IF(AND(Practices_SubPractices[CP]=9,Practices_SubPractices[Org] ="Large"),SUMIFS(Practices_SubPractices[B],Practices_SubPractices[CP],"9",Practices_SubPractices[Org],"Large"),IF(AND(Practices_SubPractices[CP]=10,Practices_SubPractices[Org] ="Large"),SUMIFS(Practices_SubPractices[B],Practices_SubPractices[CP],"10",Practices_SubPractices[Org],"Large"),"TBD"))))))))))))))))))))))))))))))</f>
        <v>4</v>
      </c>
      <c r="P96" s="77">
        <f>IF(AND(Practices_SubPractices[CP]=1,Practices_SubPractices[Org]="Small"),SUMIFS(Practices_SubPractices[C],Practices_SubPractices[CP],"1",Practices_SubPractices[Org],"Small"),IF(AND(Practices_SubPractices[CP]=2,Practices_SubPractices[Org]="Small"),SUMIFS(Practices_SubPractices[C],Practices_SubPractices[CP],"2",Practices_SubPractices[Org],"Small"),IF(AND(Practices_SubPractices[CP]=3,Practices_SubPractices[Org]="Small"),SUMIFS(Practices_SubPractices[C],Practices_SubPractices[CP],"3",Practices_SubPractices[Org],"Small"),IF(AND(Practices_SubPractices[CP]=4,Practices_SubPractices[Org]="Small"),SUMIFS(Practices_SubPractices[C],Practices_SubPractices[CP],"4",Practices_SubPractices[Org],"Small"),IF(AND(Practices_SubPractices[CP]=5,Practices_SubPractices[Org]="Small"),SUMIFS(Practices_SubPractices[C],Practices_SubPractices[CP],"5",Practices_SubPractices[Org],"Small"),IF(AND(Practices_SubPractices[CP]=6,Practices_SubPractices[Org]="Small"),SUMIFS(Practices_SubPractices[C],Practices_SubPractices[CP],"6",Practices_SubPractices[Org],"Small"),IF(AND(Practices_SubPractices[CP]=7,Practices_SubPractices[Org] ="Small"),SUMIFS(Practices_SubPractices[C],Practices_SubPractices[CP],"7",Practices_SubPractices[Org],"Small"),IF(AND(Practices_SubPractices[CP]=8,Practices_SubPractices[Org] ="Small"),SUMIFS(Practices_SubPractices[C],Practices_SubPractices[CP],"8",Practices_SubPractices[Org],"Small"),IF(AND(Practices_SubPractices[CP]=9,Practices_SubPractices[Org] ="Small"),SUMIFS(Practices_SubPractices[C],Practices_SubPractices[CP],"9",Practices_SubPractices[Org],"Small"),IF(AND(Practices_SubPractices[CP]=10,Practices_SubPractices[Org] ="Small"),SUMIFS(Practices_SubPractices[C],Practices_SubPractices[CP],"10",Practices_SubPractices[Org],"Small"),IF(AND(Practices_SubPractices[CP]=1,Practices_SubPractices[Org]="Medium"),SUMIFS(Practices_SubPractices[C],Practices_SubPractices[CP],"1",Practices_SubPractices[Org],"Medium"),IF(AND(Practices_SubPractices[CP]=2,Practices_SubPractices[Org]="Medium"),SUMIFS(Practices_SubPractices[C],Practices_SubPractices[CP],"2",Practices_SubPractices[Org],"Medium"),IF(AND(Practices_SubPractices[CP]=3,Practices_SubPractices[Org]="Medium"),SUMIFS(Practices_SubPractices[C],Practices_SubPractices[CP],"3",Practices_SubPractices[Org],"Medium"),IF(AND(Practices_SubPractices[CP]=4,Practices_SubPractices[Org]="Medium"),SUMIFS(Practices_SubPractices[C],Practices_SubPractices[CP],"4",Practices_SubPractices[Org],"Medium"),IF(AND(Practices_SubPractices[CP]=5,Practices_SubPractices[Org]="Medium"),SUMIFS(Practices_SubPractices[C],Practices_SubPractices[CP],"5",Practices_SubPractices[Org],"Medium"),IF(AND(Practices_SubPractices[CP]=6,Practices_SubPractices[Org]="Medium"),SUMIFS(Practices_SubPractices[C],Practices_SubPractices[CP],"6",Practices_SubPractices[Org],"Medium"),IF(AND(Practices_SubPractices[CP]=7,Practices_SubPractices[Org] ="Medium"),SUMIFS(Practices_SubPractices[C],Practices_SubPractices[CP],"7",Practices_SubPractices[Org],"Medium"),IF(AND(Practices_SubPractices[CP]=8,Practices_SubPractices[Org] ="Medium"),SUMIFS(Practices_SubPractices[C],Practices_SubPractices[CP],"8",Practices_SubPractices[Org],"Medium"),IF(AND(Practices_SubPractices[CP]=9,Practices_SubPractices[Org] ="Medium"),SUMIFS(Practices_SubPractices[C],Practices_SubPractices[CP],"9",Practices_SubPractices[Org],"Medium"),IF(AND(Practices_SubPractices[CP]=10,Practices_SubPractices[Org] ="Medium"),SUMIFS(Practices_SubPractices[C],Practices_SubPractices[CP],"10",Practices_SubPractices[Org],"Medium"),IF(AND(Practices_SubPractices[CP]=1,Practices_SubPractices[Org]="Large"),SUMIFS(Practices_SubPractices[C],Practices_SubPractices[CP],"1",Practices_SubPractices[Org],"Large"),IF(AND(Practices_SubPractices[CP]=2,Practices_SubPractices[Org]="Large"),SUMIFS(Practices_SubPractices[C],Practices_SubPractices[CP],"2",Practices_SubPractices[Org],"Large"),IF(AND(Practices_SubPractices[CP]=3,Practices_SubPractices[Org]="Large"),SUMIFS(Practices_SubPractices[C],Practices_SubPractices[CP],"3",Practices_SubPractices[Org],"Large"),IF(AND(Practices_SubPractices[CP]=4,Practices_SubPractices[Org]="Large"),SUMIFS(Practices_SubPractices[C],Practices_SubPractices[CP],"4",Practices_SubPractices[Org],"Large"),IF(AND(Practices_SubPractices[CP]=5,Practices_SubPractices[Org]="Large"),SUMIFS(Practices_SubPractices[C],Practices_SubPractices[CP],"5",Practices_SubPractices[Org],"Large"),IF(AND(Practices_SubPractices[CP]=6,Practices_SubPractices[Org]="Large"),SUMIFS(Practices_SubPractices[C],Practices_SubPractices[CP],"6",Practices_SubPractices[Org],"Large"),IF(AND(Practices_SubPractices[CP]=7,Practices_SubPractices[Org] ="Large"),SUMIFS(Practices_SubPractices[C],Practices_SubPractices[CP],"7",Practices_SubPractices[Org],"Large"),IF(AND(Practices_SubPractices[CP]=8,Practices_SubPractices[Org] ="Large"),SUMIFS(Practices_SubPractices[C],Practices_SubPractices[CP],"8",Practices_SubPractices[Org],"Large"),IF(AND(Practices_SubPractices[CP]=9,Practices_SubPractices[Org] ="Large"),SUMIFS(Practices_SubPractices[C],Practices_SubPractices[CP],"9",Practices_SubPractices[Org],"Large"),IF(AND(Practices_SubPractices[CP]=10,Practices_SubPractices[Org] ="Large"),SUMIFS(Practices_SubPractices[C],Practices_SubPractices[CP],"10",Practices_SubPractices[Org],"Large"),"TBD"))))))))))))))))))))))))))))))</f>
        <v>0</v>
      </c>
      <c r="Q96" s="77">
        <f>IF(AND(Practices_SubPractices[CP]=1,Practices_SubPractices[Org]="Small"),SUMIFS(Practices_SubPractices[D],Practices_SubPractices[CP],"1",Practices_SubPractices[Org],"Small"),IF(AND(Practices_SubPractices[CP]=2,Practices_SubPractices[Org]="Small"),SUMIFS(Practices_SubPractices[D],Practices_SubPractices[CP],"2",Practices_SubPractices[Org],"Small"),IF(AND(Practices_SubPractices[CP]=3,Practices_SubPractices[Org]="Small"),SUMIFS(Practices_SubPractices[D],Practices_SubPractices[CP],"3",Practices_SubPractices[Org],"Small"),IF(AND(Practices_SubPractices[CP]=4,Practices_SubPractices[Org]="Small"),SUMIFS(Practices_SubPractices[D],Practices_SubPractices[CP],"4",Practices_SubPractices[Org],"Small"),IF(AND(Practices_SubPractices[CP]=5,Practices_SubPractices[Org]="Small"),SUMIFS(Practices_SubPractices[D],Practices_SubPractices[CP],"5",Practices_SubPractices[Org],"Small"),IF(AND(Practices_SubPractices[CP]=6,Practices_SubPractices[Org]="Small"),SUMIFS(Practices_SubPractices[D],Practices_SubPractices[CP],"6",Practices_SubPractices[Org],"Small"),IF(AND(Practices_SubPractices[CP]=7,Practices_SubPractices[Org] ="Small"),SUMIFS(Practices_SubPractices[D],Practices_SubPractices[CP],"7",Practices_SubPractices[Org],"Small"),IF(AND(Practices_SubPractices[CP]=8,Practices_SubPractices[Org] ="Small"),SUMIFS(Practices_SubPractices[D],Practices_SubPractices[CP],"8",Practices_SubPractices[Org],"Small"),IF(AND(Practices_SubPractices[CP]=9,Practices_SubPractices[Org] ="Small"),SUMIFS(Practices_SubPractices[D],Practices_SubPractices[CP],"9",Practices_SubPractices[Org],"Small"),IF(AND(Practices_SubPractices[CP]=10,Practices_SubPractices[Org] ="Small"),SUMIFS(Practices_SubPractices[D],Practices_SubPractices[CP],"10",Practices_SubPractices[Org],"Small"),IF(AND(Practices_SubPractices[CP]=1,Practices_SubPractices[Org]="Medium"),SUMIFS(Practices_SubPractices[D],Practices_SubPractices[CP],"1",Practices_SubPractices[Org],"Medium"),IF(AND(Practices_SubPractices[CP]=2,Practices_SubPractices[Org]="Medium"),SUMIFS(Practices_SubPractices[D],Practices_SubPractices[CP],"2",Practices_SubPractices[Org],"Medium"),IF(AND(Practices_SubPractices[CP]=3,Practices_SubPractices[Org]="Medium"),SUMIFS(Practices_SubPractices[D],Practices_SubPractices[CP],"3",Practices_SubPractices[Org],"Medium"),IF(AND(Practices_SubPractices[CP]=4,Practices_SubPractices[Org]="Medium"),SUMIFS(Practices_SubPractices[D],Practices_SubPractices[CP],"4",Practices_SubPractices[Org],"Medium"),IF(AND(Practices_SubPractices[CP]=5,Practices_SubPractices[Org]="Medium"),SUMIFS(Practices_SubPractices[D],Practices_SubPractices[CP],"5",Practices_SubPractices[Org],"Medium"),IF(AND(Practices_SubPractices[CP]=6,Practices_SubPractices[Org]="Medium"),SUMIFS(Practices_SubPractices[D],Practices_SubPractices[CP],"6",Practices_SubPractices[Org],"Medium"),IF(AND(Practices_SubPractices[CP]=7,Practices_SubPractices[Org] ="Medium"),SUMIFS(Practices_SubPractices[D],Practices_SubPractices[CP],"7",Practices_SubPractices[Org],"Medium"),IF(AND(Practices_SubPractices[CP]=8,Practices_SubPractices[Org] ="Medium"),SUMIFS(Practices_SubPractices[D],Practices_SubPractices[CP],"8",Practices_SubPractices[Org],"Medium"),IF(AND(Practices_SubPractices[CP]=9,Practices_SubPractices[Org] ="Medium"),SUMIFS(Practices_SubPractices[D],Practices_SubPractices[CP],"9",Practices_SubPractices[Org],"Medium"),IF(AND(Practices_SubPractices[CP]=10,Practices_SubPractices[Org] ="Medium"),SUMIFS(Practices_SubPractices[D],Practices_SubPractices[CP],"10",Practices_SubPractices[Org],"Medium"),IF(AND(Practices_SubPractices[CP]=1,Practices_SubPractices[Org]="Large"),SUMIFS(Practices_SubPractices[D],Practices_SubPractices[CP],"1",Practices_SubPractices[Org],"Large"),IF(AND(Practices_SubPractices[CP]=2,Practices_SubPractices[Org]="Large"),SUMIFS(Practices_SubPractices[D],Practices_SubPractices[CP],"2",Practices_SubPractices[Org],"Large"),IF(AND(Practices_SubPractices[CP]=3,Practices_SubPractices[Org]="Large"),SUMIFS(Practices_SubPractices[D],Practices_SubPractices[CP],"3",Practices_SubPractices[Org],"Large"),IF(AND(Practices_SubPractices[CP]=4,Practices_SubPractices[Org]="Large"),SUMIFS(Practices_SubPractices[D],Practices_SubPractices[CP],"4",Practices_SubPractices[Org],"Large"),IF(AND(Practices_SubPractices[CP]=5,Practices_SubPractices[Org]="Large"),SUMIFS(Practices_SubPractices[D],Practices_SubPractices[CP],"5",Practices_SubPractices[Org],"Large"),IF(AND(Practices_SubPractices[CP]=6,Practices_SubPractices[Org]="Large"),SUMIFS(Practices_SubPractices[D],Practices_SubPractices[CP],"6",Practices_SubPractices[Org],"Large"),IF(AND(Practices_SubPractices[CP]=7,Practices_SubPractices[Org] ="Large"),SUMIFS(Practices_SubPractices[D],Practices_SubPractices[CP],"7",Practices_SubPractices[Org],"Large"),IF(AND(Practices_SubPractices[CP]=8,Practices_SubPractices[Org] ="Large"),SUMIFS(Practices_SubPractices[D],Practices_SubPractices[CP],"8",Practices_SubPractices[Org],"Large"),IF(AND(Practices_SubPractices[CP]=9,Practices_SubPractices[Org] ="Large"),SUMIFS(Practices_SubPractices[D],Practices_SubPractices[CP],"9",Practices_SubPractices[Org],"Large"),IF(AND(Practices_SubPractices[CP]=10,Practices_SubPractices[Org] ="Large"),SUMIFS(Practices_SubPractices[D],Practices_SubPractices[CP],"10",Practices_SubPractices[Org],"Large"),"TBD"))))))))))))))))))))))))))))))</f>
        <v>4</v>
      </c>
      <c r="R96" s="77">
        <f>IF(AND(Practices_SubPractices[CP]=1,Practices_SubPractices[Org]="Small"),SUMIFS(Practices_SubPractices[E],Practices_SubPractices[CP],"1",Practices_SubPractices[Org],"Small"),IF(AND(Practices_SubPractices[CP]=2,Practices_SubPractices[Org]="Small"),SUMIFS(Practices_SubPractices[E],Practices_SubPractices[CP],"2",Practices_SubPractices[Org],"Small"),IF(AND(Practices_SubPractices[CP]=3,Practices_SubPractices[Org]="Small"),SUMIFS(Practices_SubPractices[E],Practices_SubPractices[CP],"3",Practices_SubPractices[Org],"Small"),IF(AND(Practices_SubPractices[CP]=4,Practices_SubPractices[Org]="Small"),SUMIFS(Practices_SubPractices[E],Practices_SubPractices[CP],"4",Practices_SubPractices[Org],"Small"),IF(AND(Practices_SubPractices[CP]=5,Practices_SubPractices[Org]="Small"),SUMIFS(Practices_SubPractices[E],Practices_SubPractices[CP],"5",Practices_SubPractices[Org],"Small"),IF(AND(Practices_SubPractices[CP]=6,Practices_SubPractices[Org]="Small"),SUMIFS(Practices_SubPractices[E],Practices_SubPractices[CP],"6",Practices_SubPractices[Org],"Small"),IF(AND(Practices_SubPractices[CP]=7,Practices_SubPractices[Org] ="Small"),SUMIFS(Practices_SubPractices[E],Practices_SubPractices[CP],"7",Practices_SubPractices[Org],"Small"),IF(AND(Practices_SubPractices[CP]=8,Practices_SubPractices[Org] ="Small"),SUMIFS(Practices_SubPractices[E],Practices_SubPractices[CP],"8",Practices_SubPractices[Org],"Small"),IF(AND(Practices_SubPractices[CP]=9,Practices_SubPractices[Org] ="Small"),SUMIFS(Practices_SubPractices[E],Practices_SubPractices[CP],"9",Practices_SubPractices[Org],"Small"),IF(AND(Practices_SubPractices[CP]=10,Practices_SubPractices[Org] ="Small"),SUMIFS(Practices_SubPractices[E],Practices_SubPractices[CP],"10",Practices_SubPractices[Org],"Small"),IF(AND(Practices_SubPractices[CP]=1,Practices_SubPractices[Org]="Medium"),SUMIFS(Practices_SubPractices[E],Practices_SubPractices[CP],"1",Practices_SubPractices[Org],"Medium"),IF(AND(Practices_SubPractices[CP]=2,Practices_SubPractices[Org]="Medium"),SUMIFS(Practices_SubPractices[E],Practices_SubPractices[CP],"2",Practices_SubPractices[Org],"Medium"),IF(AND(Practices_SubPractices[CP]=3,Practices_SubPractices[Org]="Medium"),SUMIFS(Practices_SubPractices[E],Practices_SubPractices[CP],"3",Practices_SubPractices[Org],"Medium"),IF(AND(Practices_SubPractices[CP]=4,Practices_SubPractices[Org]="Medium"),SUMIFS(Practices_SubPractices[E],Practices_SubPractices[CP],"4",Practices_SubPractices[Org],"Medium"),IF(AND(Practices_SubPractices[CP]=5,Practices_SubPractices[Org]="Medium"),SUMIFS(Practices_SubPractices[E],Practices_SubPractices[CP],"5",Practices_SubPractices[Org],"Medium"),IF(AND(Practices_SubPractices[CP]=6,Practices_SubPractices[Org]="Medium"),SUMIFS(Practices_SubPractices[E],Practices_SubPractices[CP],"6",Practices_SubPractices[Org],"Medium"),IF(AND(Practices_SubPractices[CP]=7,Practices_SubPractices[Org] ="Medium"),SUMIFS(Practices_SubPractices[E],Practices_SubPractices[CP],"7",Practices_SubPractices[Org],"Medium"),IF(AND(Practices_SubPractices[CP]=8,Practices_SubPractices[Org] ="Medium"),SUMIFS(Practices_SubPractices[E],Practices_SubPractices[CP],"8",Practices_SubPractices[Org],"Medium"),IF(AND(Practices_SubPractices[CP]=9,Practices_SubPractices[Org] ="Medium"),SUMIFS(Practices_SubPractices[E],Practices_SubPractices[CP],"9",Practices_SubPractices[Org],"Medium"),IF(AND(Practices_SubPractices[CP]=10,Practices_SubPractices[Org] ="Medium"),SUMIFS(Practices_SubPractices[E],Practices_SubPractices[CP],"10",Practices_SubPractices[Org],"Medium"),IF(AND(Practices_SubPractices[CP]=1,Practices_SubPractices[Org]="Large"),SUMIFS(Practices_SubPractices[E],Practices_SubPractices[CP],"1",Practices_SubPractices[Org],"Large"),IF(AND(Practices_SubPractices[CP]=2,Practices_SubPractices[Org]="Large"),SUMIFS(Practices_SubPractices[E],Practices_SubPractices[CP],"2",Practices_SubPractices[Org],"Large"),IF(AND(Practices_SubPractices[CP]=3,Practices_SubPractices[Org]="Large"),SUMIFS(Practices_SubPractices[E],Practices_SubPractices[CP],"3",Practices_SubPractices[Org],"Large"),IF(AND(Practices_SubPractices[CP]=4,Practices_SubPractices[Org]="Large"),SUMIFS(Practices_SubPractices[E],Practices_SubPractices[CP],"4",Practices_SubPractices[Org],"Large"),IF(AND(Practices_SubPractices[CP]=5,Practices_SubPractices[Org]="Large"),SUMIFS(Practices_SubPractices[E],Practices_SubPractices[CP],"5",Practices_SubPractices[Org],"Large"),IF(AND(Practices_SubPractices[CP]=6,Practices_SubPractices[Org]="Large"),SUMIFS(Practices_SubPractices[E],Practices_SubPractices[CP],"6",Practices_SubPractices[Org],"Large"),IF(AND(Practices_SubPractices[CP]=7,Practices_SubPractices[Org] ="Large"),SUMIFS(Practices_SubPractices[E],Practices_SubPractices[CP],"7",Practices_SubPractices[Org],"Large"),IF(AND(Practices_SubPractices[CP]=8,Practices_SubPractices[Org] ="Large"),SUMIFS(Practices_SubPractices[E],Practices_SubPractices[CP],"8",Practices_SubPractices[Org],"Large"),IF(AND(Practices_SubPractices[CP]=9,Practices_SubPractices[Org] ="Large"),SUMIFS(Practices_SubPractices[E],Practices_SubPractices[CP],"9",Practices_SubPractices[Org],"Large"),IF(AND(Practices_SubPractices[CP]=10,Practices_SubPractices[Org] ="Large"),SUMIFS(Practices_SubPractices[E],Practices_SubPractices[CP],"10",Practices_SubPractices[Org],"Large"),"TBD"))))))))))))))))))))))))))))))</f>
        <v>10</v>
      </c>
      <c r="S96" s="87" t="s">
        <v>431</v>
      </c>
    </row>
    <row r="97" spans="1:19" x14ac:dyDescent="0.35">
      <c r="A97" s="73">
        <v>87</v>
      </c>
      <c r="B97" s="73">
        <v>9</v>
      </c>
      <c r="C97" s="73" t="s">
        <v>12</v>
      </c>
      <c r="D97" s="73" t="str">
        <f>Practices_SubPractices[[#This Row],[CP]]&amp;LEFT(Practices_SubPractices[[#This Row],[Org]],1)</f>
        <v>9L</v>
      </c>
      <c r="E97" s="73" t="s">
        <v>268</v>
      </c>
      <c r="F97" s="74" t="s">
        <v>164</v>
      </c>
      <c r="G97" s="74" t="s">
        <v>4</v>
      </c>
      <c r="H97" s="74" t="s">
        <v>260</v>
      </c>
      <c r="I97" s="75">
        <v>0</v>
      </c>
      <c r="J97" s="75">
        <v>1</v>
      </c>
      <c r="K97" s="75">
        <v>0</v>
      </c>
      <c r="L97" s="75">
        <v>1</v>
      </c>
      <c r="M97" s="75">
        <v>2</v>
      </c>
      <c r="N97" s="76"/>
      <c r="O97" s="77">
        <f>IF(AND(Practices_SubPractices[CP]=1,Practices_SubPractices[Org]="Small"),SUMIFS(Practices_SubPractices[B],Practices_SubPractices[CP],"1",Practices_SubPractices[Org],"Small"),IF(AND(Practices_SubPractices[CP]=2,Practices_SubPractices[Org]="Small"),SUMIFS(Practices_SubPractices[B],Practices_SubPractices[CP],"2",Practices_SubPractices[Org],"Small"),IF(AND(Practices_SubPractices[CP]=3,Practices_SubPractices[Org]="Small"),SUMIFS(Practices_SubPractices[B],Practices_SubPractices[CP],"3",Practices_SubPractices[Org],"Small"),IF(AND(Practices_SubPractices[CP]=4,Practices_SubPractices[Org]="Small"),SUMIFS(Practices_SubPractices[B],Practices_SubPractices[CP],"4",Practices_SubPractices[Org],"Small"),IF(AND(Practices_SubPractices[CP]=5,Practices_SubPractices[Org]="Small"),SUMIFS(Practices_SubPractices[B],Practices_SubPractices[CP],"5",Practices_SubPractices[Org],"Small"),IF(AND(Practices_SubPractices[CP]=6,Practices_SubPractices[Org]="Small"),SUMIFS(Practices_SubPractices[B],Practices_SubPractices[CP],"6",Practices_SubPractices[Org],"Small"),IF(AND(Practices_SubPractices[CP]=7,Practices_SubPractices[Org] ="Small"),SUMIFS(Practices_SubPractices[B],Practices_SubPractices[CP],"7",Practices_SubPractices[Org],"Small"),IF(AND(Practices_SubPractices[CP]=8,Practices_SubPractices[Org] ="Small"),SUMIFS(Practices_SubPractices[B],Practices_SubPractices[CP],"8",Practices_SubPractices[Org],"Small"),IF(AND(Practices_SubPractices[CP]=9,Practices_SubPractices[Org] ="Small"),SUMIFS(Practices_SubPractices[B],Practices_SubPractices[CP],"9",Practices_SubPractices[Org],"Small"),IF(AND(Practices_SubPractices[CP]=10,Practices_SubPractices[Org] ="Small"),SUMIFS(Practices_SubPractices[B],Practices_SubPractices[CP],"10",Practices_SubPractices[Org],"Small"),IF(AND(Practices_SubPractices[CP]=1,Practices_SubPractices[Org]="Medium"),SUMIFS(Practices_SubPractices[B],Practices_SubPractices[CP],"1",Practices_SubPractices[Org],"Medium"),IF(AND(Practices_SubPractices[CP]=2,Practices_SubPractices[Org]="Medium"),SUMIFS(Practices_SubPractices[B],Practices_SubPractices[CP],"2",Practices_SubPractices[Org],"Medium"),IF(AND(Practices_SubPractices[CP]=3,Practices_SubPractices[Org]="Medium"),SUMIFS(Practices_SubPractices[B],Practices_SubPractices[CP],"3",Practices_SubPractices[Org],"Medium"),IF(AND(Practices_SubPractices[CP]=4,Practices_SubPractices[Org]="Medium"),SUMIFS(Practices_SubPractices[B],Practices_SubPractices[CP],"4",Practices_SubPractices[Org],"Medium"),IF(AND(Practices_SubPractices[CP]=5,Practices_SubPractices[Org]="Medium"),SUMIFS(Practices_SubPractices[B],Practices_SubPractices[CP],"5",Practices_SubPractices[Org],"Medium"),IF(AND(Practices_SubPractices[CP]=6,Practices_SubPractices[Org]="Medium"),SUMIFS(Practices_SubPractices[B],Practices_SubPractices[CP],"6",Practices_SubPractices[Org],"Medium"),IF(AND(Practices_SubPractices[CP]=7,Practices_SubPractices[Org] ="Medium"),SUMIFS(Practices_SubPractices[B],Practices_SubPractices[CP],"7",Practices_SubPractices[Org],"Medium"),IF(AND(Practices_SubPractices[CP]=8,Practices_SubPractices[Org] ="Medium"),SUMIFS(Practices_SubPractices[B],Practices_SubPractices[CP],"8",Practices_SubPractices[Org],"Medium"),IF(AND(Practices_SubPractices[CP]=9,Practices_SubPractices[Org] ="Medium"),SUMIFS(Practices_SubPractices[B],Practices_SubPractices[CP],"9",Practices_SubPractices[Org],"Medium"),IF(AND(Practices_SubPractices[CP]=10,Practices_SubPractices[Org] ="Medium"),SUMIFS(Practices_SubPractices[B],Practices_SubPractices[CP],"10",Practices_SubPractices[Org],"Medium"),IF(AND(Practices_SubPractices[CP]=1,Practices_SubPractices[Org]="Large"),SUMIFS(Practices_SubPractices[B],Practices_SubPractices[CP],"1",Practices_SubPractices[Org],"Large"),IF(AND(Practices_SubPractices[CP]=2,Practices_SubPractices[Org]="Large"),SUMIFS(Practices_SubPractices[B],Practices_SubPractices[CP],"2",Practices_SubPractices[Org],"Large"),IF(AND(Practices_SubPractices[CP]=3,Practices_SubPractices[Org]="Large"),SUMIFS(Practices_SubPractices[B],Practices_SubPractices[CP],"3",Practices_SubPractices[Org],"Large"),IF(AND(Practices_SubPractices[CP]=4,Practices_SubPractices[Org]="Large"),SUMIFS(Practices_SubPractices[B],Practices_SubPractices[CP],"4",Practices_SubPractices[Org],"Large"),IF(AND(Practices_SubPractices[CP]=5,Practices_SubPractices[Org]="Large"),SUMIFS(Practices_SubPractices[B],Practices_SubPractices[CP],"5",Practices_SubPractices[Org],"Large"),IF(AND(Practices_SubPractices[CP]=6,Practices_SubPractices[Org]="Large"),SUMIFS(Practices_SubPractices[B],Practices_SubPractices[CP],"6",Practices_SubPractices[Org],"Large"),IF(AND(Practices_SubPractices[CP]=7,Practices_SubPractices[Org] ="Large"),SUMIFS(Practices_SubPractices[B],Practices_SubPractices[CP],"7",Practices_SubPractices[Org],"Large"),IF(AND(Practices_SubPractices[CP]=8,Practices_SubPractices[Org] ="Large"),SUMIFS(Practices_SubPractices[B],Practices_SubPractices[CP],"8",Practices_SubPractices[Org],"Large"),IF(AND(Practices_SubPractices[CP]=9,Practices_SubPractices[Org] ="Large"),SUMIFS(Practices_SubPractices[B],Practices_SubPractices[CP],"9",Practices_SubPractices[Org],"Large"),IF(AND(Practices_SubPractices[CP]=10,Practices_SubPractices[Org] ="Large"),SUMIFS(Practices_SubPractices[B],Practices_SubPractices[CP],"10",Practices_SubPractices[Org],"Large"),"TBD"))))))))))))))))))))))))))))))</f>
        <v>6</v>
      </c>
      <c r="P97" s="77">
        <f>IF(AND(Practices_SubPractices[CP]=1,Practices_SubPractices[Org]="Small"),SUMIFS(Practices_SubPractices[C],Practices_SubPractices[CP],"1",Practices_SubPractices[Org],"Small"),IF(AND(Practices_SubPractices[CP]=2,Practices_SubPractices[Org]="Small"),SUMIFS(Practices_SubPractices[C],Practices_SubPractices[CP],"2",Practices_SubPractices[Org],"Small"),IF(AND(Practices_SubPractices[CP]=3,Practices_SubPractices[Org]="Small"),SUMIFS(Practices_SubPractices[C],Practices_SubPractices[CP],"3",Practices_SubPractices[Org],"Small"),IF(AND(Practices_SubPractices[CP]=4,Practices_SubPractices[Org]="Small"),SUMIFS(Practices_SubPractices[C],Practices_SubPractices[CP],"4",Practices_SubPractices[Org],"Small"),IF(AND(Practices_SubPractices[CP]=5,Practices_SubPractices[Org]="Small"),SUMIFS(Practices_SubPractices[C],Practices_SubPractices[CP],"5",Practices_SubPractices[Org],"Small"),IF(AND(Practices_SubPractices[CP]=6,Practices_SubPractices[Org]="Small"),SUMIFS(Practices_SubPractices[C],Practices_SubPractices[CP],"6",Practices_SubPractices[Org],"Small"),IF(AND(Practices_SubPractices[CP]=7,Practices_SubPractices[Org] ="Small"),SUMIFS(Practices_SubPractices[C],Practices_SubPractices[CP],"7",Practices_SubPractices[Org],"Small"),IF(AND(Practices_SubPractices[CP]=8,Practices_SubPractices[Org] ="Small"),SUMIFS(Practices_SubPractices[C],Practices_SubPractices[CP],"8",Practices_SubPractices[Org],"Small"),IF(AND(Practices_SubPractices[CP]=9,Practices_SubPractices[Org] ="Small"),SUMIFS(Practices_SubPractices[C],Practices_SubPractices[CP],"9",Practices_SubPractices[Org],"Small"),IF(AND(Practices_SubPractices[CP]=10,Practices_SubPractices[Org] ="Small"),SUMIFS(Practices_SubPractices[C],Practices_SubPractices[CP],"10",Practices_SubPractices[Org],"Small"),IF(AND(Practices_SubPractices[CP]=1,Practices_SubPractices[Org]="Medium"),SUMIFS(Practices_SubPractices[C],Practices_SubPractices[CP],"1",Practices_SubPractices[Org],"Medium"),IF(AND(Practices_SubPractices[CP]=2,Practices_SubPractices[Org]="Medium"),SUMIFS(Practices_SubPractices[C],Practices_SubPractices[CP],"2",Practices_SubPractices[Org],"Medium"),IF(AND(Practices_SubPractices[CP]=3,Practices_SubPractices[Org]="Medium"),SUMIFS(Practices_SubPractices[C],Practices_SubPractices[CP],"3",Practices_SubPractices[Org],"Medium"),IF(AND(Practices_SubPractices[CP]=4,Practices_SubPractices[Org]="Medium"),SUMIFS(Practices_SubPractices[C],Practices_SubPractices[CP],"4",Practices_SubPractices[Org],"Medium"),IF(AND(Practices_SubPractices[CP]=5,Practices_SubPractices[Org]="Medium"),SUMIFS(Practices_SubPractices[C],Practices_SubPractices[CP],"5",Practices_SubPractices[Org],"Medium"),IF(AND(Practices_SubPractices[CP]=6,Practices_SubPractices[Org]="Medium"),SUMIFS(Practices_SubPractices[C],Practices_SubPractices[CP],"6",Practices_SubPractices[Org],"Medium"),IF(AND(Practices_SubPractices[CP]=7,Practices_SubPractices[Org] ="Medium"),SUMIFS(Practices_SubPractices[C],Practices_SubPractices[CP],"7",Practices_SubPractices[Org],"Medium"),IF(AND(Practices_SubPractices[CP]=8,Practices_SubPractices[Org] ="Medium"),SUMIFS(Practices_SubPractices[C],Practices_SubPractices[CP],"8",Practices_SubPractices[Org],"Medium"),IF(AND(Practices_SubPractices[CP]=9,Practices_SubPractices[Org] ="Medium"),SUMIFS(Practices_SubPractices[C],Practices_SubPractices[CP],"9",Practices_SubPractices[Org],"Medium"),IF(AND(Practices_SubPractices[CP]=10,Practices_SubPractices[Org] ="Medium"),SUMIFS(Practices_SubPractices[C],Practices_SubPractices[CP],"10",Practices_SubPractices[Org],"Medium"),IF(AND(Practices_SubPractices[CP]=1,Practices_SubPractices[Org]="Large"),SUMIFS(Practices_SubPractices[C],Practices_SubPractices[CP],"1",Practices_SubPractices[Org],"Large"),IF(AND(Practices_SubPractices[CP]=2,Practices_SubPractices[Org]="Large"),SUMIFS(Practices_SubPractices[C],Practices_SubPractices[CP],"2",Practices_SubPractices[Org],"Large"),IF(AND(Practices_SubPractices[CP]=3,Practices_SubPractices[Org]="Large"),SUMIFS(Practices_SubPractices[C],Practices_SubPractices[CP],"3",Practices_SubPractices[Org],"Large"),IF(AND(Practices_SubPractices[CP]=4,Practices_SubPractices[Org]="Large"),SUMIFS(Practices_SubPractices[C],Practices_SubPractices[CP],"4",Practices_SubPractices[Org],"Large"),IF(AND(Practices_SubPractices[CP]=5,Practices_SubPractices[Org]="Large"),SUMIFS(Practices_SubPractices[C],Practices_SubPractices[CP],"5",Practices_SubPractices[Org],"Large"),IF(AND(Practices_SubPractices[CP]=6,Practices_SubPractices[Org]="Large"),SUMIFS(Practices_SubPractices[C],Practices_SubPractices[CP],"6",Practices_SubPractices[Org],"Large"),IF(AND(Practices_SubPractices[CP]=7,Practices_SubPractices[Org] ="Large"),SUMIFS(Practices_SubPractices[C],Practices_SubPractices[CP],"7",Practices_SubPractices[Org],"Large"),IF(AND(Practices_SubPractices[CP]=8,Practices_SubPractices[Org] ="Large"),SUMIFS(Practices_SubPractices[C],Practices_SubPractices[CP],"8",Practices_SubPractices[Org],"Large"),IF(AND(Practices_SubPractices[CP]=9,Practices_SubPractices[Org] ="Large"),SUMIFS(Practices_SubPractices[C],Practices_SubPractices[CP],"9",Practices_SubPractices[Org],"Large"),IF(AND(Practices_SubPractices[CP]=10,Practices_SubPractices[Org] ="Large"),SUMIFS(Practices_SubPractices[C],Practices_SubPractices[CP],"10",Practices_SubPractices[Org],"Large"),"TBD"))))))))))))))))))))))))))))))</f>
        <v>0</v>
      </c>
      <c r="Q97" s="77">
        <f>IF(AND(Practices_SubPractices[CP]=1,Practices_SubPractices[Org]="Small"),SUMIFS(Practices_SubPractices[D],Practices_SubPractices[CP],"1",Practices_SubPractices[Org],"Small"),IF(AND(Practices_SubPractices[CP]=2,Practices_SubPractices[Org]="Small"),SUMIFS(Practices_SubPractices[D],Practices_SubPractices[CP],"2",Practices_SubPractices[Org],"Small"),IF(AND(Practices_SubPractices[CP]=3,Practices_SubPractices[Org]="Small"),SUMIFS(Practices_SubPractices[D],Practices_SubPractices[CP],"3",Practices_SubPractices[Org],"Small"),IF(AND(Practices_SubPractices[CP]=4,Practices_SubPractices[Org]="Small"),SUMIFS(Practices_SubPractices[D],Practices_SubPractices[CP],"4",Practices_SubPractices[Org],"Small"),IF(AND(Practices_SubPractices[CP]=5,Practices_SubPractices[Org]="Small"),SUMIFS(Practices_SubPractices[D],Practices_SubPractices[CP],"5",Practices_SubPractices[Org],"Small"),IF(AND(Practices_SubPractices[CP]=6,Practices_SubPractices[Org]="Small"),SUMIFS(Practices_SubPractices[D],Practices_SubPractices[CP],"6",Practices_SubPractices[Org],"Small"),IF(AND(Practices_SubPractices[CP]=7,Practices_SubPractices[Org] ="Small"),SUMIFS(Practices_SubPractices[D],Practices_SubPractices[CP],"7",Practices_SubPractices[Org],"Small"),IF(AND(Practices_SubPractices[CP]=8,Practices_SubPractices[Org] ="Small"),SUMIFS(Practices_SubPractices[D],Practices_SubPractices[CP],"8",Practices_SubPractices[Org],"Small"),IF(AND(Practices_SubPractices[CP]=9,Practices_SubPractices[Org] ="Small"),SUMIFS(Practices_SubPractices[D],Practices_SubPractices[CP],"9",Practices_SubPractices[Org],"Small"),IF(AND(Practices_SubPractices[CP]=10,Practices_SubPractices[Org] ="Small"),SUMIFS(Practices_SubPractices[D],Practices_SubPractices[CP],"10",Practices_SubPractices[Org],"Small"),IF(AND(Practices_SubPractices[CP]=1,Practices_SubPractices[Org]="Medium"),SUMIFS(Practices_SubPractices[D],Practices_SubPractices[CP],"1",Practices_SubPractices[Org],"Medium"),IF(AND(Practices_SubPractices[CP]=2,Practices_SubPractices[Org]="Medium"),SUMIFS(Practices_SubPractices[D],Practices_SubPractices[CP],"2",Practices_SubPractices[Org],"Medium"),IF(AND(Practices_SubPractices[CP]=3,Practices_SubPractices[Org]="Medium"),SUMIFS(Practices_SubPractices[D],Practices_SubPractices[CP],"3",Practices_SubPractices[Org],"Medium"),IF(AND(Practices_SubPractices[CP]=4,Practices_SubPractices[Org]="Medium"),SUMIFS(Practices_SubPractices[D],Practices_SubPractices[CP],"4",Practices_SubPractices[Org],"Medium"),IF(AND(Practices_SubPractices[CP]=5,Practices_SubPractices[Org]="Medium"),SUMIFS(Practices_SubPractices[D],Practices_SubPractices[CP],"5",Practices_SubPractices[Org],"Medium"),IF(AND(Practices_SubPractices[CP]=6,Practices_SubPractices[Org]="Medium"),SUMIFS(Practices_SubPractices[D],Practices_SubPractices[CP],"6",Practices_SubPractices[Org],"Medium"),IF(AND(Practices_SubPractices[CP]=7,Practices_SubPractices[Org] ="Medium"),SUMIFS(Practices_SubPractices[D],Practices_SubPractices[CP],"7",Practices_SubPractices[Org],"Medium"),IF(AND(Practices_SubPractices[CP]=8,Practices_SubPractices[Org] ="Medium"),SUMIFS(Practices_SubPractices[D],Practices_SubPractices[CP],"8",Practices_SubPractices[Org],"Medium"),IF(AND(Practices_SubPractices[CP]=9,Practices_SubPractices[Org] ="Medium"),SUMIFS(Practices_SubPractices[D],Practices_SubPractices[CP],"9",Practices_SubPractices[Org],"Medium"),IF(AND(Practices_SubPractices[CP]=10,Practices_SubPractices[Org] ="Medium"),SUMIFS(Practices_SubPractices[D],Practices_SubPractices[CP],"10",Practices_SubPractices[Org],"Medium"),IF(AND(Practices_SubPractices[CP]=1,Practices_SubPractices[Org]="Large"),SUMIFS(Practices_SubPractices[D],Practices_SubPractices[CP],"1",Practices_SubPractices[Org],"Large"),IF(AND(Practices_SubPractices[CP]=2,Practices_SubPractices[Org]="Large"),SUMIFS(Practices_SubPractices[D],Practices_SubPractices[CP],"2",Practices_SubPractices[Org],"Large"),IF(AND(Practices_SubPractices[CP]=3,Practices_SubPractices[Org]="Large"),SUMIFS(Practices_SubPractices[D],Practices_SubPractices[CP],"3",Practices_SubPractices[Org],"Large"),IF(AND(Practices_SubPractices[CP]=4,Practices_SubPractices[Org]="Large"),SUMIFS(Practices_SubPractices[D],Practices_SubPractices[CP],"4",Practices_SubPractices[Org],"Large"),IF(AND(Practices_SubPractices[CP]=5,Practices_SubPractices[Org]="Large"),SUMIFS(Practices_SubPractices[D],Practices_SubPractices[CP],"5",Practices_SubPractices[Org],"Large"),IF(AND(Practices_SubPractices[CP]=6,Practices_SubPractices[Org]="Large"),SUMIFS(Practices_SubPractices[D],Practices_SubPractices[CP],"6",Practices_SubPractices[Org],"Large"),IF(AND(Practices_SubPractices[CP]=7,Practices_SubPractices[Org] ="Large"),SUMIFS(Practices_SubPractices[D],Practices_SubPractices[CP],"7",Practices_SubPractices[Org],"Large"),IF(AND(Practices_SubPractices[CP]=8,Practices_SubPractices[Org] ="Large"),SUMIFS(Practices_SubPractices[D],Practices_SubPractices[CP],"8",Practices_SubPractices[Org],"Large"),IF(AND(Practices_SubPractices[CP]=9,Practices_SubPractices[Org] ="Large"),SUMIFS(Practices_SubPractices[D],Practices_SubPractices[CP],"9",Practices_SubPractices[Org],"Large"),IF(AND(Practices_SubPractices[CP]=10,Practices_SubPractices[Org] ="Large"),SUMIFS(Practices_SubPractices[D],Practices_SubPractices[CP],"10",Practices_SubPractices[Org],"Large"),"TBD"))))))))))))))))))))))))))))))</f>
        <v>6</v>
      </c>
      <c r="R97" s="77">
        <f>IF(AND(Practices_SubPractices[CP]=1,Practices_SubPractices[Org]="Small"),SUMIFS(Practices_SubPractices[E],Practices_SubPractices[CP],"1",Practices_SubPractices[Org],"Small"),IF(AND(Practices_SubPractices[CP]=2,Practices_SubPractices[Org]="Small"),SUMIFS(Practices_SubPractices[E],Practices_SubPractices[CP],"2",Practices_SubPractices[Org],"Small"),IF(AND(Practices_SubPractices[CP]=3,Practices_SubPractices[Org]="Small"),SUMIFS(Practices_SubPractices[E],Practices_SubPractices[CP],"3",Practices_SubPractices[Org],"Small"),IF(AND(Practices_SubPractices[CP]=4,Practices_SubPractices[Org]="Small"),SUMIFS(Practices_SubPractices[E],Practices_SubPractices[CP],"4",Practices_SubPractices[Org],"Small"),IF(AND(Practices_SubPractices[CP]=5,Practices_SubPractices[Org]="Small"),SUMIFS(Practices_SubPractices[E],Practices_SubPractices[CP],"5",Practices_SubPractices[Org],"Small"),IF(AND(Practices_SubPractices[CP]=6,Practices_SubPractices[Org]="Small"),SUMIFS(Practices_SubPractices[E],Practices_SubPractices[CP],"6",Practices_SubPractices[Org],"Small"),IF(AND(Practices_SubPractices[CP]=7,Practices_SubPractices[Org] ="Small"),SUMIFS(Practices_SubPractices[E],Practices_SubPractices[CP],"7",Practices_SubPractices[Org],"Small"),IF(AND(Practices_SubPractices[CP]=8,Practices_SubPractices[Org] ="Small"),SUMIFS(Practices_SubPractices[E],Practices_SubPractices[CP],"8",Practices_SubPractices[Org],"Small"),IF(AND(Practices_SubPractices[CP]=9,Practices_SubPractices[Org] ="Small"),SUMIFS(Practices_SubPractices[E],Practices_SubPractices[CP],"9",Practices_SubPractices[Org],"Small"),IF(AND(Practices_SubPractices[CP]=10,Practices_SubPractices[Org] ="Small"),SUMIFS(Practices_SubPractices[E],Practices_SubPractices[CP],"10",Practices_SubPractices[Org],"Small"),IF(AND(Practices_SubPractices[CP]=1,Practices_SubPractices[Org]="Medium"),SUMIFS(Practices_SubPractices[E],Practices_SubPractices[CP],"1",Practices_SubPractices[Org],"Medium"),IF(AND(Practices_SubPractices[CP]=2,Practices_SubPractices[Org]="Medium"),SUMIFS(Practices_SubPractices[E],Practices_SubPractices[CP],"2",Practices_SubPractices[Org],"Medium"),IF(AND(Practices_SubPractices[CP]=3,Practices_SubPractices[Org]="Medium"),SUMIFS(Practices_SubPractices[E],Practices_SubPractices[CP],"3",Practices_SubPractices[Org],"Medium"),IF(AND(Practices_SubPractices[CP]=4,Practices_SubPractices[Org]="Medium"),SUMIFS(Practices_SubPractices[E],Practices_SubPractices[CP],"4",Practices_SubPractices[Org],"Medium"),IF(AND(Practices_SubPractices[CP]=5,Practices_SubPractices[Org]="Medium"),SUMIFS(Practices_SubPractices[E],Practices_SubPractices[CP],"5",Practices_SubPractices[Org],"Medium"),IF(AND(Practices_SubPractices[CP]=6,Practices_SubPractices[Org]="Medium"),SUMIFS(Practices_SubPractices[E],Practices_SubPractices[CP],"6",Practices_SubPractices[Org],"Medium"),IF(AND(Practices_SubPractices[CP]=7,Practices_SubPractices[Org] ="Medium"),SUMIFS(Practices_SubPractices[E],Practices_SubPractices[CP],"7",Practices_SubPractices[Org],"Medium"),IF(AND(Practices_SubPractices[CP]=8,Practices_SubPractices[Org] ="Medium"),SUMIFS(Practices_SubPractices[E],Practices_SubPractices[CP],"8",Practices_SubPractices[Org],"Medium"),IF(AND(Practices_SubPractices[CP]=9,Practices_SubPractices[Org] ="Medium"),SUMIFS(Practices_SubPractices[E],Practices_SubPractices[CP],"9",Practices_SubPractices[Org],"Medium"),IF(AND(Practices_SubPractices[CP]=10,Practices_SubPractices[Org] ="Medium"),SUMIFS(Practices_SubPractices[E],Practices_SubPractices[CP],"10",Practices_SubPractices[Org],"Medium"),IF(AND(Practices_SubPractices[CP]=1,Practices_SubPractices[Org]="Large"),SUMIFS(Practices_SubPractices[E],Practices_SubPractices[CP],"1",Practices_SubPractices[Org],"Large"),IF(AND(Practices_SubPractices[CP]=2,Practices_SubPractices[Org]="Large"),SUMIFS(Practices_SubPractices[E],Practices_SubPractices[CP],"2",Practices_SubPractices[Org],"Large"),IF(AND(Practices_SubPractices[CP]=3,Practices_SubPractices[Org]="Large"),SUMIFS(Practices_SubPractices[E],Practices_SubPractices[CP],"3",Practices_SubPractices[Org],"Large"),IF(AND(Practices_SubPractices[CP]=4,Practices_SubPractices[Org]="Large"),SUMIFS(Practices_SubPractices[E],Practices_SubPractices[CP],"4",Practices_SubPractices[Org],"Large"),IF(AND(Practices_SubPractices[CP]=5,Practices_SubPractices[Org]="Large"),SUMIFS(Practices_SubPractices[E],Practices_SubPractices[CP],"5",Practices_SubPractices[Org],"Large"),IF(AND(Practices_SubPractices[CP]=6,Practices_SubPractices[Org]="Large"),SUMIFS(Practices_SubPractices[E],Practices_SubPractices[CP],"6",Practices_SubPractices[Org],"Large"),IF(AND(Practices_SubPractices[CP]=7,Practices_SubPractices[Org] ="Large"),SUMIFS(Practices_SubPractices[E],Practices_SubPractices[CP],"7",Practices_SubPractices[Org],"Large"),IF(AND(Practices_SubPractices[CP]=8,Practices_SubPractices[Org] ="Large"),SUMIFS(Practices_SubPractices[E],Practices_SubPractices[CP],"8",Practices_SubPractices[Org],"Large"),IF(AND(Practices_SubPractices[CP]=9,Practices_SubPractices[Org] ="Large"),SUMIFS(Practices_SubPractices[E],Practices_SubPractices[CP],"9",Practices_SubPractices[Org],"Large"),IF(AND(Practices_SubPractices[CP]=10,Practices_SubPractices[Org] ="Large"),SUMIFS(Practices_SubPractices[E],Practices_SubPractices[CP],"10",Practices_SubPractices[Org],"Large"),"TBD"))))))))))))))))))))))))))))))</f>
        <v>18</v>
      </c>
      <c r="S97" s="87" t="s">
        <v>431</v>
      </c>
    </row>
    <row r="98" spans="1:19" x14ac:dyDescent="0.35">
      <c r="A98" s="73">
        <v>88</v>
      </c>
      <c r="B98" s="73">
        <v>9</v>
      </c>
      <c r="C98" s="73" t="s">
        <v>11</v>
      </c>
      <c r="D98" s="73" t="str">
        <f>Practices_SubPractices[[#This Row],[CP]]&amp;LEFT(Practices_SubPractices[[#This Row],[Org]],1)</f>
        <v>9M</v>
      </c>
      <c r="E98" s="73" t="s">
        <v>212</v>
      </c>
      <c r="F98" s="74" t="s">
        <v>165</v>
      </c>
      <c r="G98" s="74" t="s">
        <v>5</v>
      </c>
      <c r="H98" s="74" t="s">
        <v>371</v>
      </c>
      <c r="I98" s="75">
        <v>0</v>
      </c>
      <c r="J98" s="75">
        <v>0</v>
      </c>
      <c r="K98" s="75">
        <v>0</v>
      </c>
      <c r="L98" s="75">
        <v>0</v>
      </c>
      <c r="M98" s="75">
        <v>2</v>
      </c>
      <c r="N98" s="76"/>
      <c r="O98" s="77">
        <f>IF(AND(Practices_SubPractices[CP]=1,Practices_SubPractices[Org]="Small"),SUMIFS(Practices_SubPractices[B],Practices_SubPractices[CP],"1",Practices_SubPractices[Org],"Small"),IF(AND(Practices_SubPractices[CP]=2,Practices_SubPractices[Org]="Small"),SUMIFS(Practices_SubPractices[B],Practices_SubPractices[CP],"2",Practices_SubPractices[Org],"Small"),IF(AND(Practices_SubPractices[CP]=3,Practices_SubPractices[Org]="Small"),SUMIFS(Practices_SubPractices[B],Practices_SubPractices[CP],"3",Practices_SubPractices[Org],"Small"),IF(AND(Practices_SubPractices[CP]=4,Practices_SubPractices[Org]="Small"),SUMIFS(Practices_SubPractices[B],Practices_SubPractices[CP],"4",Practices_SubPractices[Org],"Small"),IF(AND(Practices_SubPractices[CP]=5,Practices_SubPractices[Org]="Small"),SUMIFS(Practices_SubPractices[B],Practices_SubPractices[CP],"5",Practices_SubPractices[Org],"Small"),IF(AND(Practices_SubPractices[CP]=6,Practices_SubPractices[Org]="Small"),SUMIFS(Practices_SubPractices[B],Practices_SubPractices[CP],"6",Practices_SubPractices[Org],"Small"),IF(AND(Practices_SubPractices[CP]=7,Practices_SubPractices[Org] ="Small"),SUMIFS(Practices_SubPractices[B],Practices_SubPractices[CP],"7",Practices_SubPractices[Org],"Small"),IF(AND(Practices_SubPractices[CP]=8,Practices_SubPractices[Org] ="Small"),SUMIFS(Practices_SubPractices[B],Practices_SubPractices[CP],"8",Practices_SubPractices[Org],"Small"),IF(AND(Practices_SubPractices[CP]=9,Practices_SubPractices[Org] ="Small"),SUMIFS(Practices_SubPractices[B],Practices_SubPractices[CP],"9",Practices_SubPractices[Org],"Small"),IF(AND(Practices_SubPractices[CP]=10,Practices_SubPractices[Org] ="Small"),SUMIFS(Practices_SubPractices[B],Practices_SubPractices[CP],"10",Practices_SubPractices[Org],"Small"),IF(AND(Practices_SubPractices[CP]=1,Practices_SubPractices[Org]="Medium"),SUMIFS(Practices_SubPractices[B],Practices_SubPractices[CP],"1",Practices_SubPractices[Org],"Medium"),IF(AND(Practices_SubPractices[CP]=2,Practices_SubPractices[Org]="Medium"),SUMIFS(Practices_SubPractices[B],Practices_SubPractices[CP],"2",Practices_SubPractices[Org],"Medium"),IF(AND(Practices_SubPractices[CP]=3,Practices_SubPractices[Org]="Medium"),SUMIFS(Practices_SubPractices[B],Practices_SubPractices[CP],"3",Practices_SubPractices[Org],"Medium"),IF(AND(Practices_SubPractices[CP]=4,Practices_SubPractices[Org]="Medium"),SUMIFS(Practices_SubPractices[B],Practices_SubPractices[CP],"4",Practices_SubPractices[Org],"Medium"),IF(AND(Practices_SubPractices[CP]=5,Practices_SubPractices[Org]="Medium"),SUMIFS(Practices_SubPractices[B],Practices_SubPractices[CP],"5",Practices_SubPractices[Org],"Medium"),IF(AND(Practices_SubPractices[CP]=6,Practices_SubPractices[Org]="Medium"),SUMIFS(Practices_SubPractices[B],Practices_SubPractices[CP],"6",Practices_SubPractices[Org],"Medium"),IF(AND(Practices_SubPractices[CP]=7,Practices_SubPractices[Org] ="Medium"),SUMIFS(Practices_SubPractices[B],Practices_SubPractices[CP],"7",Practices_SubPractices[Org],"Medium"),IF(AND(Practices_SubPractices[CP]=8,Practices_SubPractices[Org] ="Medium"),SUMIFS(Practices_SubPractices[B],Practices_SubPractices[CP],"8",Practices_SubPractices[Org],"Medium"),IF(AND(Practices_SubPractices[CP]=9,Practices_SubPractices[Org] ="Medium"),SUMIFS(Practices_SubPractices[B],Practices_SubPractices[CP],"9",Practices_SubPractices[Org],"Medium"),IF(AND(Practices_SubPractices[CP]=10,Practices_SubPractices[Org] ="Medium"),SUMIFS(Practices_SubPractices[B],Practices_SubPractices[CP],"10",Practices_SubPractices[Org],"Medium"),IF(AND(Practices_SubPractices[CP]=1,Practices_SubPractices[Org]="Large"),SUMIFS(Practices_SubPractices[B],Practices_SubPractices[CP],"1",Practices_SubPractices[Org],"Large"),IF(AND(Practices_SubPractices[CP]=2,Practices_SubPractices[Org]="Large"),SUMIFS(Practices_SubPractices[B],Practices_SubPractices[CP],"2",Practices_SubPractices[Org],"Large"),IF(AND(Practices_SubPractices[CP]=3,Practices_SubPractices[Org]="Large"),SUMIFS(Practices_SubPractices[B],Practices_SubPractices[CP],"3",Practices_SubPractices[Org],"Large"),IF(AND(Practices_SubPractices[CP]=4,Practices_SubPractices[Org]="Large"),SUMIFS(Practices_SubPractices[B],Practices_SubPractices[CP],"4",Practices_SubPractices[Org],"Large"),IF(AND(Practices_SubPractices[CP]=5,Practices_SubPractices[Org]="Large"),SUMIFS(Practices_SubPractices[B],Practices_SubPractices[CP],"5",Practices_SubPractices[Org],"Large"),IF(AND(Practices_SubPractices[CP]=6,Practices_SubPractices[Org]="Large"),SUMIFS(Practices_SubPractices[B],Practices_SubPractices[CP],"6",Practices_SubPractices[Org],"Large"),IF(AND(Practices_SubPractices[CP]=7,Practices_SubPractices[Org] ="Large"),SUMIFS(Practices_SubPractices[B],Practices_SubPractices[CP],"7",Practices_SubPractices[Org],"Large"),IF(AND(Practices_SubPractices[CP]=8,Practices_SubPractices[Org] ="Large"),SUMIFS(Practices_SubPractices[B],Practices_SubPractices[CP],"8",Practices_SubPractices[Org],"Large"),IF(AND(Practices_SubPractices[CP]=9,Practices_SubPractices[Org] ="Large"),SUMIFS(Practices_SubPractices[B],Practices_SubPractices[CP],"9",Practices_SubPractices[Org],"Large"),IF(AND(Practices_SubPractices[CP]=10,Practices_SubPractices[Org] ="Large"),SUMIFS(Practices_SubPractices[B],Practices_SubPractices[CP],"10",Practices_SubPractices[Org],"Large"),"TBD"))))))))))))))))))))))))))))))</f>
        <v>4</v>
      </c>
      <c r="P98" s="77">
        <f>IF(AND(Practices_SubPractices[CP]=1,Practices_SubPractices[Org]="Small"),SUMIFS(Practices_SubPractices[C],Practices_SubPractices[CP],"1",Practices_SubPractices[Org],"Small"),IF(AND(Practices_SubPractices[CP]=2,Practices_SubPractices[Org]="Small"),SUMIFS(Practices_SubPractices[C],Practices_SubPractices[CP],"2",Practices_SubPractices[Org],"Small"),IF(AND(Practices_SubPractices[CP]=3,Practices_SubPractices[Org]="Small"),SUMIFS(Practices_SubPractices[C],Practices_SubPractices[CP],"3",Practices_SubPractices[Org],"Small"),IF(AND(Practices_SubPractices[CP]=4,Practices_SubPractices[Org]="Small"),SUMIFS(Practices_SubPractices[C],Practices_SubPractices[CP],"4",Practices_SubPractices[Org],"Small"),IF(AND(Practices_SubPractices[CP]=5,Practices_SubPractices[Org]="Small"),SUMIFS(Practices_SubPractices[C],Practices_SubPractices[CP],"5",Practices_SubPractices[Org],"Small"),IF(AND(Practices_SubPractices[CP]=6,Practices_SubPractices[Org]="Small"),SUMIFS(Practices_SubPractices[C],Practices_SubPractices[CP],"6",Practices_SubPractices[Org],"Small"),IF(AND(Practices_SubPractices[CP]=7,Practices_SubPractices[Org] ="Small"),SUMIFS(Practices_SubPractices[C],Practices_SubPractices[CP],"7",Practices_SubPractices[Org],"Small"),IF(AND(Practices_SubPractices[CP]=8,Practices_SubPractices[Org] ="Small"),SUMIFS(Practices_SubPractices[C],Practices_SubPractices[CP],"8",Practices_SubPractices[Org],"Small"),IF(AND(Practices_SubPractices[CP]=9,Practices_SubPractices[Org] ="Small"),SUMIFS(Practices_SubPractices[C],Practices_SubPractices[CP],"9",Practices_SubPractices[Org],"Small"),IF(AND(Practices_SubPractices[CP]=10,Practices_SubPractices[Org] ="Small"),SUMIFS(Practices_SubPractices[C],Practices_SubPractices[CP],"10",Practices_SubPractices[Org],"Small"),IF(AND(Practices_SubPractices[CP]=1,Practices_SubPractices[Org]="Medium"),SUMIFS(Practices_SubPractices[C],Practices_SubPractices[CP],"1",Practices_SubPractices[Org],"Medium"),IF(AND(Practices_SubPractices[CP]=2,Practices_SubPractices[Org]="Medium"),SUMIFS(Practices_SubPractices[C],Practices_SubPractices[CP],"2",Practices_SubPractices[Org],"Medium"),IF(AND(Practices_SubPractices[CP]=3,Practices_SubPractices[Org]="Medium"),SUMIFS(Practices_SubPractices[C],Practices_SubPractices[CP],"3",Practices_SubPractices[Org],"Medium"),IF(AND(Practices_SubPractices[CP]=4,Practices_SubPractices[Org]="Medium"),SUMIFS(Practices_SubPractices[C],Practices_SubPractices[CP],"4",Practices_SubPractices[Org],"Medium"),IF(AND(Practices_SubPractices[CP]=5,Practices_SubPractices[Org]="Medium"),SUMIFS(Practices_SubPractices[C],Practices_SubPractices[CP],"5",Practices_SubPractices[Org],"Medium"),IF(AND(Practices_SubPractices[CP]=6,Practices_SubPractices[Org]="Medium"),SUMIFS(Practices_SubPractices[C],Practices_SubPractices[CP],"6",Practices_SubPractices[Org],"Medium"),IF(AND(Practices_SubPractices[CP]=7,Practices_SubPractices[Org] ="Medium"),SUMIFS(Practices_SubPractices[C],Practices_SubPractices[CP],"7",Practices_SubPractices[Org],"Medium"),IF(AND(Practices_SubPractices[CP]=8,Practices_SubPractices[Org] ="Medium"),SUMIFS(Practices_SubPractices[C],Practices_SubPractices[CP],"8",Practices_SubPractices[Org],"Medium"),IF(AND(Practices_SubPractices[CP]=9,Practices_SubPractices[Org] ="Medium"),SUMIFS(Practices_SubPractices[C],Practices_SubPractices[CP],"9",Practices_SubPractices[Org],"Medium"),IF(AND(Practices_SubPractices[CP]=10,Practices_SubPractices[Org] ="Medium"),SUMIFS(Practices_SubPractices[C],Practices_SubPractices[CP],"10",Practices_SubPractices[Org],"Medium"),IF(AND(Practices_SubPractices[CP]=1,Practices_SubPractices[Org]="Large"),SUMIFS(Practices_SubPractices[C],Practices_SubPractices[CP],"1",Practices_SubPractices[Org],"Large"),IF(AND(Practices_SubPractices[CP]=2,Practices_SubPractices[Org]="Large"),SUMIFS(Practices_SubPractices[C],Practices_SubPractices[CP],"2",Practices_SubPractices[Org],"Large"),IF(AND(Practices_SubPractices[CP]=3,Practices_SubPractices[Org]="Large"),SUMIFS(Practices_SubPractices[C],Practices_SubPractices[CP],"3",Practices_SubPractices[Org],"Large"),IF(AND(Practices_SubPractices[CP]=4,Practices_SubPractices[Org]="Large"),SUMIFS(Practices_SubPractices[C],Practices_SubPractices[CP],"4",Practices_SubPractices[Org],"Large"),IF(AND(Practices_SubPractices[CP]=5,Practices_SubPractices[Org]="Large"),SUMIFS(Practices_SubPractices[C],Practices_SubPractices[CP],"5",Practices_SubPractices[Org],"Large"),IF(AND(Practices_SubPractices[CP]=6,Practices_SubPractices[Org]="Large"),SUMIFS(Practices_SubPractices[C],Practices_SubPractices[CP],"6",Practices_SubPractices[Org],"Large"),IF(AND(Practices_SubPractices[CP]=7,Practices_SubPractices[Org] ="Large"),SUMIFS(Practices_SubPractices[C],Practices_SubPractices[CP],"7",Practices_SubPractices[Org],"Large"),IF(AND(Practices_SubPractices[CP]=8,Practices_SubPractices[Org] ="Large"),SUMIFS(Practices_SubPractices[C],Practices_SubPractices[CP],"8",Practices_SubPractices[Org],"Large"),IF(AND(Practices_SubPractices[CP]=9,Practices_SubPractices[Org] ="Large"),SUMIFS(Practices_SubPractices[C],Practices_SubPractices[CP],"9",Practices_SubPractices[Org],"Large"),IF(AND(Practices_SubPractices[CP]=10,Practices_SubPractices[Org] ="Large"),SUMIFS(Practices_SubPractices[C],Practices_SubPractices[CP],"10",Practices_SubPractices[Org],"Large"),"TBD"))))))))))))))))))))))))))))))</f>
        <v>0</v>
      </c>
      <c r="Q98" s="77">
        <f>IF(AND(Practices_SubPractices[CP]=1,Practices_SubPractices[Org]="Small"),SUMIFS(Practices_SubPractices[D],Practices_SubPractices[CP],"1",Practices_SubPractices[Org],"Small"),IF(AND(Practices_SubPractices[CP]=2,Practices_SubPractices[Org]="Small"),SUMIFS(Practices_SubPractices[D],Practices_SubPractices[CP],"2",Practices_SubPractices[Org],"Small"),IF(AND(Practices_SubPractices[CP]=3,Practices_SubPractices[Org]="Small"),SUMIFS(Practices_SubPractices[D],Practices_SubPractices[CP],"3",Practices_SubPractices[Org],"Small"),IF(AND(Practices_SubPractices[CP]=4,Practices_SubPractices[Org]="Small"),SUMIFS(Practices_SubPractices[D],Practices_SubPractices[CP],"4",Practices_SubPractices[Org],"Small"),IF(AND(Practices_SubPractices[CP]=5,Practices_SubPractices[Org]="Small"),SUMIFS(Practices_SubPractices[D],Practices_SubPractices[CP],"5",Practices_SubPractices[Org],"Small"),IF(AND(Practices_SubPractices[CP]=6,Practices_SubPractices[Org]="Small"),SUMIFS(Practices_SubPractices[D],Practices_SubPractices[CP],"6",Practices_SubPractices[Org],"Small"),IF(AND(Practices_SubPractices[CP]=7,Practices_SubPractices[Org] ="Small"),SUMIFS(Practices_SubPractices[D],Practices_SubPractices[CP],"7",Practices_SubPractices[Org],"Small"),IF(AND(Practices_SubPractices[CP]=8,Practices_SubPractices[Org] ="Small"),SUMIFS(Practices_SubPractices[D],Practices_SubPractices[CP],"8",Practices_SubPractices[Org],"Small"),IF(AND(Practices_SubPractices[CP]=9,Practices_SubPractices[Org] ="Small"),SUMIFS(Practices_SubPractices[D],Practices_SubPractices[CP],"9",Practices_SubPractices[Org],"Small"),IF(AND(Practices_SubPractices[CP]=10,Practices_SubPractices[Org] ="Small"),SUMIFS(Practices_SubPractices[D],Practices_SubPractices[CP],"10",Practices_SubPractices[Org],"Small"),IF(AND(Practices_SubPractices[CP]=1,Practices_SubPractices[Org]="Medium"),SUMIFS(Practices_SubPractices[D],Practices_SubPractices[CP],"1",Practices_SubPractices[Org],"Medium"),IF(AND(Practices_SubPractices[CP]=2,Practices_SubPractices[Org]="Medium"),SUMIFS(Practices_SubPractices[D],Practices_SubPractices[CP],"2",Practices_SubPractices[Org],"Medium"),IF(AND(Practices_SubPractices[CP]=3,Practices_SubPractices[Org]="Medium"),SUMIFS(Practices_SubPractices[D],Practices_SubPractices[CP],"3",Practices_SubPractices[Org],"Medium"),IF(AND(Practices_SubPractices[CP]=4,Practices_SubPractices[Org]="Medium"),SUMIFS(Practices_SubPractices[D],Practices_SubPractices[CP],"4",Practices_SubPractices[Org],"Medium"),IF(AND(Practices_SubPractices[CP]=5,Practices_SubPractices[Org]="Medium"),SUMIFS(Practices_SubPractices[D],Practices_SubPractices[CP],"5",Practices_SubPractices[Org],"Medium"),IF(AND(Practices_SubPractices[CP]=6,Practices_SubPractices[Org]="Medium"),SUMIFS(Practices_SubPractices[D],Practices_SubPractices[CP],"6",Practices_SubPractices[Org],"Medium"),IF(AND(Practices_SubPractices[CP]=7,Practices_SubPractices[Org] ="Medium"),SUMIFS(Practices_SubPractices[D],Practices_SubPractices[CP],"7",Practices_SubPractices[Org],"Medium"),IF(AND(Practices_SubPractices[CP]=8,Practices_SubPractices[Org] ="Medium"),SUMIFS(Practices_SubPractices[D],Practices_SubPractices[CP],"8",Practices_SubPractices[Org],"Medium"),IF(AND(Practices_SubPractices[CP]=9,Practices_SubPractices[Org] ="Medium"),SUMIFS(Practices_SubPractices[D],Practices_SubPractices[CP],"9",Practices_SubPractices[Org],"Medium"),IF(AND(Practices_SubPractices[CP]=10,Practices_SubPractices[Org] ="Medium"),SUMIFS(Practices_SubPractices[D],Practices_SubPractices[CP],"10",Practices_SubPractices[Org],"Medium"),IF(AND(Practices_SubPractices[CP]=1,Practices_SubPractices[Org]="Large"),SUMIFS(Practices_SubPractices[D],Practices_SubPractices[CP],"1",Practices_SubPractices[Org],"Large"),IF(AND(Practices_SubPractices[CP]=2,Practices_SubPractices[Org]="Large"),SUMIFS(Practices_SubPractices[D],Practices_SubPractices[CP],"2",Practices_SubPractices[Org],"Large"),IF(AND(Practices_SubPractices[CP]=3,Practices_SubPractices[Org]="Large"),SUMIFS(Practices_SubPractices[D],Practices_SubPractices[CP],"3",Practices_SubPractices[Org],"Large"),IF(AND(Practices_SubPractices[CP]=4,Practices_SubPractices[Org]="Large"),SUMIFS(Practices_SubPractices[D],Practices_SubPractices[CP],"4",Practices_SubPractices[Org],"Large"),IF(AND(Practices_SubPractices[CP]=5,Practices_SubPractices[Org]="Large"),SUMIFS(Practices_SubPractices[D],Practices_SubPractices[CP],"5",Practices_SubPractices[Org],"Large"),IF(AND(Practices_SubPractices[CP]=6,Practices_SubPractices[Org]="Large"),SUMIFS(Practices_SubPractices[D],Practices_SubPractices[CP],"6",Practices_SubPractices[Org],"Large"),IF(AND(Practices_SubPractices[CP]=7,Practices_SubPractices[Org] ="Large"),SUMIFS(Practices_SubPractices[D],Practices_SubPractices[CP],"7",Practices_SubPractices[Org],"Large"),IF(AND(Practices_SubPractices[CP]=8,Practices_SubPractices[Org] ="Large"),SUMIFS(Practices_SubPractices[D],Practices_SubPractices[CP],"8",Practices_SubPractices[Org],"Large"),IF(AND(Practices_SubPractices[CP]=9,Practices_SubPractices[Org] ="Large"),SUMIFS(Practices_SubPractices[D],Practices_SubPractices[CP],"9",Practices_SubPractices[Org],"Large"),IF(AND(Practices_SubPractices[CP]=10,Practices_SubPractices[Org] ="Large"),SUMIFS(Practices_SubPractices[D],Practices_SubPractices[CP],"10",Practices_SubPractices[Org],"Large"),"TBD"))))))))))))))))))))))))))))))</f>
        <v>4</v>
      </c>
      <c r="R98" s="77">
        <f>IF(AND(Practices_SubPractices[CP]=1,Practices_SubPractices[Org]="Small"),SUMIFS(Practices_SubPractices[E],Practices_SubPractices[CP],"1",Practices_SubPractices[Org],"Small"),IF(AND(Practices_SubPractices[CP]=2,Practices_SubPractices[Org]="Small"),SUMIFS(Practices_SubPractices[E],Practices_SubPractices[CP],"2",Practices_SubPractices[Org],"Small"),IF(AND(Practices_SubPractices[CP]=3,Practices_SubPractices[Org]="Small"),SUMIFS(Practices_SubPractices[E],Practices_SubPractices[CP],"3",Practices_SubPractices[Org],"Small"),IF(AND(Practices_SubPractices[CP]=4,Practices_SubPractices[Org]="Small"),SUMIFS(Practices_SubPractices[E],Practices_SubPractices[CP],"4",Practices_SubPractices[Org],"Small"),IF(AND(Practices_SubPractices[CP]=5,Practices_SubPractices[Org]="Small"),SUMIFS(Practices_SubPractices[E],Practices_SubPractices[CP],"5",Practices_SubPractices[Org],"Small"),IF(AND(Practices_SubPractices[CP]=6,Practices_SubPractices[Org]="Small"),SUMIFS(Practices_SubPractices[E],Practices_SubPractices[CP],"6",Practices_SubPractices[Org],"Small"),IF(AND(Practices_SubPractices[CP]=7,Practices_SubPractices[Org] ="Small"),SUMIFS(Practices_SubPractices[E],Practices_SubPractices[CP],"7",Practices_SubPractices[Org],"Small"),IF(AND(Practices_SubPractices[CP]=8,Practices_SubPractices[Org] ="Small"),SUMIFS(Practices_SubPractices[E],Practices_SubPractices[CP],"8",Practices_SubPractices[Org],"Small"),IF(AND(Practices_SubPractices[CP]=9,Practices_SubPractices[Org] ="Small"),SUMIFS(Practices_SubPractices[E],Practices_SubPractices[CP],"9",Practices_SubPractices[Org],"Small"),IF(AND(Practices_SubPractices[CP]=10,Practices_SubPractices[Org] ="Small"),SUMIFS(Practices_SubPractices[E],Practices_SubPractices[CP],"10",Practices_SubPractices[Org],"Small"),IF(AND(Practices_SubPractices[CP]=1,Practices_SubPractices[Org]="Medium"),SUMIFS(Practices_SubPractices[E],Practices_SubPractices[CP],"1",Practices_SubPractices[Org],"Medium"),IF(AND(Practices_SubPractices[CP]=2,Practices_SubPractices[Org]="Medium"),SUMIFS(Practices_SubPractices[E],Practices_SubPractices[CP],"2",Practices_SubPractices[Org],"Medium"),IF(AND(Practices_SubPractices[CP]=3,Practices_SubPractices[Org]="Medium"),SUMIFS(Practices_SubPractices[E],Practices_SubPractices[CP],"3",Practices_SubPractices[Org],"Medium"),IF(AND(Practices_SubPractices[CP]=4,Practices_SubPractices[Org]="Medium"),SUMIFS(Practices_SubPractices[E],Practices_SubPractices[CP],"4",Practices_SubPractices[Org],"Medium"),IF(AND(Practices_SubPractices[CP]=5,Practices_SubPractices[Org]="Medium"),SUMIFS(Practices_SubPractices[E],Practices_SubPractices[CP],"5",Practices_SubPractices[Org],"Medium"),IF(AND(Practices_SubPractices[CP]=6,Practices_SubPractices[Org]="Medium"),SUMIFS(Practices_SubPractices[E],Practices_SubPractices[CP],"6",Practices_SubPractices[Org],"Medium"),IF(AND(Practices_SubPractices[CP]=7,Practices_SubPractices[Org] ="Medium"),SUMIFS(Practices_SubPractices[E],Practices_SubPractices[CP],"7",Practices_SubPractices[Org],"Medium"),IF(AND(Practices_SubPractices[CP]=8,Practices_SubPractices[Org] ="Medium"),SUMIFS(Practices_SubPractices[E],Practices_SubPractices[CP],"8",Practices_SubPractices[Org],"Medium"),IF(AND(Practices_SubPractices[CP]=9,Practices_SubPractices[Org] ="Medium"),SUMIFS(Practices_SubPractices[E],Practices_SubPractices[CP],"9",Practices_SubPractices[Org],"Medium"),IF(AND(Practices_SubPractices[CP]=10,Practices_SubPractices[Org] ="Medium"),SUMIFS(Practices_SubPractices[E],Practices_SubPractices[CP],"10",Practices_SubPractices[Org],"Medium"),IF(AND(Practices_SubPractices[CP]=1,Practices_SubPractices[Org]="Large"),SUMIFS(Practices_SubPractices[E],Practices_SubPractices[CP],"1",Practices_SubPractices[Org],"Large"),IF(AND(Practices_SubPractices[CP]=2,Practices_SubPractices[Org]="Large"),SUMIFS(Practices_SubPractices[E],Practices_SubPractices[CP],"2",Practices_SubPractices[Org],"Large"),IF(AND(Practices_SubPractices[CP]=3,Practices_SubPractices[Org]="Large"),SUMIFS(Practices_SubPractices[E],Practices_SubPractices[CP],"3",Practices_SubPractices[Org],"Large"),IF(AND(Practices_SubPractices[CP]=4,Practices_SubPractices[Org]="Large"),SUMIFS(Practices_SubPractices[E],Practices_SubPractices[CP],"4",Practices_SubPractices[Org],"Large"),IF(AND(Practices_SubPractices[CP]=5,Practices_SubPractices[Org]="Large"),SUMIFS(Practices_SubPractices[E],Practices_SubPractices[CP],"5",Practices_SubPractices[Org],"Large"),IF(AND(Practices_SubPractices[CP]=6,Practices_SubPractices[Org]="Large"),SUMIFS(Practices_SubPractices[E],Practices_SubPractices[CP],"6",Practices_SubPractices[Org],"Large"),IF(AND(Practices_SubPractices[CP]=7,Practices_SubPractices[Org] ="Large"),SUMIFS(Practices_SubPractices[E],Practices_SubPractices[CP],"7",Practices_SubPractices[Org],"Large"),IF(AND(Practices_SubPractices[CP]=8,Practices_SubPractices[Org] ="Large"),SUMIFS(Practices_SubPractices[E],Practices_SubPractices[CP],"8",Practices_SubPractices[Org],"Large"),IF(AND(Practices_SubPractices[CP]=9,Practices_SubPractices[Org] ="Large"),SUMIFS(Practices_SubPractices[E],Practices_SubPractices[CP],"9",Practices_SubPractices[Org],"Large"),IF(AND(Practices_SubPractices[CP]=10,Practices_SubPractices[Org] ="Large"),SUMIFS(Practices_SubPractices[E],Practices_SubPractices[CP],"10",Practices_SubPractices[Org],"Large"),"TBD"))))))))))))))))))))))))))))))</f>
        <v>10</v>
      </c>
      <c r="S98" s="87" t="s">
        <v>420</v>
      </c>
    </row>
    <row r="99" spans="1:19" x14ac:dyDescent="0.35">
      <c r="A99" s="73">
        <v>89</v>
      </c>
      <c r="B99" s="80">
        <v>9</v>
      </c>
      <c r="C99" s="80" t="s">
        <v>12</v>
      </c>
      <c r="D99" s="80" t="str">
        <f>Practices_SubPractices[[#This Row],[CP]]&amp;LEFT(Practices_SubPractices[[#This Row],[Org]],1)</f>
        <v>9L</v>
      </c>
      <c r="E99" s="80" t="s">
        <v>212</v>
      </c>
      <c r="F99" s="81" t="s">
        <v>165</v>
      </c>
      <c r="G99" s="81" t="s">
        <v>5</v>
      </c>
      <c r="H99" s="81" t="s">
        <v>371</v>
      </c>
      <c r="I99" s="82">
        <v>0</v>
      </c>
      <c r="J99" s="82">
        <v>0</v>
      </c>
      <c r="K99" s="82">
        <v>0</v>
      </c>
      <c r="L99" s="82">
        <v>0</v>
      </c>
      <c r="M99" s="82">
        <v>2</v>
      </c>
      <c r="N99" s="83"/>
      <c r="O99" s="77">
        <f>IF(AND(Practices_SubPractices[CP]=1,Practices_SubPractices[Org]="Small"),SUMIFS(Practices_SubPractices[B],Practices_SubPractices[CP],"1",Practices_SubPractices[Org],"Small"),IF(AND(Practices_SubPractices[CP]=2,Practices_SubPractices[Org]="Small"),SUMIFS(Practices_SubPractices[B],Practices_SubPractices[CP],"2",Practices_SubPractices[Org],"Small"),IF(AND(Practices_SubPractices[CP]=3,Practices_SubPractices[Org]="Small"),SUMIFS(Practices_SubPractices[B],Practices_SubPractices[CP],"3",Practices_SubPractices[Org],"Small"),IF(AND(Practices_SubPractices[CP]=4,Practices_SubPractices[Org]="Small"),SUMIFS(Practices_SubPractices[B],Practices_SubPractices[CP],"4",Practices_SubPractices[Org],"Small"),IF(AND(Practices_SubPractices[CP]=5,Practices_SubPractices[Org]="Small"),SUMIFS(Practices_SubPractices[B],Practices_SubPractices[CP],"5",Practices_SubPractices[Org],"Small"),IF(AND(Practices_SubPractices[CP]=6,Practices_SubPractices[Org]="Small"),SUMIFS(Practices_SubPractices[B],Practices_SubPractices[CP],"6",Practices_SubPractices[Org],"Small"),IF(AND(Practices_SubPractices[CP]=7,Practices_SubPractices[Org] ="Small"),SUMIFS(Practices_SubPractices[B],Practices_SubPractices[CP],"7",Practices_SubPractices[Org],"Small"),IF(AND(Practices_SubPractices[CP]=8,Practices_SubPractices[Org] ="Small"),SUMIFS(Practices_SubPractices[B],Practices_SubPractices[CP],"8",Practices_SubPractices[Org],"Small"),IF(AND(Practices_SubPractices[CP]=9,Practices_SubPractices[Org] ="Small"),SUMIFS(Practices_SubPractices[B],Practices_SubPractices[CP],"9",Practices_SubPractices[Org],"Small"),IF(AND(Practices_SubPractices[CP]=10,Practices_SubPractices[Org] ="Small"),SUMIFS(Practices_SubPractices[B],Practices_SubPractices[CP],"10",Practices_SubPractices[Org],"Small"),IF(AND(Practices_SubPractices[CP]=1,Practices_SubPractices[Org]="Medium"),SUMIFS(Practices_SubPractices[B],Practices_SubPractices[CP],"1",Practices_SubPractices[Org],"Medium"),IF(AND(Practices_SubPractices[CP]=2,Practices_SubPractices[Org]="Medium"),SUMIFS(Practices_SubPractices[B],Practices_SubPractices[CP],"2",Practices_SubPractices[Org],"Medium"),IF(AND(Practices_SubPractices[CP]=3,Practices_SubPractices[Org]="Medium"),SUMIFS(Practices_SubPractices[B],Practices_SubPractices[CP],"3",Practices_SubPractices[Org],"Medium"),IF(AND(Practices_SubPractices[CP]=4,Practices_SubPractices[Org]="Medium"),SUMIFS(Practices_SubPractices[B],Practices_SubPractices[CP],"4",Practices_SubPractices[Org],"Medium"),IF(AND(Practices_SubPractices[CP]=5,Practices_SubPractices[Org]="Medium"),SUMIFS(Practices_SubPractices[B],Practices_SubPractices[CP],"5",Practices_SubPractices[Org],"Medium"),IF(AND(Practices_SubPractices[CP]=6,Practices_SubPractices[Org]="Medium"),SUMIFS(Practices_SubPractices[B],Practices_SubPractices[CP],"6",Practices_SubPractices[Org],"Medium"),IF(AND(Practices_SubPractices[CP]=7,Practices_SubPractices[Org] ="Medium"),SUMIFS(Practices_SubPractices[B],Practices_SubPractices[CP],"7",Practices_SubPractices[Org],"Medium"),IF(AND(Practices_SubPractices[CP]=8,Practices_SubPractices[Org] ="Medium"),SUMIFS(Practices_SubPractices[B],Practices_SubPractices[CP],"8",Practices_SubPractices[Org],"Medium"),IF(AND(Practices_SubPractices[CP]=9,Practices_SubPractices[Org] ="Medium"),SUMIFS(Practices_SubPractices[B],Practices_SubPractices[CP],"9",Practices_SubPractices[Org],"Medium"),IF(AND(Practices_SubPractices[CP]=10,Practices_SubPractices[Org] ="Medium"),SUMIFS(Practices_SubPractices[B],Practices_SubPractices[CP],"10",Practices_SubPractices[Org],"Medium"),IF(AND(Practices_SubPractices[CP]=1,Practices_SubPractices[Org]="Large"),SUMIFS(Practices_SubPractices[B],Practices_SubPractices[CP],"1",Practices_SubPractices[Org],"Large"),IF(AND(Practices_SubPractices[CP]=2,Practices_SubPractices[Org]="Large"),SUMIFS(Practices_SubPractices[B],Practices_SubPractices[CP],"2",Practices_SubPractices[Org],"Large"),IF(AND(Practices_SubPractices[CP]=3,Practices_SubPractices[Org]="Large"),SUMIFS(Practices_SubPractices[B],Practices_SubPractices[CP],"3",Practices_SubPractices[Org],"Large"),IF(AND(Practices_SubPractices[CP]=4,Practices_SubPractices[Org]="Large"),SUMIFS(Practices_SubPractices[B],Practices_SubPractices[CP],"4",Practices_SubPractices[Org],"Large"),IF(AND(Practices_SubPractices[CP]=5,Practices_SubPractices[Org]="Large"),SUMIFS(Practices_SubPractices[B],Practices_SubPractices[CP],"5",Practices_SubPractices[Org],"Large"),IF(AND(Practices_SubPractices[CP]=6,Practices_SubPractices[Org]="Large"),SUMIFS(Practices_SubPractices[B],Practices_SubPractices[CP],"6",Practices_SubPractices[Org],"Large"),IF(AND(Practices_SubPractices[CP]=7,Practices_SubPractices[Org] ="Large"),SUMIFS(Practices_SubPractices[B],Practices_SubPractices[CP],"7",Practices_SubPractices[Org],"Large"),IF(AND(Practices_SubPractices[CP]=8,Practices_SubPractices[Org] ="Large"),SUMIFS(Practices_SubPractices[B],Practices_SubPractices[CP],"8",Practices_SubPractices[Org],"Large"),IF(AND(Practices_SubPractices[CP]=9,Practices_SubPractices[Org] ="Large"),SUMIFS(Practices_SubPractices[B],Practices_SubPractices[CP],"9",Practices_SubPractices[Org],"Large"),IF(AND(Practices_SubPractices[CP]=10,Practices_SubPractices[Org] ="Large"),SUMIFS(Practices_SubPractices[B],Practices_SubPractices[CP],"10",Practices_SubPractices[Org],"Large"),"TBD"))))))))))))))))))))))))))))))</f>
        <v>6</v>
      </c>
      <c r="P99" s="77">
        <f>IF(AND(Practices_SubPractices[CP]=1,Practices_SubPractices[Org]="Small"),SUMIFS(Practices_SubPractices[C],Practices_SubPractices[CP],"1",Practices_SubPractices[Org],"Small"),IF(AND(Practices_SubPractices[CP]=2,Practices_SubPractices[Org]="Small"),SUMIFS(Practices_SubPractices[C],Practices_SubPractices[CP],"2",Practices_SubPractices[Org],"Small"),IF(AND(Practices_SubPractices[CP]=3,Practices_SubPractices[Org]="Small"),SUMIFS(Practices_SubPractices[C],Practices_SubPractices[CP],"3",Practices_SubPractices[Org],"Small"),IF(AND(Practices_SubPractices[CP]=4,Practices_SubPractices[Org]="Small"),SUMIFS(Practices_SubPractices[C],Practices_SubPractices[CP],"4",Practices_SubPractices[Org],"Small"),IF(AND(Practices_SubPractices[CP]=5,Practices_SubPractices[Org]="Small"),SUMIFS(Practices_SubPractices[C],Practices_SubPractices[CP],"5",Practices_SubPractices[Org],"Small"),IF(AND(Practices_SubPractices[CP]=6,Practices_SubPractices[Org]="Small"),SUMIFS(Practices_SubPractices[C],Practices_SubPractices[CP],"6",Practices_SubPractices[Org],"Small"),IF(AND(Practices_SubPractices[CP]=7,Practices_SubPractices[Org] ="Small"),SUMIFS(Practices_SubPractices[C],Practices_SubPractices[CP],"7",Practices_SubPractices[Org],"Small"),IF(AND(Practices_SubPractices[CP]=8,Practices_SubPractices[Org] ="Small"),SUMIFS(Practices_SubPractices[C],Practices_SubPractices[CP],"8",Practices_SubPractices[Org],"Small"),IF(AND(Practices_SubPractices[CP]=9,Practices_SubPractices[Org] ="Small"),SUMIFS(Practices_SubPractices[C],Practices_SubPractices[CP],"9",Practices_SubPractices[Org],"Small"),IF(AND(Practices_SubPractices[CP]=10,Practices_SubPractices[Org] ="Small"),SUMIFS(Practices_SubPractices[C],Practices_SubPractices[CP],"10",Practices_SubPractices[Org],"Small"),IF(AND(Practices_SubPractices[CP]=1,Practices_SubPractices[Org]="Medium"),SUMIFS(Practices_SubPractices[C],Practices_SubPractices[CP],"1",Practices_SubPractices[Org],"Medium"),IF(AND(Practices_SubPractices[CP]=2,Practices_SubPractices[Org]="Medium"),SUMIFS(Practices_SubPractices[C],Practices_SubPractices[CP],"2",Practices_SubPractices[Org],"Medium"),IF(AND(Practices_SubPractices[CP]=3,Practices_SubPractices[Org]="Medium"),SUMIFS(Practices_SubPractices[C],Practices_SubPractices[CP],"3",Practices_SubPractices[Org],"Medium"),IF(AND(Practices_SubPractices[CP]=4,Practices_SubPractices[Org]="Medium"),SUMIFS(Practices_SubPractices[C],Practices_SubPractices[CP],"4",Practices_SubPractices[Org],"Medium"),IF(AND(Practices_SubPractices[CP]=5,Practices_SubPractices[Org]="Medium"),SUMIFS(Practices_SubPractices[C],Practices_SubPractices[CP],"5",Practices_SubPractices[Org],"Medium"),IF(AND(Practices_SubPractices[CP]=6,Practices_SubPractices[Org]="Medium"),SUMIFS(Practices_SubPractices[C],Practices_SubPractices[CP],"6",Practices_SubPractices[Org],"Medium"),IF(AND(Practices_SubPractices[CP]=7,Practices_SubPractices[Org] ="Medium"),SUMIFS(Practices_SubPractices[C],Practices_SubPractices[CP],"7",Practices_SubPractices[Org],"Medium"),IF(AND(Practices_SubPractices[CP]=8,Practices_SubPractices[Org] ="Medium"),SUMIFS(Practices_SubPractices[C],Practices_SubPractices[CP],"8",Practices_SubPractices[Org],"Medium"),IF(AND(Practices_SubPractices[CP]=9,Practices_SubPractices[Org] ="Medium"),SUMIFS(Practices_SubPractices[C],Practices_SubPractices[CP],"9",Practices_SubPractices[Org],"Medium"),IF(AND(Practices_SubPractices[CP]=10,Practices_SubPractices[Org] ="Medium"),SUMIFS(Practices_SubPractices[C],Practices_SubPractices[CP],"10",Practices_SubPractices[Org],"Medium"),IF(AND(Practices_SubPractices[CP]=1,Practices_SubPractices[Org]="Large"),SUMIFS(Practices_SubPractices[C],Practices_SubPractices[CP],"1",Practices_SubPractices[Org],"Large"),IF(AND(Practices_SubPractices[CP]=2,Practices_SubPractices[Org]="Large"),SUMIFS(Practices_SubPractices[C],Practices_SubPractices[CP],"2",Practices_SubPractices[Org],"Large"),IF(AND(Practices_SubPractices[CP]=3,Practices_SubPractices[Org]="Large"),SUMIFS(Practices_SubPractices[C],Practices_SubPractices[CP],"3",Practices_SubPractices[Org],"Large"),IF(AND(Practices_SubPractices[CP]=4,Practices_SubPractices[Org]="Large"),SUMIFS(Practices_SubPractices[C],Practices_SubPractices[CP],"4",Practices_SubPractices[Org],"Large"),IF(AND(Practices_SubPractices[CP]=5,Practices_SubPractices[Org]="Large"),SUMIFS(Practices_SubPractices[C],Practices_SubPractices[CP],"5",Practices_SubPractices[Org],"Large"),IF(AND(Practices_SubPractices[CP]=6,Practices_SubPractices[Org]="Large"),SUMIFS(Practices_SubPractices[C],Practices_SubPractices[CP],"6",Practices_SubPractices[Org],"Large"),IF(AND(Practices_SubPractices[CP]=7,Practices_SubPractices[Org] ="Large"),SUMIFS(Practices_SubPractices[C],Practices_SubPractices[CP],"7",Practices_SubPractices[Org],"Large"),IF(AND(Practices_SubPractices[CP]=8,Practices_SubPractices[Org] ="Large"),SUMIFS(Practices_SubPractices[C],Practices_SubPractices[CP],"8",Practices_SubPractices[Org],"Large"),IF(AND(Practices_SubPractices[CP]=9,Practices_SubPractices[Org] ="Large"),SUMIFS(Practices_SubPractices[C],Practices_SubPractices[CP],"9",Practices_SubPractices[Org],"Large"),IF(AND(Practices_SubPractices[CP]=10,Practices_SubPractices[Org] ="Large"),SUMIFS(Practices_SubPractices[C],Practices_SubPractices[CP],"10",Practices_SubPractices[Org],"Large"),"TBD"))))))))))))))))))))))))))))))</f>
        <v>0</v>
      </c>
      <c r="Q99" s="77">
        <f>IF(AND(Practices_SubPractices[CP]=1,Practices_SubPractices[Org]="Small"),SUMIFS(Practices_SubPractices[D],Practices_SubPractices[CP],"1",Practices_SubPractices[Org],"Small"),IF(AND(Practices_SubPractices[CP]=2,Practices_SubPractices[Org]="Small"),SUMIFS(Practices_SubPractices[D],Practices_SubPractices[CP],"2",Practices_SubPractices[Org],"Small"),IF(AND(Practices_SubPractices[CP]=3,Practices_SubPractices[Org]="Small"),SUMIFS(Practices_SubPractices[D],Practices_SubPractices[CP],"3",Practices_SubPractices[Org],"Small"),IF(AND(Practices_SubPractices[CP]=4,Practices_SubPractices[Org]="Small"),SUMIFS(Practices_SubPractices[D],Practices_SubPractices[CP],"4",Practices_SubPractices[Org],"Small"),IF(AND(Practices_SubPractices[CP]=5,Practices_SubPractices[Org]="Small"),SUMIFS(Practices_SubPractices[D],Practices_SubPractices[CP],"5",Practices_SubPractices[Org],"Small"),IF(AND(Practices_SubPractices[CP]=6,Practices_SubPractices[Org]="Small"),SUMIFS(Practices_SubPractices[D],Practices_SubPractices[CP],"6",Practices_SubPractices[Org],"Small"),IF(AND(Practices_SubPractices[CP]=7,Practices_SubPractices[Org] ="Small"),SUMIFS(Practices_SubPractices[D],Practices_SubPractices[CP],"7",Practices_SubPractices[Org],"Small"),IF(AND(Practices_SubPractices[CP]=8,Practices_SubPractices[Org] ="Small"),SUMIFS(Practices_SubPractices[D],Practices_SubPractices[CP],"8",Practices_SubPractices[Org],"Small"),IF(AND(Practices_SubPractices[CP]=9,Practices_SubPractices[Org] ="Small"),SUMIFS(Practices_SubPractices[D],Practices_SubPractices[CP],"9",Practices_SubPractices[Org],"Small"),IF(AND(Practices_SubPractices[CP]=10,Practices_SubPractices[Org] ="Small"),SUMIFS(Practices_SubPractices[D],Practices_SubPractices[CP],"10",Practices_SubPractices[Org],"Small"),IF(AND(Practices_SubPractices[CP]=1,Practices_SubPractices[Org]="Medium"),SUMIFS(Practices_SubPractices[D],Practices_SubPractices[CP],"1",Practices_SubPractices[Org],"Medium"),IF(AND(Practices_SubPractices[CP]=2,Practices_SubPractices[Org]="Medium"),SUMIFS(Practices_SubPractices[D],Practices_SubPractices[CP],"2",Practices_SubPractices[Org],"Medium"),IF(AND(Practices_SubPractices[CP]=3,Practices_SubPractices[Org]="Medium"),SUMIFS(Practices_SubPractices[D],Practices_SubPractices[CP],"3",Practices_SubPractices[Org],"Medium"),IF(AND(Practices_SubPractices[CP]=4,Practices_SubPractices[Org]="Medium"),SUMIFS(Practices_SubPractices[D],Practices_SubPractices[CP],"4",Practices_SubPractices[Org],"Medium"),IF(AND(Practices_SubPractices[CP]=5,Practices_SubPractices[Org]="Medium"),SUMIFS(Practices_SubPractices[D],Practices_SubPractices[CP],"5",Practices_SubPractices[Org],"Medium"),IF(AND(Practices_SubPractices[CP]=6,Practices_SubPractices[Org]="Medium"),SUMIFS(Practices_SubPractices[D],Practices_SubPractices[CP],"6",Practices_SubPractices[Org],"Medium"),IF(AND(Practices_SubPractices[CP]=7,Practices_SubPractices[Org] ="Medium"),SUMIFS(Practices_SubPractices[D],Practices_SubPractices[CP],"7",Practices_SubPractices[Org],"Medium"),IF(AND(Practices_SubPractices[CP]=8,Practices_SubPractices[Org] ="Medium"),SUMIFS(Practices_SubPractices[D],Practices_SubPractices[CP],"8",Practices_SubPractices[Org],"Medium"),IF(AND(Practices_SubPractices[CP]=9,Practices_SubPractices[Org] ="Medium"),SUMIFS(Practices_SubPractices[D],Practices_SubPractices[CP],"9",Practices_SubPractices[Org],"Medium"),IF(AND(Practices_SubPractices[CP]=10,Practices_SubPractices[Org] ="Medium"),SUMIFS(Practices_SubPractices[D],Practices_SubPractices[CP],"10",Practices_SubPractices[Org],"Medium"),IF(AND(Practices_SubPractices[CP]=1,Practices_SubPractices[Org]="Large"),SUMIFS(Practices_SubPractices[D],Practices_SubPractices[CP],"1",Practices_SubPractices[Org],"Large"),IF(AND(Practices_SubPractices[CP]=2,Practices_SubPractices[Org]="Large"),SUMIFS(Practices_SubPractices[D],Practices_SubPractices[CP],"2",Practices_SubPractices[Org],"Large"),IF(AND(Practices_SubPractices[CP]=3,Practices_SubPractices[Org]="Large"),SUMIFS(Practices_SubPractices[D],Practices_SubPractices[CP],"3",Practices_SubPractices[Org],"Large"),IF(AND(Practices_SubPractices[CP]=4,Practices_SubPractices[Org]="Large"),SUMIFS(Practices_SubPractices[D],Practices_SubPractices[CP],"4",Practices_SubPractices[Org],"Large"),IF(AND(Practices_SubPractices[CP]=5,Practices_SubPractices[Org]="Large"),SUMIFS(Practices_SubPractices[D],Practices_SubPractices[CP],"5",Practices_SubPractices[Org],"Large"),IF(AND(Practices_SubPractices[CP]=6,Practices_SubPractices[Org]="Large"),SUMIFS(Practices_SubPractices[D],Practices_SubPractices[CP],"6",Practices_SubPractices[Org],"Large"),IF(AND(Practices_SubPractices[CP]=7,Practices_SubPractices[Org] ="Large"),SUMIFS(Practices_SubPractices[D],Practices_SubPractices[CP],"7",Practices_SubPractices[Org],"Large"),IF(AND(Practices_SubPractices[CP]=8,Practices_SubPractices[Org] ="Large"),SUMIFS(Practices_SubPractices[D],Practices_SubPractices[CP],"8",Practices_SubPractices[Org],"Large"),IF(AND(Practices_SubPractices[CP]=9,Practices_SubPractices[Org] ="Large"),SUMIFS(Practices_SubPractices[D],Practices_SubPractices[CP],"9",Practices_SubPractices[Org],"Large"),IF(AND(Practices_SubPractices[CP]=10,Practices_SubPractices[Org] ="Large"),SUMIFS(Practices_SubPractices[D],Practices_SubPractices[CP],"10",Practices_SubPractices[Org],"Large"),"TBD"))))))))))))))))))))))))))))))</f>
        <v>6</v>
      </c>
      <c r="R99" s="77">
        <f>IF(AND(Practices_SubPractices[CP]=1,Practices_SubPractices[Org]="Small"),SUMIFS(Practices_SubPractices[E],Practices_SubPractices[CP],"1",Practices_SubPractices[Org],"Small"),IF(AND(Practices_SubPractices[CP]=2,Practices_SubPractices[Org]="Small"),SUMIFS(Practices_SubPractices[E],Practices_SubPractices[CP],"2",Practices_SubPractices[Org],"Small"),IF(AND(Practices_SubPractices[CP]=3,Practices_SubPractices[Org]="Small"),SUMIFS(Practices_SubPractices[E],Practices_SubPractices[CP],"3",Practices_SubPractices[Org],"Small"),IF(AND(Practices_SubPractices[CP]=4,Practices_SubPractices[Org]="Small"),SUMIFS(Practices_SubPractices[E],Practices_SubPractices[CP],"4",Practices_SubPractices[Org],"Small"),IF(AND(Practices_SubPractices[CP]=5,Practices_SubPractices[Org]="Small"),SUMIFS(Practices_SubPractices[E],Practices_SubPractices[CP],"5",Practices_SubPractices[Org],"Small"),IF(AND(Practices_SubPractices[CP]=6,Practices_SubPractices[Org]="Small"),SUMIFS(Practices_SubPractices[E],Practices_SubPractices[CP],"6",Practices_SubPractices[Org],"Small"),IF(AND(Practices_SubPractices[CP]=7,Practices_SubPractices[Org] ="Small"),SUMIFS(Practices_SubPractices[E],Practices_SubPractices[CP],"7",Practices_SubPractices[Org],"Small"),IF(AND(Practices_SubPractices[CP]=8,Practices_SubPractices[Org] ="Small"),SUMIFS(Practices_SubPractices[E],Practices_SubPractices[CP],"8",Practices_SubPractices[Org],"Small"),IF(AND(Practices_SubPractices[CP]=9,Practices_SubPractices[Org] ="Small"),SUMIFS(Practices_SubPractices[E],Practices_SubPractices[CP],"9",Practices_SubPractices[Org],"Small"),IF(AND(Practices_SubPractices[CP]=10,Practices_SubPractices[Org] ="Small"),SUMIFS(Practices_SubPractices[E],Practices_SubPractices[CP],"10",Practices_SubPractices[Org],"Small"),IF(AND(Practices_SubPractices[CP]=1,Practices_SubPractices[Org]="Medium"),SUMIFS(Practices_SubPractices[E],Practices_SubPractices[CP],"1",Practices_SubPractices[Org],"Medium"),IF(AND(Practices_SubPractices[CP]=2,Practices_SubPractices[Org]="Medium"),SUMIFS(Practices_SubPractices[E],Practices_SubPractices[CP],"2",Practices_SubPractices[Org],"Medium"),IF(AND(Practices_SubPractices[CP]=3,Practices_SubPractices[Org]="Medium"),SUMIFS(Practices_SubPractices[E],Practices_SubPractices[CP],"3",Practices_SubPractices[Org],"Medium"),IF(AND(Practices_SubPractices[CP]=4,Practices_SubPractices[Org]="Medium"),SUMIFS(Practices_SubPractices[E],Practices_SubPractices[CP],"4",Practices_SubPractices[Org],"Medium"),IF(AND(Practices_SubPractices[CP]=5,Practices_SubPractices[Org]="Medium"),SUMIFS(Practices_SubPractices[E],Practices_SubPractices[CP],"5",Practices_SubPractices[Org],"Medium"),IF(AND(Practices_SubPractices[CP]=6,Practices_SubPractices[Org]="Medium"),SUMIFS(Practices_SubPractices[E],Practices_SubPractices[CP],"6",Practices_SubPractices[Org],"Medium"),IF(AND(Practices_SubPractices[CP]=7,Practices_SubPractices[Org] ="Medium"),SUMIFS(Practices_SubPractices[E],Practices_SubPractices[CP],"7",Practices_SubPractices[Org],"Medium"),IF(AND(Practices_SubPractices[CP]=8,Practices_SubPractices[Org] ="Medium"),SUMIFS(Practices_SubPractices[E],Practices_SubPractices[CP],"8",Practices_SubPractices[Org],"Medium"),IF(AND(Practices_SubPractices[CP]=9,Practices_SubPractices[Org] ="Medium"),SUMIFS(Practices_SubPractices[E],Practices_SubPractices[CP],"9",Practices_SubPractices[Org],"Medium"),IF(AND(Practices_SubPractices[CP]=10,Practices_SubPractices[Org] ="Medium"),SUMIFS(Practices_SubPractices[E],Practices_SubPractices[CP],"10",Practices_SubPractices[Org],"Medium"),IF(AND(Practices_SubPractices[CP]=1,Practices_SubPractices[Org]="Large"),SUMIFS(Practices_SubPractices[E],Practices_SubPractices[CP],"1",Practices_SubPractices[Org],"Large"),IF(AND(Practices_SubPractices[CP]=2,Practices_SubPractices[Org]="Large"),SUMIFS(Practices_SubPractices[E],Practices_SubPractices[CP],"2",Practices_SubPractices[Org],"Large"),IF(AND(Practices_SubPractices[CP]=3,Practices_SubPractices[Org]="Large"),SUMIFS(Practices_SubPractices[E],Practices_SubPractices[CP],"3",Practices_SubPractices[Org],"Large"),IF(AND(Practices_SubPractices[CP]=4,Practices_SubPractices[Org]="Large"),SUMIFS(Practices_SubPractices[E],Practices_SubPractices[CP],"4",Practices_SubPractices[Org],"Large"),IF(AND(Practices_SubPractices[CP]=5,Practices_SubPractices[Org]="Large"),SUMIFS(Practices_SubPractices[E],Practices_SubPractices[CP],"5",Practices_SubPractices[Org],"Large"),IF(AND(Practices_SubPractices[CP]=6,Practices_SubPractices[Org]="Large"),SUMIFS(Practices_SubPractices[E],Practices_SubPractices[CP],"6",Practices_SubPractices[Org],"Large"),IF(AND(Practices_SubPractices[CP]=7,Practices_SubPractices[Org] ="Large"),SUMIFS(Practices_SubPractices[E],Practices_SubPractices[CP],"7",Practices_SubPractices[Org],"Large"),IF(AND(Practices_SubPractices[CP]=8,Practices_SubPractices[Org] ="Large"),SUMIFS(Practices_SubPractices[E],Practices_SubPractices[CP],"8",Practices_SubPractices[Org],"Large"),IF(AND(Practices_SubPractices[CP]=9,Practices_SubPractices[Org] ="Large"),SUMIFS(Practices_SubPractices[E],Practices_SubPractices[CP],"9",Practices_SubPractices[Org],"Large"),IF(AND(Practices_SubPractices[CP]=10,Practices_SubPractices[Org] ="Large"),SUMIFS(Practices_SubPractices[E],Practices_SubPractices[CP],"10",Practices_SubPractices[Org],"Large"),"TBD"))))))))))))))))))))))))))))))</f>
        <v>18</v>
      </c>
      <c r="S99" s="87" t="s">
        <v>420</v>
      </c>
    </row>
    <row r="100" spans="1:19" x14ac:dyDescent="0.35">
      <c r="A100" s="73">
        <v>90</v>
      </c>
      <c r="B100" s="73">
        <v>10</v>
      </c>
      <c r="C100" s="80" t="s">
        <v>11</v>
      </c>
      <c r="D100" s="73" t="str">
        <f>Practices_SubPractices[[#This Row],[CP]]&amp;LEFT(Practices_SubPractices[[#This Row],[Org]],1)</f>
        <v>10M</v>
      </c>
      <c r="E100" s="73" t="s">
        <v>265</v>
      </c>
      <c r="F100" s="74" t="s">
        <v>176</v>
      </c>
      <c r="G100" s="74" t="s">
        <v>28</v>
      </c>
      <c r="H100" s="74" t="s">
        <v>191</v>
      </c>
      <c r="I100" s="75">
        <v>1</v>
      </c>
      <c r="J100" s="75">
        <v>1</v>
      </c>
      <c r="K100" s="75">
        <v>1</v>
      </c>
      <c r="L100" s="75">
        <v>1</v>
      </c>
      <c r="M100" s="75">
        <v>1</v>
      </c>
      <c r="N100" s="76"/>
      <c r="O100" s="77">
        <f>IF(AND(Practices_SubPractices[CP]=1,Practices_SubPractices[Org]="Small"),SUMIFS(Practices_SubPractices[B],Practices_SubPractices[CP],"1",Practices_SubPractices[Org],"Small"),IF(AND(Practices_SubPractices[CP]=2,Practices_SubPractices[Org]="Small"),SUMIFS(Practices_SubPractices[B],Practices_SubPractices[CP],"2",Practices_SubPractices[Org],"Small"),IF(AND(Practices_SubPractices[CP]=3,Practices_SubPractices[Org]="Small"),SUMIFS(Practices_SubPractices[B],Practices_SubPractices[CP],"3",Practices_SubPractices[Org],"Small"),IF(AND(Practices_SubPractices[CP]=4,Practices_SubPractices[Org]="Small"),SUMIFS(Practices_SubPractices[B],Practices_SubPractices[CP],"4",Practices_SubPractices[Org],"Small"),IF(AND(Practices_SubPractices[CP]=5,Practices_SubPractices[Org]="Small"),SUMIFS(Practices_SubPractices[B],Practices_SubPractices[CP],"5",Practices_SubPractices[Org],"Small"),IF(AND(Practices_SubPractices[CP]=6,Practices_SubPractices[Org]="Small"),SUMIFS(Practices_SubPractices[B],Practices_SubPractices[CP],"6",Practices_SubPractices[Org],"Small"),IF(AND(Practices_SubPractices[CP]=7,Practices_SubPractices[Org] ="Small"),SUMIFS(Practices_SubPractices[B],Practices_SubPractices[CP],"7",Practices_SubPractices[Org],"Small"),IF(AND(Practices_SubPractices[CP]=8,Practices_SubPractices[Org] ="Small"),SUMIFS(Practices_SubPractices[B],Practices_SubPractices[CP],"8",Practices_SubPractices[Org],"Small"),IF(AND(Practices_SubPractices[CP]=9,Practices_SubPractices[Org] ="Small"),SUMIFS(Practices_SubPractices[B],Practices_SubPractices[CP],"9",Practices_SubPractices[Org],"Small"),IF(AND(Practices_SubPractices[CP]=10,Practices_SubPractices[Org] ="Small"),SUMIFS(Practices_SubPractices[B],Practices_SubPractices[CP],"10",Practices_SubPractices[Org],"Small"),IF(AND(Practices_SubPractices[CP]=1,Practices_SubPractices[Org]="Medium"),SUMIFS(Practices_SubPractices[B],Practices_SubPractices[CP],"1",Practices_SubPractices[Org],"Medium"),IF(AND(Practices_SubPractices[CP]=2,Practices_SubPractices[Org]="Medium"),SUMIFS(Practices_SubPractices[B],Practices_SubPractices[CP],"2",Practices_SubPractices[Org],"Medium"),IF(AND(Practices_SubPractices[CP]=3,Practices_SubPractices[Org]="Medium"),SUMIFS(Practices_SubPractices[B],Practices_SubPractices[CP],"3",Practices_SubPractices[Org],"Medium"),IF(AND(Practices_SubPractices[CP]=4,Practices_SubPractices[Org]="Medium"),SUMIFS(Practices_SubPractices[B],Practices_SubPractices[CP],"4",Practices_SubPractices[Org],"Medium"),IF(AND(Practices_SubPractices[CP]=5,Practices_SubPractices[Org]="Medium"),SUMIFS(Practices_SubPractices[B],Practices_SubPractices[CP],"5",Practices_SubPractices[Org],"Medium"),IF(AND(Practices_SubPractices[CP]=6,Practices_SubPractices[Org]="Medium"),SUMIFS(Practices_SubPractices[B],Practices_SubPractices[CP],"6",Practices_SubPractices[Org],"Medium"),IF(AND(Practices_SubPractices[CP]=7,Practices_SubPractices[Org] ="Medium"),SUMIFS(Practices_SubPractices[B],Practices_SubPractices[CP],"7",Practices_SubPractices[Org],"Medium"),IF(AND(Practices_SubPractices[CP]=8,Practices_SubPractices[Org] ="Medium"),SUMIFS(Practices_SubPractices[B],Practices_SubPractices[CP],"8",Practices_SubPractices[Org],"Medium"),IF(AND(Practices_SubPractices[CP]=9,Practices_SubPractices[Org] ="Medium"),SUMIFS(Practices_SubPractices[B],Practices_SubPractices[CP],"9",Practices_SubPractices[Org],"Medium"),IF(AND(Practices_SubPractices[CP]=10,Practices_SubPractices[Org] ="Medium"),SUMIFS(Practices_SubPractices[B],Practices_SubPractices[CP],"10",Practices_SubPractices[Org],"Medium"),IF(AND(Practices_SubPractices[CP]=1,Practices_SubPractices[Org]="Large"),SUMIFS(Practices_SubPractices[B],Practices_SubPractices[CP],"1",Practices_SubPractices[Org],"Large"),IF(AND(Practices_SubPractices[CP]=2,Practices_SubPractices[Org]="Large"),SUMIFS(Practices_SubPractices[B],Practices_SubPractices[CP],"2",Practices_SubPractices[Org],"Large"),IF(AND(Practices_SubPractices[CP]=3,Practices_SubPractices[Org]="Large"),SUMIFS(Practices_SubPractices[B],Practices_SubPractices[CP],"3",Practices_SubPractices[Org],"Large"),IF(AND(Practices_SubPractices[CP]=4,Practices_SubPractices[Org]="Large"),SUMIFS(Practices_SubPractices[B],Practices_SubPractices[CP],"4",Practices_SubPractices[Org],"Large"),IF(AND(Practices_SubPractices[CP]=5,Practices_SubPractices[Org]="Large"),SUMIFS(Practices_SubPractices[B],Practices_SubPractices[CP],"5",Practices_SubPractices[Org],"Large"),IF(AND(Practices_SubPractices[CP]=6,Practices_SubPractices[Org]="Large"),SUMIFS(Practices_SubPractices[B],Practices_SubPractices[CP],"6",Practices_SubPractices[Org],"Large"),IF(AND(Practices_SubPractices[CP]=7,Practices_SubPractices[Org] ="Large"),SUMIFS(Practices_SubPractices[B],Practices_SubPractices[CP],"7",Practices_SubPractices[Org],"Large"),IF(AND(Practices_SubPractices[CP]=8,Practices_SubPractices[Org] ="Large"),SUMIFS(Practices_SubPractices[B],Practices_SubPractices[CP],"8",Practices_SubPractices[Org],"Large"),IF(AND(Practices_SubPractices[CP]=9,Practices_SubPractices[Org] ="Large"),SUMIFS(Practices_SubPractices[B],Practices_SubPractices[CP],"9",Practices_SubPractices[Org],"Large"),IF(AND(Practices_SubPractices[CP]=10,Practices_SubPractices[Org] ="Large"),SUMIFS(Practices_SubPractices[B],Practices_SubPractices[CP],"10",Practices_SubPractices[Org],"Large"),"TBD"))))))))))))))))))))))))))))))</f>
        <v>1</v>
      </c>
      <c r="P100" s="77">
        <f>IF(AND(Practices_SubPractices[CP]=1,Practices_SubPractices[Org]="Small"),SUMIFS(Practices_SubPractices[C],Practices_SubPractices[CP],"1",Practices_SubPractices[Org],"Small"),IF(AND(Practices_SubPractices[CP]=2,Practices_SubPractices[Org]="Small"),SUMIFS(Practices_SubPractices[C],Practices_SubPractices[CP],"2",Practices_SubPractices[Org],"Small"),IF(AND(Practices_SubPractices[CP]=3,Practices_SubPractices[Org]="Small"),SUMIFS(Practices_SubPractices[C],Practices_SubPractices[CP],"3",Practices_SubPractices[Org],"Small"),IF(AND(Practices_SubPractices[CP]=4,Practices_SubPractices[Org]="Small"),SUMIFS(Practices_SubPractices[C],Practices_SubPractices[CP],"4",Practices_SubPractices[Org],"Small"),IF(AND(Practices_SubPractices[CP]=5,Practices_SubPractices[Org]="Small"),SUMIFS(Practices_SubPractices[C],Practices_SubPractices[CP],"5",Practices_SubPractices[Org],"Small"),IF(AND(Practices_SubPractices[CP]=6,Practices_SubPractices[Org]="Small"),SUMIFS(Practices_SubPractices[C],Practices_SubPractices[CP],"6",Practices_SubPractices[Org],"Small"),IF(AND(Practices_SubPractices[CP]=7,Practices_SubPractices[Org] ="Small"),SUMIFS(Practices_SubPractices[C],Practices_SubPractices[CP],"7",Practices_SubPractices[Org],"Small"),IF(AND(Practices_SubPractices[CP]=8,Practices_SubPractices[Org] ="Small"),SUMIFS(Practices_SubPractices[C],Practices_SubPractices[CP],"8",Practices_SubPractices[Org],"Small"),IF(AND(Practices_SubPractices[CP]=9,Practices_SubPractices[Org] ="Small"),SUMIFS(Practices_SubPractices[C],Practices_SubPractices[CP],"9",Practices_SubPractices[Org],"Small"),IF(AND(Practices_SubPractices[CP]=10,Practices_SubPractices[Org] ="Small"),SUMIFS(Practices_SubPractices[C],Practices_SubPractices[CP],"10",Practices_SubPractices[Org],"Small"),IF(AND(Practices_SubPractices[CP]=1,Practices_SubPractices[Org]="Medium"),SUMIFS(Practices_SubPractices[C],Practices_SubPractices[CP],"1",Practices_SubPractices[Org],"Medium"),IF(AND(Practices_SubPractices[CP]=2,Practices_SubPractices[Org]="Medium"),SUMIFS(Practices_SubPractices[C],Practices_SubPractices[CP],"2",Practices_SubPractices[Org],"Medium"),IF(AND(Practices_SubPractices[CP]=3,Practices_SubPractices[Org]="Medium"),SUMIFS(Practices_SubPractices[C],Practices_SubPractices[CP],"3",Practices_SubPractices[Org],"Medium"),IF(AND(Practices_SubPractices[CP]=4,Practices_SubPractices[Org]="Medium"),SUMIFS(Practices_SubPractices[C],Practices_SubPractices[CP],"4",Practices_SubPractices[Org],"Medium"),IF(AND(Practices_SubPractices[CP]=5,Practices_SubPractices[Org]="Medium"),SUMIFS(Practices_SubPractices[C],Practices_SubPractices[CP],"5",Practices_SubPractices[Org],"Medium"),IF(AND(Practices_SubPractices[CP]=6,Practices_SubPractices[Org]="Medium"),SUMIFS(Practices_SubPractices[C],Practices_SubPractices[CP],"6",Practices_SubPractices[Org],"Medium"),IF(AND(Practices_SubPractices[CP]=7,Practices_SubPractices[Org] ="Medium"),SUMIFS(Practices_SubPractices[C],Practices_SubPractices[CP],"7",Practices_SubPractices[Org],"Medium"),IF(AND(Practices_SubPractices[CP]=8,Practices_SubPractices[Org] ="Medium"),SUMIFS(Practices_SubPractices[C],Practices_SubPractices[CP],"8",Practices_SubPractices[Org],"Medium"),IF(AND(Practices_SubPractices[CP]=9,Practices_SubPractices[Org] ="Medium"),SUMIFS(Practices_SubPractices[C],Practices_SubPractices[CP],"9",Practices_SubPractices[Org],"Medium"),IF(AND(Practices_SubPractices[CP]=10,Practices_SubPractices[Org] ="Medium"),SUMIFS(Practices_SubPractices[C],Practices_SubPractices[CP],"10",Practices_SubPractices[Org],"Medium"),IF(AND(Practices_SubPractices[CP]=1,Practices_SubPractices[Org]="Large"),SUMIFS(Practices_SubPractices[C],Practices_SubPractices[CP],"1",Practices_SubPractices[Org],"Large"),IF(AND(Practices_SubPractices[CP]=2,Practices_SubPractices[Org]="Large"),SUMIFS(Practices_SubPractices[C],Practices_SubPractices[CP],"2",Practices_SubPractices[Org],"Large"),IF(AND(Practices_SubPractices[CP]=3,Practices_SubPractices[Org]="Large"),SUMIFS(Practices_SubPractices[C],Practices_SubPractices[CP],"3",Practices_SubPractices[Org],"Large"),IF(AND(Practices_SubPractices[CP]=4,Practices_SubPractices[Org]="Large"),SUMIFS(Practices_SubPractices[C],Practices_SubPractices[CP],"4",Practices_SubPractices[Org],"Large"),IF(AND(Practices_SubPractices[CP]=5,Practices_SubPractices[Org]="Large"),SUMIFS(Practices_SubPractices[C],Practices_SubPractices[CP],"5",Practices_SubPractices[Org],"Large"),IF(AND(Practices_SubPractices[CP]=6,Practices_SubPractices[Org]="Large"),SUMIFS(Practices_SubPractices[C],Practices_SubPractices[CP],"6",Practices_SubPractices[Org],"Large"),IF(AND(Practices_SubPractices[CP]=7,Practices_SubPractices[Org] ="Large"),SUMIFS(Practices_SubPractices[C],Practices_SubPractices[CP],"7",Practices_SubPractices[Org],"Large"),IF(AND(Practices_SubPractices[CP]=8,Practices_SubPractices[Org] ="Large"),SUMIFS(Practices_SubPractices[C],Practices_SubPractices[CP],"8",Practices_SubPractices[Org],"Large"),IF(AND(Practices_SubPractices[CP]=9,Practices_SubPractices[Org] ="Large"),SUMIFS(Practices_SubPractices[C],Practices_SubPractices[CP],"9",Practices_SubPractices[Org],"Large"),IF(AND(Practices_SubPractices[CP]=10,Practices_SubPractices[Org] ="Large"),SUMIFS(Practices_SubPractices[C],Practices_SubPractices[CP],"10",Practices_SubPractices[Org],"Large"),"TBD"))))))))))))))))))))))))))))))</f>
        <v>1</v>
      </c>
      <c r="Q100" s="77">
        <f>IF(AND(Practices_SubPractices[CP]=1,Practices_SubPractices[Org]="Small"),SUMIFS(Practices_SubPractices[D],Practices_SubPractices[CP],"1",Practices_SubPractices[Org],"Small"),IF(AND(Practices_SubPractices[CP]=2,Practices_SubPractices[Org]="Small"),SUMIFS(Practices_SubPractices[D],Practices_SubPractices[CP],"2",Practices_SubPractices[Org],"Small"),IF(AND(Practices_SubPractices[CP]=3,Practices_SubPractices[Org]="Small"),SUMIFS(Practices_SubPractices[D],Practices_SubPractices[CP],"3",Practices_SubPractices[Org],"Small"),IF(AND(Practices_SubPractices[CP]=4,Practices_SubPractices[Org]="Small"),SUMIFS(Practices_SubPractices[D],Practices_SubPractices[CP],"4",Practices_SubPractices[Org],"Small"),IF(AND(Practices_SubPractices[CP]=5,Practices_SubPractices[Org]="Small"),SUMIFS(Practices_SubPractices[D],Practices_SubPractices[CP],"5",Practices_SubPractices[Org],"Small"),IF(AND(Practices_SubPractices[CP]=6,Practices_SubPractices[Org]="Small"),SUMIFS(Practices_SubPractices[D],Practices_SubPractices[CP],"6",Practices_SubPractices[Org],"Small"),IF(AND(Practices_SubPractices[CP]=7,Practices_SubPractices[Org] ="Small"),SUMIFS(Practices_SubPractices[D],Practices_SubPractices[CP],"7",Practices_SubPractices[Org],"Small"),IF(AND(Practices_SubPractices[CP]=8,Practices_SubPractices[Org] ="Small"),SUMIFS(Practices_SubPractices[D],Practices_SubPractices[CP],"8",Practices_SubPractices[Org],"Small"),IF(AND(Practices_SubPractices[CP]=9,Practices_SubPractices[Org] ="Small"),SUMIFS(Practices_SubPractices[D],Practices_SubPractices[CP],"9",Practices_SubPractices[Org],"Small"),IF(AND(Practices_SubPractices[CP]=10,Practices_SubPractices[Org] ="Small"),SUMIFS(Practices_SubPractices[D],Practices_SubPractices[CP],"10",Practices_SubPractices[Org],"Small"),IF(AND(Practices_SubPractices[CP]=1,Practices_SubPractices[Org]="Medium"),SUMIFS(Practices_SubPractices[D],Practices_SubPractices[CP],"1",Practices_SubPractices[Org],"Medium"),IF(AND(Practices_SubPractices[CP]=2,Practices_SubPractices[Org]="Medium"),SUMIFS(Practices_SubPractices[D],Practices_SubPractices[CP],"2",Practices_SubPractices[Org],"Medium"),IF(AND(Practices_SubPractices[CP]=3,Practices_SubPractices[Org]="Medium"),SUMIFS(Practices_SubPractices[D],Practices_SubPractices[CP],"3",Practices_SubPractices[Org],"Medium"),IF(AND(Practices_SubPractices[CP]=4,Practices_SubPractices[Org]="Medium"),SUMIFS(Practices_SubPractices[D],Practices_SubPractices[CP],"4",Practices_SubPractices[Org],"Medium"),IF(AND(Practices_SubPractices[CP]=5,Practices_SubPractices[Org]="Medium"),SUMIFS(Practices_SubPractices[D],Practices_SubPractices[CP],"5",Practices_SubPractices[Org],"Medium"),IF(AND(Practices_SubPractices[CP]=6,Practices_SubPractices[Org]="Medium"),SUMIFS(Practices_SubPractices[D],Practices_SubPractices[CP],"6",Practices_SubPractices[Org],"Medium"),IF(AND(Practices_SubPractices[CP]=7,Practices_SubPractices[Org] ="Medium"),SUMIFS(Practices_SubPractices[D],Practices_SubPractices[CP],"7",Practices_SubPractices[Org],"Medium"),IF(AND(Practices_SubPractices[CP]=8,Practices_SubPractices[Org] ="Medium"),SUMIFS(Practices_SubPractices[D],Practices_SubPractices[CP],"8",Practices_SubPractices[Org],"Medium"),IF(AND(Practices_SubPractices[CP]=9,Practices_SubPractices[Org] ="Medium"),SUMIFS(Practices_SubPractices[D],Practices_SubPractices[CP],"9",Practices_SubPractices[Org],"Medium"),IF(AND(Practices_SubPractices[CP]=10,Practices_SubPractices[Org] ="Medium"),SUMIFS(Practices_SubPractices[D],Practices_SubPractices[CP],"10",Practices_SubPractices[Org],"Medium"),IF(AND(Practices_SubPractices[CP]=1,Practices_SubPractices[Org]="Large"),SUMIFS(Practices_SubPractices[D],Practices_SubPractices[CP],"1",Practices_SubPractices[Org],"Large"),IF(AND(Practices_SubPractices[CP]=2,Practices_SubPractices[Org]="Large"),SUMIFS(Practices_SubPractices[D],Practices_SubPractices[CP],"2",Practices_SubPractices[Org],"Large"),IF(AND(Practices_SubPractices[CP]=3,Practices_SubPractices[Org]="Large"),SUMIFS(Practices_SubPractices[D],Practices_SubPractices[CP],"3",Practices_SubPractices[Org],"Large"),IF(AND(Practices_SubPractices[CP]=4,Practices_SubPractices[Org]="Large"),SUMIFS(Practices_SubPractices[D],Practices_SubPractices[CP],"4",Practices_SubPractices[Org],"Large"),IF(AND(Practices_SubPractices[CP]=5,Practices_SubPractices[Org]="Large"),SUMIFS(Practices_SubPractices[D],Practices_SubPractices[CP],"5",Practices_SubPractices[Org],"Large"),IF(AND(Practices_SubPractices[CP]=6,Practices_SubPractices[Org]="Large"),SUMIFS(Practices_SubPractices[D],Practices_SubPractices[CP],"6",Practices_SubPractices[Org],"Large"),IF(AND(Practices_SubPractices[CP]=7,Practices_SubPractices[Org] ="Large"),SUMIFS(Practices_SubPractices[D],Practices_SubPractices[CP],"7",Practices_SubPractices[Org],"Large"),IF(AND(Practices_SubPractices[CP]=8,Practices_SubPractices[Org] ="Large"),SUMIFS(Practices_SubPractices[D],Practices_SubPractices[CP],"8",Practices_SubPractices[Org],"Large"),IF(AND(Practices_SubPractices[CP]=9,Practices_SubPractices[Org] ="Large"),SUMIFS(Practices_SubPractices[D],Practices_SubPractices[CP],"9",Practices_SubPractices[Org],"Large"),IF(AND(Practices_SubPractices[CP]=10,Practices_SubPractices[Org] ="Large"),SUMIFS(Practices_SubPractices[D],Practices_SubPractices[CP],"10",Practices_SubPractices[Org],"Large"),"TBD"))))))))))))))))))))))))))))))</f>
        <v>1</v>
      </c>
      <c r="R100" s="77">
        <f>IF(AND(Practices_SubPractices[CP]=1,Practices_SubPractices[Org]="Small"),SUMIFS(Practices_SubPractices[E],Practices_SubPractices[CP],"1",Practices_SubPractices[Org],"Small"),IF(AND(Practices_SubPractices[CP]=2,Practices_SubPractices[Org]="Small"),SUMIFS(Practices_SubPractices[E],Practices_SubPractices[CP],"2",Practices_SubPractices[Org],"Small"),IF(AND(Practices_SubPractices[CP]=3,Practices_SubPractices[Org]="Small"),SUMIFS(Practices_SubPractices[E],Practices_SubPractices[CP],"3",Practices_SubPractices[Org],"Small"),IF(AND(Practices_SubPractices[CP]=4,Practices_SubPractices[Org]="Small"),SUMIFS(Practices_SubPractices[E],Practices_SubPractices[CP],"4",Practices_SubPractices[Org],"Small"),IF(AND(Practices_SubPractices[CP]=5,Practices_SubPractices[Org]="Small"),SUMIFS(Practices_SubPractices[E],Practices_SubPractices[CP],"5",Practices_SubPractices[Org],"Small"),IF(AND(Practices_SubPractices[CP]=6,Practices_SubPractices[Org]="Small"),SUMIFS(Practices_SubPractices[E],Practices_SubPractices[CP],"6",Practices_SubPractices[Org],"Small"),IF(AND(Practices_SubPractices[CP]=7,Practices_SubPractices[Org] ="Small"),SUMIFS(Practices_SubPractices[E],Practices_SubPractices[CP],"7",Practices_SubPractices[Org],"Small"),IF(AND(Practices_SubPractices[CP]=8,Practices_SubPractices[Org] ="Small"),SUMIFS(Practices_SubPractices[E],Practices_SubPractices[CP],"8",Practices_SubPractices[Org],"Small"),IF(AND(Practices_SubPractices[CP]=9,Practices_SubPractices[Org] ="Small"),SUMIFS(Practices_SubPractices[E],Practices_SubPractices[CP],"9",Practices_SubPractices[Org],"Small"),IF(AND(Practices_SubPractices[CP]=10,Practices_SubPractices[Org] ="Small"),SUMIFS(Practices_SubPractices[E],Practices_SubPractices[CP],"10",Practices_SubPractices[Org],"Small"),IF(AND(Practices_SubPractices[CP]=1,Practices_SubPractices[Org]="Medium"),SUMIFS(Practices_SubPractices[E],Practices_SubPractices[CP],"1",Practices_SubPractices[Org],"Medium"),IF(AND(Practices_SubPractices[CP]=2,Practices_SubPractices[Org]="Medium"),SUMIFS(Practices_SubPractices[E],Practices_SubPractices[CP],"2",Practices_SubPractices[Org],"Medium"),IF(AND(Practices_SubPractices[CP]=3,Practices_SubPractices[Org]="Medium"),SUMIFS(Practices_SubPractices[E],Practices_SubPractices[CP],"3",Practices_SubPractices[Org],"Medium"),IF(AND(Practices_SubPractices[CP]=4,Practices_SubPractices[Org]="Medium"),SUMIFS(Practices_SubPractices[E],Practices_SubPractices[CP],"4",Practices_SubPractices[Org],"Medium"),IF(AND(Practices_SubPractices[CP]=5,Practices_SubPractices[Org]="Medium"),SUMIFS(Practices_SubPractices[E],Practices_SubPractices[CP],"5",Practices_SubPractices[Org],"Medium"),IF(AND(Practices_SubPractices[CP]=6,Practices_SubPractices[Org]="Medium"),SUMIFS(Practices_SubPractices[E],Practices_SubPractices[CP],"6",Practices_SubPractices[Org],"Medium"),IF(AND(Practices_SubPractices[CP]=7,Practices_SubPractices[Org] ="Medium"),SUMIFS(Practices_SubPractices[E],Practices_SubPractices[CP],"7",Practices_SubPractices[Org],"Medium"),IF(AND(Practices_SubPractices[CP]=8,Practices_SubPractices[Org] ="Medium"),SUMIFS(Practices_SubPractices[E],Practices_SubPractices[CP],"8",Practices_SubPractices[Org],"Medium"),IF(AND(Practices_SubPractices[CP]=9,Practices_SubPractices[Org] ="Medium"),SUMIFS(Practices_SubPractices[E],Practices_SubPractices[CP],"9",Practices_SubPractices[Org],"Medium"),IF(AND(Practices_SubPractices[CP]=10,Practices_SubPractices[Org] ="Medium"),SUMIFS(Practices_SubPractices[E],Practices_SubPractices[CP],"10",Practices_SubPractices[Org],"Medium"),IF(AND(Practices_SubPractices[CP]=1,Practices_SubPractices[Org]="Large"),SUMIFS(Practices_SubPractices[E],Practices_SubPractices[CP],"1",Practices_SubPractices[Org],"Large"),IF(AND(Practices_SubPractices[CP]=2,Practices_SubPractices[Org]="Large"),SUMIFS(Practices_SubPractices[E],Practices_SubPractices[CP],"2",Practices_SubPractices[Org],"Large"),IF(AND(Practices_SubPractices[CP]=3,Practices_SubPractices[Org]="Large"),SUMIFS(Practices_SubPractices[E],Practices_SubPractices[CP],"3",Practices_SubPractices[Org],"Large"),IF(AND(Practices_SubPractices[CP]=4,Practices_SubPractices[Org]="Large"),SUMIFS(Practices_SubPractices[E],Practices_SubPractices[CP],"4",Practices_SubPractices[Org],"Large"),IF(AND(Practices_SubPractices[CP]=5,Practices_SubPractices[Org]="Large"),SUMIFS(Practices_SubPractices[E],Practices_SubPractices[CP],"5",Practices_SubPractices[Org],"Large"),IF(AND(Practices_SubPractices[CP]=6,Practices_SubPractices[Org]="Large"),SUMIFS(Practices_SubPractices[E],Practices_SubPractices[CP],"6",Practices_SubPractices[Org],"Large"),IF(AND(Practices_SubPractices[CP]=7,Practices_SubPractices[Org] ="Large"),SUMIFS(Practices_SubPractices[E],Practices_SubPractices[CP],"7",Practices_SubPractices[Org],"Large"),IF(AND(Practices_SubPractices[CP]=8,Practices_SubPractices[Org] ="Large"),SUMIFS(Practices_SubPractices[E],Practices_SubPractices[CP],"8",Practices_SubPractices[Org],"Large"),IF(AND(Practices_SubPractices[CP]=9,Practices_SubPractices[Org] ="Large"),SUMIFS(Practices_SubPractices[E],Practices_SubPractices[CP],"9",Practices_SubPractices[Org],"Large"),IF(AND(Practices_SubPractices[CP]=10,Practices_SubPractices[Org] ="Large"),SUMIFS(Practices_SubPractices[E],Practices_SubPractices[CP],"10",Practices_SubPractices[Org],"Large"),"TBD"))))))))))))))))))))))))))))))</f>
        <v>1</v>
      </c>
      <c r="S100" s="87" t="s">
        <v>413</v>
      </c>
    </row>
    <row r="101" spans="1:19" x14ac:dyDescent="0.35">
      <c r="A101" s="73">
        <v>91</v>
      </c>
      <c r="B101" s="73">
        <v>10</v>
      </c>
      <c r="C101" s="80" t="s">
        <v>12</v>
      </c>
      <c r="D101" s="73" t="str">
        <f>Practices_SubPractices[[#This Row],[CP]]&amp;LEFT(Practices_SubPractices[[#This Row],[Org]],1)</f>
        <v>10L</v>
      </c>
      <c r="E101" s="73" t="s">
        <v>265</v>
      </c>
      <c r="F101" s="74" t="s">
        <v>176</v>
      </c>
      <c r="G101" s="74" t="s">
        <v>28</v>
      </c>
      <c r="H101" s="74" t="s">
        <v>191</v>
      </c>
      <c r="I101" s="75">
        <v>1</v>
      </c>
      <c r="J101" s="75">
        <v>1</v>
      </c>
      <c r="K101" s="75">
        <v>1</v>
      </c>
      <c r="L101" s="75">
        <v>1</v>
      </c>
      <c r="M101" s="75">
        <v>1</v>
      </c>
      <c r="N101" s="76"/>
      <c r="O101" s="77">
        <f>IF(AND(Practices_SubPractices[CP]=1,Practices_SubPractices[Org]="Small"),SUMIFS(Practices_SubPractices[B],Practices_SubPractices[CP],"1",Practices_SubPractices[Org],"Small"),IF(AND(Practices_SubPractices[CP]=2,Practices_SubPractices[Org]="Small"),SUMIFS(Practices_SubPractices[B],Practices_SubPractices[CP],"2",Practices_SubPractices[Org],"Small"),IF(AND(Practices_SubPractices[CP]=3,Practices_SubPractices[Org]="Small"),SUMIFS(Practices_SubPractices[B],Practices_SubPractices[CP],"3",Practices_SubPractices[Org],"Small"),IF(AND(Practices_SubPractices[CP]=4,Practices_SubPractices[Org]="Small"),SUMIFS(Practices_SubPractices[B],Practices_SubPractices[CP],"4",Practices_SubPractices[Org],"Small"),IF(AND(Practices_SubPractices[CP]=5,Practices_SubPractices[Org]="Small"),SUMIFS(Practices_SubPractices[B],Practices_SubPractices[CP],"5",Practices_SubPractices[Org],"Small"),IF(AND(Practices_SubPractices[CP]=6,Practices_SubPractices[Org]="Small"),SUMIFS(Practices_SubPractices[B],Practices_SubPractices[CP],"6",Practices_SubPractices[Org],"Small"),IF(AND(Practices_SubPractices[CP]=7,Practices_SubPractices[Org] ="Small"),SUMIFS(Practices_SubPractices[B],Practices_SubPractices[CP],"7",Practices_SubPractices[Org],"Small"),IF(AND(Practices_SubPractices[CP]=8,Practices_SubPractices[Org] ="Small"),SUMIFS(Practices_SubPractices[B],Practices_SubPractices[CP],"8",Practices_SubPractices[Org],"Small"),IF(AND(Practices_SubPractices[CP]=9,Practices_SubPractices[Org] ="Small"),SUMIFS(Practices_SubPractices[B],Practices_SubPractices[CP],"9",Practices_SubPractices[Org],"Small"),IF(AND(Practices_SubPractices[CP]=10,Practices_SubPractices[Org] ="Small"),SUMIFS(Practices_SubPractices[B],Practices_SubPractices[CP],"10",Practices_SubPractices[Org],"Small"),IF(AND(Practices_SubPractices[CP]=1,Practices_SubPractices[Org]="Medium"),SUMIFS(Practices_SubPractices[B],Practices_SubPractices[CP],"1",Practices_SubPractices[Org],"Medium"),IF(AND(Practices_SubPractices[CP]=2,Practices_SubPractices[Org]="Medium"),SUMIFS(Practices_SubPractices[B],Practices_SubPractices[CP],"2",Practices_SubPractices[Org],"Medium"),IF(AND(Practices_SubPractices[CP]=3,Practices_SubPractices[Org]="Medium"),SUMIFS(Practices_SubPractices[B],Practices_SubPractices[CP],"3",Practices_SubPractices[Org],"Medium"),IF(AND(Practices_SubPractices[CP]=4,Practices_SubPractices[Org]="Medium"),SUMIFS(Practices_SubPractices[B],Practices_SubPractices[CP],"4",Practices_SubPractices[Org],"Medium"),IF(AND(Practices_SubPractices[CP]=5,Practices_SubPractices[Org]="Medium"),SUMIFS(Practices_SubPractices[B],Practices_SubPractices[CP],"5",Practices_SubPractices[Org],"Medium"),IF(AND(Practices_SubPractices[CP]=6,Practices_SubPractices[Org]="Medium"),SUMIFS(Practices_SubPractices[B],Practices_SubPractices[CP],"6",Practices_SubPractices[Org],"Medium"),IF(AND(Practices_SubPractices[CP]=7,Practices_SubPractices[Org] ="Medium"),SUMIFS(Practices_SubPractices[B],Practices_SubPractices[CP],"7",Practices_SubPractices[Org],"Medium"),IF(AND(Practices_SubPractices[CP]=8,Practices_SubPractices[Org] ="Medium"),SUMIFS(Practices_SubPractices[B],Practices_SubPractices[CP],"8",Practices_SubPractices[Org],"Medium"),IF(AND(Practices_SubPractices[CP]=9,Practices_SubPractices[Org] ="Medium"),SUMIFS(Practices_SubPractices[B],Practices_SubPractices[CP],"9",Practices_SubPractices[Org],"Medium"),IF(AND(Practices_SubPractices[CP]=10,Practices_SubPractices[Org] ="Medium"),SUMIFS(Practices_SubPractices[B],Practices_SubPractices[CP],"10",Practices_SubPractices[Org],"Medium"),IF(AND(Practices_SubPractices[CP]=1,Practices_SubPractices[Org]="Large"),SUMIFS(Practices_SubPractices[B],Practices_SubPractices[CP],"1",Practices_SubPractices[Org],"Large"),IF(AND(Practices_SubPractices[CP]=2,Practices_SubPractices[Org]="Large"),SUMIFS(Practices_SubPractices[B],Practices_SubPractices[CP],"2",Practices_SubPractices[Org],"Large"),IF(AND(Practices_SubPractices[CP]=3,Practices_SubPractices[Org]="Large"),SUMIFS(Practices_SubPractices[B],Practices_SubPractices[CP],"3",Practices_SubPractices[Org],"Large"),IF(AND(Practices_SubPractices[CP]=4,Practices_SubPractices[Org]="Large"),SUMIFS(Practices_SubPractices[B],Practices_SubPractices[CP],"4",Practices_SubPractices[Org],"Large"),IF(AND(Practices_SubPractices[CP]=5,Practices_SubPractices[Org]="Large"),SUMIFS(Practices_SubPractices[B],Practices_SubPractices[CP],"5",Practices_SubPractices[Org],"Large"),IF(AND(Practices_SubPractices[CP]=6,Practices_SubPractices[Org]="Large"),SUMIFS(Practices_SubPractices[B],Practices_SubPractices[CP],"6",Practices_SubPractices[Org],"Large"),IF(AND(Practices_SubPractices[CP]=7,Practices_SubPractices[Org] ="Large"),SUMIFS(Practices_SubPractices[B],Practices_SubPractices[CP],"7",Practices_SubPractices[Org],"Large"),IF(AND(Practices_SubPractices[CP]=8,Practices_SubPractices[Org] ="Large"),SUMIFS(Practices_SubPractices[B],Practices_SubPractices[CP],"8",Practices_SubPractices[Org],"Large"),IF(AND(Practices_SubPractices[CP]=9,Practices_SubPractices[Org] ="Large"),SUMIFS(Practices_SubPractices[B],Practices_SubPractices[CP],"9",Practices_SubPractices[Org],"Large"),IF(AND(Practices_SubPractices[CP]=10,Practices_SubPractices[Org] ="Large"),SUMIFS(Practices_SubPractices[B],Practices_SubPractices[CP],"10",Practices_SubPractices[Org],"Large"),"TBD"))))))))))))))))))))))))))))))</f>
        <v>1</v>
      </c>
      <c r="P101" s="77">
        <f>IF(AND(Practices_SubPractices[CP]=1,Practices_SubPractices[Org]="Small"),SUMIFS(Practices_SubPractices[C],Practices_SubPractices[CP],"1",Practices_SubPractices[Org],"Small"),IF(AND(Practices_SubPractices[CP]=2,Practices_SubPractices[Org]="Small"),SUMIFS(Practices_SubPractices[C],Practices_SubPractices[CP],"2",Practices_SubPractices[Org],"Small"),IF(AND(Practices_SubPractices[CP]=3,Practices_SubPractices[Org]="Small"),SUMIFS(Practices_SubPractices[C],Practices_SubPractices[CP],"3",Practices_SubPractices[Org],"Small"),IF(AND(Practices_SubPractices[CP]=4,Practices_SubPractices[Org]="Small"),SUMIFS(Practices_SubPractices[C],Practices_SubPractices[CP],"4",Practices_SubPractices[Org],"Small"),IF(AND(Practices_SubPractices[CP]=5,Practices_SubPractices[Org]="Small"),SUMIFS(Practices_SubPractices[C],Practices_SubPractices[CP],"5",Practices_SubPractices[Org],"Small"),IF(AND(Practices_SubPractices[CP]=6,Practices_SubPractices[Org]="Small"),SUMIFS(Practices_SubPractices[C],Practices_SubPractices[CP],"6",Practices_SubPractices[Org],"Small"),IF(AND(Practices_SubPractices[CP]=7,Practices_SubPractices[Org] ="Small"),SUMIFS(Practices_SubPractices[C],Practices_SubPractices[CP],"7",Practices_SubPractices[Org],"Small"),IF(AND(Practices_SubPractices[CP]=8,Practices_SubPractices[Org] ="Small"),SUMIFS(Practices_SubPractices[C],Practices_SubPractices[CP],"8",Practices_SubPractices[Org],"Small"),IF(AND(Practices_SubPractices[CP]=9,Practices_SubPractices[Org] ="Small"),SUMIFS(Practices_SubPractices[C],Practices_SubPractices[CP],"9",Practices_SubPractices[Org],"Small"),IF(AND(Practices_SubPractices[CP]=10,Practices_SubPractices[Org] ="Small"),SUMIFS(Practices_SubPractices[C],Practices_SubPractices[CP],"10",Practices_SubPractices[Org],"Small"),IF(AND(Practices_SubPractices[CP]=1,Practices_SubPractices[Org]="Medium"),SUMIFS(Practices_SubPractices[C],Practices_SubPractices[CP],"1",Practices_SubPractices[Org],"Medium"),IF(AND(Practices_SubPractices[CP]=2,Practices_SubPractices[Org]="Medium"),SUMIFS(Practices_SubPractices[C],Practices_SubPractices[CP],"2",Practices_SubPractices[Org],"Medium"),IF(AND(Practices_SubPractices[CP]=3,Practices_SubPractices[Org]="Medium"),SUMIFS(Practices_SubPractices[C],Practices_SubPractices[CP],"3",Practices_SubPractices[Org],"Medium"),IF(AND(Practices_SubPractices[CP]=4,Practices_SubPractices[Org]="Medium"),SUMIFS(Practices_SubPractices[C],Practices_SubPractices[CP],"4",Practices_SubPractices[Org],"Medium"),IF(AND(Practices_SubPractices[CP]=5,Practices_SubPractices[Org]="Medium"),SUMIFS(Practices_SubPractices[C],Practices_SubPractices[CP],"5",Practices_SubPractices[Org],"Medium"),IF(AND(Practices_SubPractices[CP]=6,Practices_SubPractices[Org]="Medium"),SUMIFS(Practices_SubPractices[C],Practices_SubPractices[CP],"6",Practices_SubPractices[Org],"Medium"),IF(AND(Practices_SubPractices[CP]=7,Practices_SubPractices[Org] ="Medium"),SUMIFS(Practices_SubPractices[C],Practices_SubPractices[CP],"7",Practices_SubPractices[Org],"Medium"),IF(AND(Practices_SubPractices[CP]=8,Practices_SubPractices[Org] ="Medium"),SUMIFS(Practices_SubPractices[C],Practices_SubPractices[CP],"8",Practices_SubPractices[Org],"Medium"),IF(AND(Practices_SubPractices[CP]=9,Practices_SubPractices[Org] ="Medium"),SUMIFS(Practices_SubPractices[C],Practices_SubPractices[CP],"9",Practices_SubPractices[Org],"Medium"),IF(AND(Practices_SubPractices[CP]=10,Practices_SubPractices[Org] ="Medium"),SUMIFS(Practices_SubPractices[C],Practices_SubPractices[CP],"10",Practices_SubPractices[Org],"Medium"),IF(AND(Practices_SubPractices[CP]=1,Practices_SubPractices[Org]="Large"),SUMIFS(Practices_SubPractices[C],Practices_SubPractices[CP],"1",Practices_SubPractices[Org],"Large"),IF(AND(Practices_SubPractices[CP]=2,Practices_SubPractices[Org]="Large"),SUMIFS(Practices_SubPractices[C],Practices_SubPractices[CP],"2",Practices_SubPractices[Org],"Large"),IF(AND(Practices_SubPractices[CP]=3,Practices_SubPractices[Org]="Large"),SUMIFS(Practices_SubPractices[C],Practices_SubPractices[CP],"3",Practices_SubPractices[Org],"Large"),IF(AND(Practices_SubPractices[CP]=4,Practices_SubPractices[Org]="Large"),SUMIFS(Practices_SubPractices[C],Practices_SubPractices[CP],"4",Practices_SubPractices[Org],"Large"),IF(AND(Practices_SubPractices[CP]=5,Practices_SubPractices[Org]="Large"),SUMIFS(Practices_SubPractices[C],Practices_SubPractices[CP],"5",Practices_SubPractices[Org],"Large"),IF(AND(Practices_SubPractices[CP]=6,Practices_SubPractices[Org]="Large"),SUMIFS(Practices_SubPractices[C],Practices_SubPractices[CP],"6",Practices_SubPractices[Org],"Large"),IF(AND(Practices_SubPractices[CP]=7,Practices_SubPractices[Org] ="Large"),SUMIFS(Practices_SubPractices[C],Practices_SubPractices[CP],"7",Practices_SubPractices[Org],"Large"),IF(AND(Practices_SubPractices[CP]=8,Practices_SubPractices[Org] ="Large"),SUMIFS(Practices_SubPractices[C],Practices_SubPractices[CP],"8",Practices_SubPractices[Org],"Large"),IF(AND(Practices_SubPractices[CP]=9,Practices_SubPractices[Org] ="Large"),SUMIFS(Practices_SubPractices[C],Practices_SubPractices[CP],"9",Practices_SubPractices[Org],"Large"),IF(AND(Practices_SubPractices[CP]=10,Practices_SubPractices[Org] ="Large"),SUMIFS(Practices_SubPractices[C],Practices_SubPractices[CP],"10",Practices_SubPractices[Org],"Large"),"TBD"))))))))))))))))))))))))))))))</f>
        <v>1</v>
      </c>
      <c r="Q101" s="77">
        <f>IF(AND(Practices_SubPractices[CP]=1,Practices_SubPractices[Org]="Small"),SUMIFS(Practices_SubPractices[D],Practices_SubPractices[CP],"1",Practices_SubPractices[Org],"Small"),IF(AND(Practices_SubPractices[CP]=2,Practices_SubPractices[Org]="Small"),SUMIFS(Practices_SubPractices[D],Practices_SubPractices[CP],"2",Practices_SubPractices[Org],"Small"),IF(AND(Practices_SubPractices[CP]=3,Practices_SubPractices[Org]="Small"),SUMIFS(Practices_SubPractices[D],Practices_SubPractices[CP],"3",Practices_SubPractices[Org],"Small"),IF(AND(Practices_SubPractices[CP]=4,Practices_SubPractices[Org]="Small"),SUMIFS(Practices_SubPractices[D],Practices_SubPractices[CP],"4",Practices_SubPractices[Org],"Small"),IF(AND(Practices_SubPractices[CP]=5,Practices_SubPractices[Org]="Small"),SUMIFS(Practices_SubPractices[D],Practices_SubPractices[CP],"5",Practices_SubPractices[Org],"Small"),IF(AND(Practices_SubPractices[CP]=6,Practices_SubPractices[Org]="Small"),SUMIFS(Practices_SubPractices[D],Practices_SubPractices[CP],"6",Practices_SubPractices[Org],"Small"),IF(AND(Practices_SubPractices[CP]=7,Practices_SubPractices[Org] ="Small"),SUMIFS(Practices_SubPractices[D],Practices_SubPractices[CP],"7",Practices_SubPractices[Org],"Small"),IF(AND(Practices_SubPractices[CP]=8,Practices_SubPractices[Org] ="Small"),SUMIFS(Practices_SubPractices[D],Practices_SubPractices[CP],"8",Practices_SubPractices[Org],"Small"),IF(AND(Practices_SubPractices[CP]=9,Practices_SubPractices[Org] ="Small"),SUMIFS(Practices_SubPractices[D],Practices_SubPractices[CP],"9",Practices_SubPractices[Org],"Small"),IF(AND(Practices_SubPractices[CP]=10,Practices_SubPractices[Org] ="Small"),SUMIFS(Practices_SubPractices[D],Practices_SubPractices[CP],"10",Practices_SubPractices[Org],"Small"),IF(AND(Practices_SubPractices[CP]=1,Practices_SubPractices[Org]="Medium"),SUMIFS(Practices_SubPractices[D],Practices_SubPractices[CP],"1",Practices_SubPractices[Org],"Medium"),IF(AND(Practices_SubPractices[CP]=2,Practices_SubPractices[Org]="Medium"),SUMIFS(Practices_SubPractices[D],Practices_SubPractices[CP],"2",Practices_SubPractices[Org],"Medium"),IF(AND(Practices_SubPractices[CP]=3,Practices_SubPractices[Org]="Medium"),SUMIFS(Practices_SubPractices[D],Practices_SubPractices[CP],"3",Practices_SubPractices[Org],"Medium"),IF(AND(Practices_SubPractices[CP]=4,Practices_SubPractices[Org]="Medium"),SUMIFS(Practices_SubPractices[D],Practices_SubPractices[CP],"4",Practices_SubPractices[Org],"Medium"),IF(AND(Practices_SubPractices[CP]=5,Practices_SubPractices[Org]="Medium"),SUMIFS(Practices_SubPractices[D],Practices_SubPractices[CP],"5",Practices_SubPractices[Org],"Medium"),IF(AND(Practices_SubPractices[CP]=6,Practices_SubPractices[Org]="Medium"),SUMIFS(Practices_SubPractices[D],Practices_SubPractices[CP],"6",Practices_SubPractices[Org],"Medium"),IF(AND(Practices_SubPractices[CP]=7,Practices_SubPractices[Org] ="Medium"),SUMIFS(Practices_SubPractices[D],Practices_SubPractices[CP],"7",Practices_SubPractices[Org],"Medium"),IF(AND(Practices_SubPractices[CP]=8,Practices_SubPractices[Org] ="Medium"),SUMIFS(Practices_SubPractices[D],Practices_SubPractices[CP],"8",Practices_SubPractices[Org],"Medium"),IF(AND(Practices_SubPractices[CP]=9,Practices_SubPractices[Org] ="Medium"),SUMIFS(Practices_SubPractices[D],Practices_SubPractices[CP],"9",Practices_SubPractices[Org],"Medium"),IF(AND(Practices_SubPractices[CP]=10,Practices_SubPractices[Org] ="Medium"),SUMIFS(Practices_SubPractices[D],Practices_SubPractices[CP],"10",Practices_SubPractices[Org],"Medium"),IF(AND(Practices_SubPractices[CP]=1,Practices_SubPractices[Org]="Large"),SUMIFS(Practices_SubPractices[D],Practices_SubPractices[CP],"1",Practices_SubPractices[Org],"Large"),IF(AND(Practices_SubPractices[CP]=2,Practices_SubPractices[Org]="Large"),SUMIFS(Practices_SubPractices[D],Practices_SubPractices[CP],"2",Practices_SubPractices[Org],"Large"),IF(AND(Practices_SubPractices[CP]=3,Practices_SubPractices[Org]="Large"),SUMIFS(Practices_SubPractices[D],Practices_SubPractices[CP],"3",Practices_SubPractices[Org],"Large"),IF(AND(Practices_SubPractices[CP]=4,Practices_SubPractices[Org]="Large"),SUMIFS(Practices_SubPractices[D],Practices_SubPractices[CP],"4",Practices_SubPractices[Org],"Large"),IF(AND(Practices_SubPractices[CP]=5,Practices_SubPractices[Org]="Large"),SUMIFS(Practices_SubPractices[D],Practices_SubPractices[CP],"5",Practices_SubPractices[Org],"Large"),IF(AND(Practices_SubPractices[CP]=6,Practices_SubPractices[Org]="Large"),SUMIFS(Practices_SubPractices[D],Practices_SubPractices[CP],"6",Practices_SubPractices[Org],"Large"),IF(AND(Practices_SubPractices[CP]=7,Practices_SubPractices[Org] ="Large"),SUMIFS(Practices_SubPractices[D],Practices_SubPractices[CP],"7",Practices_SubPractices[Org],"Large"),IF(AND(Practices_SubPractices[CP]=8,Practices_SubPractices[Org] ="Large"),SUMIFS(Practices_SubPractices[D],Practices_SubPractices[CP],"8",Practices_SubPractices[Org],"Large"),IF(AND(Practices_SubPractices[CP]=9,Practices_SubPractices[Org] ="Large"),SUMIFS(Practices_SubPractices[D],Practices_SubPractices[CP],"9",Practices_SubPractices[Org],"Large"),IF(AND(Practices_SubPractices[CP]=10,Practices_SubPractices[Org] ="Large"),SUMIFS(Practices_SubPractices[D],Practices_SubPractices[CP],"10",Practices_SubPractices[Org],"Large"),"TBD"))))))))))))))))))))))))))))))</f>
        <v>1</v>
      </c>
      <c r="R101" s="77">
        <f>IF(AND(Practices_SubPractices[CP]=1,Practices_SubPractices[Org]="Small"),SUMIFS(Practices_SubPractices[E],Practices_SubPractices[CP],"1",Practices_SubPractices[Org],"Small"),IF(AND(Practices_SubPractices[CP]=2,Practices_SubPractices[Org]="Small"),SUMIFS(Practices_SubPractices[E],Practices_SubPractices[CP],"2",Practices_SubPractices[Org],"Small"),IF(AND(Practices_SubPractices[CP]=3,Practices_SubPractices[Org]="Small"),SUMIFS(Practices_SubPractices[E],Practices_SubPractices[CP],"3",Practices_SubPractices[Org],"Small"),IF(AND(Practices_SubPractices[CP]=4,Practices_SubPractices[Org]="Small"),SUMIFS(Practices_SubPractices[E],Practices_SubPractices[CP],"4",Practices_SubPractices[Org],"Small"),IF(AND(Practices_SubPractices[CP]=5,Practices_SubPractices[Org]="Small"),SUMIFS(Practices_SubPractices[E],Practices_SubPractices[CP],"5",Practices_SubPractices[Org],"Small"),IF(AND(Practices_SubPractices[CP]=6,Practices_SubPractices[Org]="Small"),SUMIFS(Practices_SubPractices[E],Practices_SubPractices[CP],"6",Practices_SubPractices[Org],"Small"),IF(AND(Practices_SubPractices[CP]=7,Practices_SubPractices[Org] ="Small"),SUMIFS(Practices_SubPractices[E],Practices_SubPractices[CP],"7",Practices_SubPractices[Org],"Small"),IF(AND(Practices_SubPractices[CP]=8,Practices_SubPractices[Org] ="Small"),SUMIFS(Practices_SubPractices[E],Practices_SubPractices[CP],"8",Practices_SubPractices[Org],"Small"),IF(AND(Practices_SubPractices[CP]=9,Practices_SubPractices[Org] ="Small"),SUMIFS(Practices_SubPractices[E],Practices_SubPractices[CP],"9",Practices_SubPractices[Org],"Small"),IF(AND(Practices_SubPractices[CP]=10,Practices_SubPractices[Org] ="Small"),SUMIFS(Practices_SubPractices[E],Practices_SubPractices[CP],"10",Practices_SubPractices[Org],"Small"),IF(AND(Practices_SubPractices[CP]=1,Practices_SubPractices[Org]="Medium"),SUMIFS(Practices_SubPractices[E],Practices_SubPractices[CP],"1",Practices_SubPractices[Org],"Medium"),IF(AND(Practices_SubPractices[CP]=2,Practices_SubPractices[Org]="Medium"),SUMIFS(Practices_SubPractices[E],Practices_SubPractices[CP],"2",Practices_SubPractices[Org],"Medium"),IF(AND(Practices_SubPractices[CP]=3,Practices_SubPractices[Org]="Medium"),SUMIFS(Practices_SubPractices[E],Practices_SubPractices[CP],"3",Practices_SubPractices[Org],"Medium"),IF(AND(Practices_SubPractices[CP]=4,Practices_SubPractices[Org]="Medium"),SUMIFS(Practices_SubPractices[E],Practices_SubPractices[CP],"4",Practices_SubPractices[Org],"Medium"),IF(AND(Practices_SubPractices[CP]=5,Practices_SubPractices[Org]="Medium"),SUMIFS(Practices_SubPractices[E],Practices_SubPractices[CP],"5",Practices_SubPractices[Org],"Medium"),IF(AND(Practices_SubPractices[CP]=6,Practices_SubPractices[Org]="Medium"),SUMIFS(Practices_SubPractices[E],Practices_SubPractices[CP],"6",Practices_SubPractices[Org],"Medium"),IF(AND(Practices_SubPractices[CP]=7,Practices_SubPractices[Org] ="Medium"),SUMIFS(Practices_SubPractices[E],Practices_SubPractices[CP],"7",Practices_SubPractices[Org],"Medium"),IF(AND(Practices_SubPractices[CP]=8,Practices_SubPractices[Org] ="Medium"),SUMIFS(Practices_SubPractices[E],Practices_SubPractices[CP],"8",Practices_SubPractices[Org],"Medium"),IF(AND(Practices_SubPractices[CP]=9,Practices_SubPractices[Org] ="Medium"),SUMIFS(Practices_SubPractices[E],Practices_SubPractices[CP],"9",Practices_SubPractices[Org],"Medium"),IF(AND(Practices_SubPractices[CP]=10,Practices_SubPractices[Org] ="Medium"),SUMIFS(Practices_SubPractices[E],Practices_SubPractices[CP],"10",Practices_SubPractices[Org],"Medium"),IF(AND(Practices_SubPractices[CP]=1,Practices_SubPractices[Org]="Large"),SUMIFS(Practices_SubPractices[E],Practices_SubPractices[CP],"1",Practices_SubPractices[Org],"Large"),IF(AND(Practices_SubPractices[CP]=2,Practices_SubPractices[Org]="Large"),SUMIFS(Practices_SubPractices[E],Practices_SubPractices[CP],"2",Practices_SubPractices[Org],"Large"),IF(AND(Practices_SubPractices[CP]=3,Practices_SubPractices[Org]="Large"),SUMIFS(Practices_SubPractices[E],Practices_SubPractices[CP],"3",Practices_SubPractices[Org],"Large"),IF(AND(Practices_SubPractices[CP]=4,Practices_SubPractices[Org]="Large"),SUMIFS(Practices_SubPractices[E],Practices_SubPractices[CP],"4",Practices_SubPractices[Org],"Large"),IF(AND(Practices_SubPractices[CP]=5,Practices_SubPractices[Org]="Large"),SUMIFS(Practices_SubPractices[E],Practices_SubPractices[CP],"5",Practices_SubPractices[Org],"Large"),IF(AND(Practices_SubPractices[CP]=6,Practices_SubPractices[Org]="Large"),SUMIFS(Practices_SubPractices[E],Practices_SubPractices[CP],"6",Practices_SubPractices[Org],"Large"),IF(AND(Practices_SubPractices[CP]=7,Practices_SubPractices[Org] ="Large"),SUMIFS(Practices_SubPractices[E],Practices_SubPractices[CP],"7",Practices_SubPractices[Org],"Large"),IF(AND(Practices_SubPractices[CP]=8,Practices_SubPractices[Org] ="Large"),SUMIFS(Practices_SubPractices[E],Practices_SubPractices[CP],"8",Practices_SubPractices[Org],"Large"),IF(AND(Practices_SubPractices[CP]=9,Practices_SubPractices[Org] ="Large"),SUMIFS(Practices_SubPractices[E],Practices_SubPractices[CP],"9",Practices_SubPractices[Org],"Large"),IF(AND(Practices_SubPractices[CP]=10,Practices_SubPractices[Org] ="Large"),SUMIFS(Practices_SubPractices[E],Practices_SubPractices[CP],"10",Practices_SubPractices[Org],"Large"),"TBD"))))))))))))))))))))))))))))))</f>
        <v>1</v>
      </c>
      <c r="S101" s="87" t="s">
        <v>413</v>
      </c>
    </row>
    <row r="102" spans="1:19" x14ac:dyDescent="0.35">
      <c r="A102" s="73">
        <v>92</v>
      </c>
      <c r="B102" s="73">
        <v>1</v>
      </c>
      <c r="C102" s="80" t="s">
        <v>12</v>
      </c>
      <c r="D102" s="73" t="str">
        <f>Practices_SubPractices[[#This Row],[CP]]&amp;LEFT(Practices_SubPractices[[#This Row],[Org]],1)</f>
        <v>1L</v>
      </c>
      <c r="E102" s="73" t="s">
        <v>265</v>
      </c>
      <c r="F102" s="74" t="s">
        <v>61</v>
      </c>
      <c r="G102" s="74" t="s">
        <v>64</v>
      </c>
      <c r="H102" s="74" t="s">
        <v>194</v>
      </c>
      <c r="I102" s="75">
        <v>2</v>
      </c>
      <c r="J102" s="75">
        <v>2</v>
      </c>
      <c r="K102" s="75">
        <v>1</v>
      </c>
      <c r="L102" s="75">
        <v>1</v>
      </c>
      <c r="M102" s="75">
        <v>0</v>
      </c>
      <c r="N102" s="76"/>
      <c r="O102" s="77">
        <f>IF(AND(Practices_SubPractices[CP]=1,Practices_SubPractices[Org]="Small"),SUMIFS(Practices_SubPractices[B],Practices_SubPractices[CP],"1",Practices_SubPractices[Org],"Small"),IF(AND(Practices_SubPractices[CP]=2,Practices_SubPractices[Org]="Small"),SUMIFS(Practices_SubPractices[B],Practices_SubPractices[CP],"2",Practices_SubPractices[Org],"Small"),IF(AND(Practices_SubPractices[CP]=3,Practices_SubPractices[Org]="Small"),SUMIFS(Practices_SubPractices[B],Practices_SubPractices[CP],"3",Practices_SubPractices[Org],"Small"),IF(AND(Practices_SubPractices[CP]=4,Practices_SubPractices[Org]="Small"),SUMIFS(Practices_SubPractices[B],Practices_SubPractices[CP],"4",Practices_SubPractices[Org],"Small"),IF(AND(Practices_SubPractices[CP]=5,Practices_SubPractices[Org]="Small"),SUMIFS(Practices_SubPractices[B],Practices_SubPractices[CP],"5",Practices_SubPractices[Org],"Small"),IF(AND(Practices_SubPractices[CP]=6,Practices_SubPractices[Org]="Small"),SUMIFS(Practices_SubPractices[B],Practices_SubPractices[CP],"6",Practices_SubPractices[Org],"Small"),IF(AND(Practices_SubPractices[CP]=7,Practices_SubPractices[Org] ="Small"),SUMIFS(Practices_SubPractices[B],Practices_SubPractices[CP],"7",Practices_SubPractices[Org],"Small"),IF(AND(Practices_SubPractices[CP]=8,Practices_SubPractices[Org] ="Small"),SUMIFS(Practices_SubPractices[B],Practices_SubPractices[CP],"8",Practices_SubPractices[Org],"Small"),IF(AND(Practices_SubPractices[CP]=9,Practices_SubPractices[Org] ="Small"),SUMIFS(Practices_SubPractices[B],Practices_SubPractices[CP],"9",Practices_SubPractices[Org],"Small"),IF(AND(Practices_SubPractices[CP]=10,Practices_SubPractices[Org] ="Small"),SUMIFS(Practices_SubPractices[B],Practices_SubPractices[CP],"10",Practices_SubPractices[Org],"Small"),IF(AND(Practices_SubPractices[CP]=1,Practices_SubPractices[Org]="Medium"),SUMIFS(Practices_SubPractices[B],Practices_SubPractices[CP],"1",Practices_SubPractices[Org],"Medium"),IF(AND(Practices_SubPractices[CP]=2,Practices_SubPractices[Org]="Medium"),SUMIFS(Practices_SubPractices[B],Practices_SubPractices[CP],"2",Practices_SubPractices[Org],"Medium"),IF(AND(Practices_SubPractices[CP]=3,Practices_SubPractices[Org]="Medium"),SUMIFS(Practices_SubPractices[B],Practices_SubPractices[CP],"3",Practices_SubPractices[Org],"Medium"),IF(AND(Practices_SubPractices[CP]=4,Practices_SubPractices[Org]="Medium"),SUMIFS(Practices_SubPractices[B],Practices_SubPractices[CP],"4",Practices_SubPractices[Org],"Medium"),IF(AND(Practices_SubPractices[CP]=5,Practices_SubPractices[Org]="Medium"),SUMIFS(Practices_SubPractices[B],Practices_SubPractices[CP],"5",Practices_SubPractices[Org],"Medium"),IF(AND(Practices_SubPractices[CP]=6,Practices_SubPractices[Org]="Medium"),SUMIFS(Practices_SubPractices[B],Practices_SubPractices[CP],"6",Practices_SubPractices[Org],"Medium"),IF(AND(Practices_SubPractices[CP]=7,Practices_SubPractices[Org] ="Medium"),SUMIFS(Practices_SubPractices[B],Practices_SubPractices[CP],"7",Practices_SubPractices[Org],"Medium"),IF(AND(Practices_SubPractices[CP]=8,Practices_SubPractices[Org] ="Medium"),SUMIFS(Practices_SubPractices[B],Practices_SubPractices[CP],"8",Practices_SubPractices[Org],"Medium"),IF(AND(Practices_SubPractices[CP]=9,Practices_SubPractices[Org] ="Medium"),SUMIFS(Practices_SubPractices[B],Practices_SubPractices[CP],"9",Practices_SubPractices[Org],"Medium"),IF(AND(Practices_SubPractices[CP]=10,Practices_SubPractices[Org] ="Medium"),SUMIFS(Practices_SubPractices[B],Practices_SubPractices[CP],"10",Practices_SubPractices[Org],"Medium"),IF(AND(Practices_SubPractices[CP]=1,Practices_SubPractices[Org]="Large"),SUMIFS(Practices_SubPractices[B],Practices_SubPractices[CP],"1",Practices_SubPractices[Org],"Large"),IF(AND(Practices_SubPractices[CP]=2,Practices_SubPractices[Org]="Large"),SUMIFS(Practices_SubPractices[B],Practices_SubPractices[CP],"2",Practices_SubPractices[Org],"Large"),IF(AND(Practices_SubPractices[CP]=3,Practices_SubPractices[Org]="Large"),SUMIFS(Practices_SubPractices[B],Practices_SubPractices[CP],"3",Practices_SubPractices[Org],"Large"),IF(AND(Practices_SubPractices[CP]=4,Practices_SubPractices[Org]="Large"),SUMIFS(Practices_SubPractices[B],Practices_SubPractices[CP],"4",Practices_SubPractices[Org],"Large"),IF(AND(Practices_SubPractices[CP]=5,Practices_SubPractices[Org]="Large"),SUMIFS(Practices_SubPractices[B],Practices_SubPractices[CP],"5",Practices_SubPractices[Org],"Large"),IF(AND(Practices_SubPractices[CP]=6,Practices_SubPractices[Org]="Large"),SUMIFS(Practices_SubPractices[B],Practices_SubPractices[CP],"6",Practices_SubPractices[Org],"Large"),IF(AND(Practices_SubPractices[CP]=7,Practices_SubPractices[Org] ="Large"),SUMIFS(Practices_SubPractices[B],Practices_SubPractices[CP],"7",Practices_SubPractices[Org],"Large"),IF(AND(Practices_SubPractices[CP]=8,Practices_SubPractices[Org] ="Large"),SUMIFS(Practices_SubPractices[B],Practices_SubPractices[CP],"8",Practices_SubPractices[Org],"Large"),IF(AND(Practices_SubPractices[CP]=9,Practices_SubPractices[Org] ="Large"),SUMIFS(Practices_SubPractices[B],Practices_SubPractices[CP],"9",Practices_SubPractices[Org],"Large"),IF(AND(Practices_SubPractices[CP]=10,Practices_SubPractices[Org] ="Large"),SUMIFS(Practices_SubPractices[B],Practices_SubPractices[CP],"10",Practices_SubPractices[Org],"Large"),"TBD"))))))))))))))))))))))))))))))</f>
        <v>10</v>
      </c>
      <c r="P102" s="77">
        <f>IF(AND(Practices_SubPractices[CP]=1,Practices_SubPractices[Org]="Small"),SUMIFS(Practices_SubPractices[C],Practices_SubPractices[CP],"1",Practices_SubPractices[Org],"Small"),IF(AND(Practices_SubPractices[CP]=2,Practices_SubPractices[Org]="Small"),SUMIFS(Practices_SubPractices[C],Practices_SubPractices[CP],"2",Practices_SubPractices[Org],"Small"),IF(AND(Practices_SubPractices[CP]=3,Practices_SubPractices[Org]="Small"),SUMIFS(Practices_SubPractices[C],Practices_SubPractices[CP],"3",Practices_SubPractices[Org],"Small"),IF(AND(Practices_SubPractices[CP]=4,Practices_SubPractices[Org]="Small"),SUMIFS(Practices_SubPractices[C],Practices_SubPractices[CP],"4",Practices_SubPractices[Org],"Small"),IF(AND(Practices_SubPractices[CP]=5,Practices_SubPractices[Org]="Small"),SUMIFS(Practices_SubPractices[C],Practices_SubPractices[CP],"5",Practices_SubPractices[Org],"Small"),IF(AND(Practices_SubPractices[CP]=6,Practices_SubPractices[Org]="Small"),SUMIFS(Practices_SubPractices[C],Practices_SubPractices[CP],"6",Practices_SubPractices[Org],"Small"),IF(AND(Practices_SubPractices[CP]=7,Practices_SubPractices[Org] ="Small"),SUMIFS(Practices_SubPractices[C],Practices_SubPractices[CP],"7",Practices_SubPractices[Org],"Small"),IF(AND(Practices_SubPractices[CP]=8,Practices_SubPractices[Org] ="Small"),SUMIFS(Practices_SubPractices[C],Practices_SubPractices[CP],"8",Practices_SubPractices[Org],"Small"),IF(AND(Practices_SubPractices[CP]=9,Practices_SubPractices[Org] ="Small"),SUMIFS(Practices_SubPractices[C],Practices_SubPractices[CP],"9",Practices_SubPractices[Org],"Small"),IF(AND(Practices_SubPractices[CP]=10,Practices_SubPractices[Org] ="Small"),SUMIFS(Practices_SubPractices[C],Practices_SubPractices[CP],"10",Practices_SubPractices[Org],"Small"),IF(AND(Practices_SubPractices[CP]=1,Practices_SubPractices[Org]="Medium"),SUMIFS(Practices_SubPractices[C],Practices_SubPractices[CP],"1",Practices_SubPractices[Org],"Medium"),IF(AND(Practices_SubPractices[CP]=2,Practices_SubPractices[Org]="Medium"),SUMIFS(Practices_SubPractices[C],Practices_SubPractices[CP],"2",Practices_SubPractices[Org],"Medium"),IF(AND(Practices_SubPractices[CP]=3,Practices_SubPractices[Org]="Medium"),SUMIFS(Practices_SubPractices[C],Practices_SubPractices[CP],"3",Practices_SubPractices[Org],"Medium"),IF(AND(Practices_SubPractices[CP]=4,Practices_SubPractices[Org]="Medium"),SUMIFS(Practices_SubPractices[C],Practices_SubPractices[CP],"4",Practices_SubPractices[Org],"Medium"),IF(AND(Practices_SubPractices[CP]=5,Practices_SubPractices[Org]="Medium"),SUMIFS(Practices_SubPractices[C],Practices_SubPractices[CP],"5",Practices_SubPractices[Org],"Medium"),IF(AND(Practices_SubPractices[CP]=6,Practices_SubPractices[Org]="Medium"),SUMIFS(Practices_SubPractices[C],Practices_SubPractices[CP],"6",Practices_SubPractices[Org],"Medium"),IF(AND(Practices_SubPractices[CP]=7,Practices_SubPractices[Org] ="Medium"),SUMIFS(Practices_SubPractices[C],Practices_SubPractices[CP],"7",Practices_SubPractices[Org],"Medium"),IF(AND(Practices_SubPractices[CP]=8,Practices_SubPractices[Org] ="Medium"),SUMIFS(Practices_SubPractices[C],Practices_SubPractices[CP],"8",Practices_SubPractices[Org],"Medium"),IF(AND(Practices_SubPractices[CP]=9,Practices_SubPractices[Org] ="Medium"),SUMIFS(Practices_SubPractices[C],Practices_SubPractices[CP],"9",Practices_SubPractices[Org],"Medium"),IF(AND(Practices_SubPractices[CP]=10,Practices_SubPractices[Org] ="Medium"),SUMIFS(Practices_SubPractices[C],Practices_SubPractices[CP],"10",Practices_SubPractices[Org],"Medium"),IF(AND(Practices_SubPractices[CP]=1,Practices_SubPractices[Org]="Large"),SUMIFS(Practices_SubPractices[C],Practices_SubPractices[CP],"1",Practices_SubPractices[Org],"Large"),IF(AND(Practices_SubPractices[CP]=2,Practices_SubPractices[Org]="Large"),SUMIFS(Practices_SubPractices[C],Practices_SubPractices[CP],"2",Practices_SubPractices[Org],"Large"),IF(AND(Practices_SubPractices[CP]=3,Practices_SubPractices[Org]="Large"),SUMIFS(Practices_SubPractices[C],Practices_SubPractices[CP],"3",Practices_SubPractices[Org],"Large"),IF(AND(Practices_SubPractices[CP]=4,Practices_SubPractices[Org]="Large"),SUMIFS(Practices_SubPractices[C],Practices_SubPractices[CP],"4",Practices_SubPractices[Org],"Large"),IF(AND(Practices_SubPractices[CP]=5,Practices_SubPractices[Org]="Large"),SUMIFS(Practices_SubPractices[C],Practices_SubPractices[CP],"5",Practices_SubPractices[Org],"Large"),IF(AND(Practices_SubPractices[CP]=6,Practices_SubPractices[Org]="Large"),SUMIFS(Practices_SubPractices[C],Practices_SubPractices[CP],"6",Practices_SubPractices[Org],"Large"),IF(AND(Practices_SubPractices[CP]=7,Practices_SubPractices[Org] ="Large"),SUMIFS(Practices_SubPractices[C],Practices_SubPractices[CP],"7",Practices_SubPractices[Org],"Large"),IF(AND(Practices_SubPractices[CP]=8,Practices_SubPractices[Org] ="Large"),SUMIFS(Practices_SubPractices[C],Practices_SubPractices[CP],"8",Practices_SubPractices[Org],"Large"),IF(AND(Practices_SubPractices[CP]=9,Practices_SubPractices[Org] ="Large"),SUMIFS(Practices_SubPractices[C],Practices_SubPractices[CP],"9",Practices_SubPractices[Org],"Large"),IF(AND(Practices_SubPractices[CP]=10,Practices_SubPractices[Org] ="Large"),SUMIFS(Practices_SubPractices[C],Practices_SubPractices[CP],"10",Practices_SubPractices[Org],"Large"),"TBD"))))))))))))))))))))))))))))))</f>
        <v>4</v>
      </c>
      <c r="Q102" s="77">
        <f>IF(AND(Practices_SubPractices[CP]=1,Practices_SubPractices[Org]="Small"),SUMIFS(Practices_SubPractices[D],Practices_SubPractices[CP],"1",Practices_SubPractices[Org],"Small"),IF(AND(Practices_SubPractices[CP]=2,Practices_SubPractices[Org]="Small"),SUMIFS(Practices_SubPractices[D],Practices_SubPractices[CP],"2",Practices_SubPractices[Org],"Small"),IF(AND(Practices_SubPractices[CP]=3,Practices_SubPractices[Org]="Small"),SUMIFS(Practices_SubPractices[D],Practices_SubPractices[CP],"3",Practices_SubPractices[Org],"Small"),IF(AND(Practices_SubPractices[CP]=4,Practices_SubPractices[Org]="Small"),SUMIFS(Practices_SubPractices[D],Practices_SubPractices[CP],"4",Practices_SubPractices[Org],"Small"),IF(AND(Practices_SubPractices[CP]=5,Practices_SubPractices[Org]="Small"),SUMIFS(Practices_SubPractices[D],Practices_SubPractices[CP],"5",Practices_SubPractices[Org],"Small"),IF(AND(Practices_SubPractices[CP]=6,Practices_SubPractices[Org]="Small"),SUMIFS(Practices_SubPractices[D],Practices_SubPractices[CP],"6",Practices_SubPractices[Org],"Small"),IF(AND(Practices_SubPractices[CP]=7,Practices_SubPractices[Org] ="Small"),SUMIFS(Practices_SubPractices[D],Practices_SubPractices[CP],"7",Practices_SubPractices[Org],"Small"),IF(AND(Practices_SubPractices[CP]=8,Practices_SubPractices[Org] ="Small"),SUMIFS(Practices_SubPractices[D],Practices_SubPractices[CP],"8",Practices_SubPractices[Org],"Small"),IF(AND(Practices_SubPractices[CP]=9,Practices_SubPractices[Org] ="Small"),SUMIFS(Practices_SubPractices[D],Practices_SubPractices[CP],"9",Practices_SubPractices[Org],"Small"),IF(AND(Practices_SubPractices[CP]=10,Practices_SubPractices[Org] ="Small"),SUMIFS(Practices_SubPractices[D],Practices_SubPractices[CP],"10",Practices_SubPractices[Org],"Small"),IF(AND(Practices_SubPractices[CP]=1,Practices_SubPractices[Org]="Medium"),SUMIFS(Practices_SubPractices[D],Practices_SubPractices[CP],"1",Practices_SubPractices[Org],"Medium"),IF(AND(Practices_SubPractices[CP]=2,Practices_SubPractices[Org]="Medium"),SUMIFS(Practices_SubPractices[D],Practices_SubPractices[CP],"2",Practices_SubPractices[Org],"Medium"),IF(AND(Practices_SubPractices[CP]=3,Practices_SubPractices[Org]="Medium"),SUMIFS(Practices_SubPractices[D],Practices_SubPractices[CP],"3",Practices_SubPractices[Org],"Medium"),IF(AND(Practices_SubPractices[CP]=4,Practices_SubPractices[Org]="Medium"),SUMIFS(Practices_SubPractices[D],Practices_SubPractices[CP],"4",Practices_SubPractices[Org],"Medium"),IF(AND(Practices_SubPractices[CP]=5,Practices_SubPractices[Org]="Medium"),SUMIFS(Practices_SubPractices[D],Practices_SubPractices[CP],"5",Practices_SubPractices[Org],"Medium"),IF(AND(Practices_SubPractices[CP]=6,Practices_SubPractices[Org]="Medium"),SUMIFS(Practices_SubPractices[D],Practices_SubPractices[CP],"6",Practices_SubPractices[Org],"Medium"),IF(AND(Practices_SubPractices[CP]=7,Practices_SubPractices[Org] ="Medium"),SUMIFS(Practices_SubPractices[D],Practices_SubPractices[CP],"7",Practices_SubPractices[Org],"Medium"),IF(AND(Practices_SubPractices[CP]=8,Practices_SubPractices[Org] ="Medium"),SUMIFS(Practices_SubPractices[D],Practices_SubPractices[CP],"8",Practices_SubPractices[Org],"Medium"),IF(AND(Practices_SubPractices[CP]=9,Practices_SubPractices[Org] ="Medium"),SUMIFS(Practices_SubPractices[D],Practices_SubPractices[CP],"9",Practices_SubPractices[Org],"Medium"),IF(AND(Practices_SubPractices[CP]=10,Practices_SubPractices[Org] ="Medium"),SUMIFS(Practices_SubPractices[D],Practices_SubPractices[CP],"10",Practices_SubPractices[Org],"Medium"),IF(AND(Practices_SubPractices[CP]=1,Practices_SubPractices[Org]="Large"),SUMIFS(Practices_SubPractices[D],Practices_SubPractices[CP],"1",Practices_SubPractices[Org],"Large"),IF(AND(Practices_SubPractices[CP]=2,Practices_SubPractices[Org]="Large"),SUMIFS(Practices_SubPractices[D],Practices_SubPractices[CP],"2",Practices_SubPractices[Org],"Large"),IF(AND(Practices_SubPractices[CP]=3,Practices_SubPractices[Org]="Large"),SUMIFS(Practices_SubPractices[D],Practices_SubPractices[CP],"3",Practices_SubPractices[Org],"Large"),IF(AND(Practices_SubPractices[CP]=4,Practices_SubPractices[Org]="Large"),SUMIFS(Practices_SubPractices[D],Practices_SubPractices[CP],"4",Practices_SubPractices[Org],"Large"),IF(AND(Practices_SubPractices[CP]=5,Practices_SubPractices[Org]="Large"),SUMIFS(Practices_SubPractices[D],Practices_SubPractices[CP],"5",Practices_SubPractices[Org],"Large"),IF(AND(Practices_SubPractices[CP]=6,Practices_SubPractices[Org]="Large"),SUMIFS(Practices_SubPractices[D],Practices_SubPractices[CP],"6",Practices_SubPractices[Org],"Large"),IF(AND(Practices_SubPractices[CP]=7,Practices_SubPractices[Org] ="Large"),SUMIFS(Practices_SubPractices[D],Practices_SubPractices[CP],"7",Practices_SubPractices[Org],"Large"),IF(AND(Practices_SubPractices[CP]=8,Practices_SubPractices[Org] ="Large"),SUMIFS(Practices_SubPractices[D],Practices_SubPractices[CP],"8",Practices_SubPractices[Org],"Large"),IF(AND(Practices_SubPractices[CP]=9,Practices_SubPractices[Org] ="Large"),SUMIFS(Practices_SubPractices[D],Practices_SubPractices[CP],"9",Practices_SubPractices[Org],"Large"),IF(AND(Practices_SubPractices[CP]=10,Practices_SubPractices[Org] ="Large"),SUMIFS(Practices_SubPractices[D],Practices_SubPractices[CP],"10",Practices_SubPractices[Org],"Large"),"TBD"))))))))))))))))))))))))))))))</f>
        <v>7</v>
      </c>
      <c r="R102" s="77">
        <f>IF(AND(Practices_SubPractices[CP]=1,Practices_SubPractices[Org]="Small"),SUMIFS(Practices_SubPractices[E],Practices_SubPractices[CP],"1",Practices_SubPractices[Org],"Small"),IF(AND(Practices_SubPractices[CP]=2,Practices_SubPractices[Org]="Small"),SUMIFS(Practices_SubPractices[E],Practices_SubPractices[CP],"2",Practices_SubPractices[Org],"Small"),IF(AND(Practices_SubPractices[CP]=3,Practices_SubPractices[Org]="Small"),SUMIFS(Practices_SubPractices[E],Practices_SubPractices[CP],"3",Practices_SubPractices[Org],"Small"),IF(AND(Practices_SubPractices[CP]=4,Practices_SubPractices[Org]="Small"),SUMIFS(Practices_SubPractices[E],Practices_SubPractices[CP],"4",Practices_SubPractices[Org],"Small"),IF(AND(Practices_SubPractices[CP]=5,Practices_SubPractices[Org]="Small"),SUMIFS(Practices_SubPractices[E],Practices_SubPractices[CP],"5",Practices_SubPractices[Org],"Small"),IF(AND(Practices_SubPractices[CP]=6,Practices_SubPractices[Org]="Small"),SUMIFS(Practices_SubPractices[E],Practices_SubPractices[CP],"6",Practices_SubPractices[Org],"Small"),IF(AND(Practices_SubPractices[CP]=7,Practices_SubPractices[Org] ="Small"),SUMIFS(Practices_SubPractices[E],Practices_SubPractices[CP],"7",Practices_SubPractices[Org],"Small"),IF(AND(Practices_SubPractices[CP]=8,Practices_SubPractices[Org] ="Small"),SUMIFS(Practices_SubPractices[E],Practices_SubPractices[CP],"8",Practices_SubPractices[Org],"Small"),IF(AND(Practices_SubPractices[CP]=9,Practices_SubPractices[Org] ="Small"),SUMIFS(Practices_SubPractices[E],Practices_SubPractices[CP],"9",Practices_SubPractices[Org],"Small"),IF(AND(Practices_SubPractices[CP]=10,Practices_SubPractices[Org] ="Small"),SUMIFS(Practices_SubPractices[E],Practices_SubPractices[CP],"10",Practices_SubPractices[Org],"Small"),IF(AND(Practices_SubPractices[CP]=1,Practices_SubPractices[Org]="Medium"),SUMIFS(Practices_SubPractices[E],Practices_SubPractices[CP],"1",Practices_SubPractices[Org],"Medium"),IF(AND(Practices_SubPractices[CP]=2,Practices_SubPractices[Org]="Medium"),SUMIFS(Practices_SubPractices[E],Practices_SubPractices[CP],"2",Practices_SubPractices[Org],"Medium"),IF(AND(Practices_SubPractices[CP]=3,Practices_SubPractices[Org]="Medium"),SUMIFS(Practices_SubPractices[E],Practices_SubPractices[CP],"3",Practices_SubPractices[Org],"Medium"),IF(AND(Practices_SubPractices[CP]=4,Practices_SubPractices[Org]="Medium"),SUMIFS(Practices_SubPractices[E],Practices_SubPractices[CP],"4",Practices_SubPractices[Org],"Medium"),IF(AND(Practices_SubPractices[CP]=5,Practices_SubPractices[Org]="Medium"),SUMIFS(Practices_SubPractices[E],Practices_SubPractices[CP],"5",Practices_SubPractices[Org],"Medium"),IF(AND(Practices_SubPractices[CP]=6,Practices_SubPractices[Org]="Medium"),SUMIFS(Practices_SubPractices[E],Practices_SubPractices[CP],"6",Practices_SubPractices[Org],"Medium"),IF(AND(Practices_SubPractices[CP]=7,Practices_SubPractices[Org] ="Medium"),SUMIFS(Practices_SubPractices[E],Practices_SubPractices[CP],"7",Practices_SubPractices[Org],"Medium"),IF(AND(Practices_SubPractices[CP]=8,Practices_SubPractices[Org] ="Medium"),SUMIFS(Practices_SubPractices[E],Practices_SubPractices[CP],"8",Practices_SubPractices[Org],"Medium"),IF(AND(Practices_SubPractices[CP]=9,Practices_SubPractices[Org] ="Medium"),SUMIFS(Practices_SubPractices[E],Practices_SubPractices[CP],"9",Practices_SubPractices[Org],"Medium"),IF(AND(Practices_SubPractices[CP]=10,Practices_SubPractices[Org] ="Medium"),SUMIFS(Practices_SubPractices[E],Practices_SubPractices[CP],"10",Practices_SubPractices[Org],"Medium"),IF(AND(Practices_SubPractices[CP]=1,Practices_SubPractices[Org]="Large"),SUMIFS(Practices_SubPractices[E],Practices_SubPractices[CP],"1",Practices_SubPractices[Org],"Large"),IF(AND(Practices_SubPractices[CP]=2,Practices_SubPractices[Org]="Large"),SUMIFS(Practices_SubPractices[E],Practices_SubPractices[CP],"2",Practices_SubPractices[Org],"Large"),IF(AND(Practices_SubPractices[CP]=3,Practices_SubPractices[Org]="Large"),SUMIFS(Practices_SubPractices[E],Practices_SubPractices[CP],"3",Practices_SubPractices[Org],"Large"),IF(AND(Practices_SubPractices[CP]=4,Practices_SubPractices[Org]="Large"),SUMIFS(Practices_SubPractices[E],Practices_SubPractices[CP],"4",Practices_SubPractices[Org],"Large"),IF(AND(Practices_SubPractices[CP]=5,Practices_SubPractices[Org]="Large"),SUMIFS(Practices_SubPractices[E],Practices_SubPractices[CP],"5",Practices_SubPractices[Org],"Large"),IF(AND(Practices_SubPractices[CP]=6,Practices_SubPractices[Org]="Large"),SUMIFS(Practices_SubPractices[E],Practices_SubPractices[CP],"6",Practices_SubPractices[Org],"Large"),IF(AND(Practices_SubPractices[CP]=7,Practices_SubPractices[Org] ="Large"),SUMIFS(Practices_SubPractices[E],Practices_SubPractices[CP],"7",Practices_SubPractices[Org],"Large"),IF(AND(Practices_SubPractices[CP]=8,Practices_SubPractices[Org] ="Large"),SUMIFS(Practices_SubPractices[E],Practices_SubPractices[CP],"8",Practices_SubPractices[Org],"Large"),IF(AND(Practices_SubPractices[CP]=9,Practices_SubPractices[Org] ="Large"),SUMIFS(Practices_SubPractices[E],Practices_SubPractices[CP],"9",Practices_SubPractices[Org],"Large"),IF(AND(Practices_SubPractices[CP]=10,Practices_SubPractices[Org] ="Large"),SUMIFS(Practices_SubPractices[E],Practices_SubPractices[CP],"10",Practices_SubPractices[Org],"Large"),"TBD"))))))))))))))))))))))))))))))</f>
        <v>1</v>
      </c>
      <c r="S102" s="87" t="s">
        <v>432</v>
      </c>
    </row>
    <row r="103" spans="1:19" x14ac:dyDescent="0.35">
      <c r="A103" s="73">
        <v>93</v>
      </c>
      <c r="B103" s="73">
        <v>1</v>
      </c>
      <c r="C103" s="80" t="s">
        <v>12</v>
      </c>
      <c r="D103" s="73" t="str">
        <f>Practices_SubPractices[[#This Row],[CP]]&amp;LEFT(Practices_SubPractices[[#This Row],[Org]],1)</f>
        <v>1L</v>
      </c>
      <c r="E103" s="73" t="s">
        <v>266</v>
      </c>
      <c r="F103" s="74" t="s">
        <v>62</v>
      </c>
      <c r="G103" s="74" t="s">
        <v>65</v>
      </c>
      <c r="H103" s="74" t="s">
        <v>199</v>
      </c>
      <c r="I103" s="75">
        <v>2</v>
      </c>
      <c r="J103" s="75">
        <v>1</v>
      </c>
      <c r="K103" s="75">
        <v>0</v>
      </c>
      <c r="L103" s="75">
        <v>0</v>
      </c>
      <c r="M103" s="75">
        <v>0</v>
      </c>
      <c r="N103" s="76"/>
      <c r="O103" s="77">
        <f>IF(AND(Practices_SubPractices[CP]=1,Practices_SubPractices[Org]="Small"),SUMIFS(Practices_SubPractices[B],Practices_SubPractices[CP],"1",Practices_SubPractices[Org],"Small"),IF(AND(Practices_SubPractices[CP]=2,Practices_SubPractices[Org]="Small"),SUMIFS(Practices_SubPractices[B],Practices_SubPractices[CP],"2",Practices_SubPractices[Org],"Small"),IF(AND(Practices_SubPractices[CP]=3,Practices_SubPractices[Org]="Small"),SUMIFS(Practices_SubPractices[B],Practices_SubPractices[CP],"3",Practices_SubPractices[Org],"Small"),IF(AND(Practices_SubPractices[CP]=4,Practices_SubPractices[Org]="Small"),SUMIFS(Practices_SubPractices[B],Practices_SubPractices[CP],"4",Practices_SubPractices[Org],"Small"),IF(AND(Practices_SubPractices[CP]=5,Practices_SubPractices[Org]="Small"),SUMIFS(Practices_SubPractices[B],Practices_SubPractices[CP],"5",Practices_SubPractices[Org],"Small"),IF(AND(Practices_SubPractices[CP]=6,Practices_SubPractices[Org]="Small"),SUMIFS(Practices_SubPractices[B],Practices_SubPractices[CP],"6",Practices_SubPractices[Org],"Small"),IF(AND(Practices_SubPractices[CP]=7,Practices_SubPractices[Org] ="Small"),SUMIFS(Practices_SubPractices[B],Practices_SubPractices[CP],"7",Practices_SubPractices[Org],"Small"),IF(AND(Practices_SubPractices[CP]=8,Practices_SubPractices[Org] ="Small"),SUMIFS(Practices_SubPractices[B],Practices_SubPractices[CP],"8",Practices_SubPractices[Org],"Small"),IF(AND(Practices_SubPractices[CP]=9,Practices_SubPractices[Org] ="Small"),SUMIFS(Practices_SubPractices[B],Practices_SubPractices[CP],"9",Practices_SubPractices[Org],"Small"),IF(AND(Practices_SubPractices[CP]=10,Practices_SubPractices[Org] ="Small"),SUMIFS(Practices_SubPractices[B],Practices_SubPractices[CP],"10",Practices_SubPractices[Org],"Small"),IF(AND(Practices_SubPractices[CP]=1,Practices_SubPractices[Org]="Medium"),SUMIFS(Practices_SubPractices[B],Practices_SubPractices[CP],"1",Practices_SubPractices[Org],"Medium"),IF(AND(Practices_SubPractices[CP]=2,Practices_SubPractices[Org]="Medium"),SUMIFS(Practices_SubPractices[B],Practices_SubPractices[CP],"2",Practices_SubPractices[Org],"Medium"),IF(AND(Practices_SubPractices[CP]=3,Practices_SubPractices[Org]="Medium"),SUMIFS(Practices_SubPractices[B],Practices_SubPractices[CP],"3",Practices_SubPractices[Org],"Medium"),IF(AND(Practices_SubPractices[CP]=4,Practices_SubPractices[Org]="Medium"),SUMIFS(Practices_SubPractices[B],Practices_SubPractices[CP],"4",Practices_SubPractices[Org],"Medium"),IF(AND(Practices_SubPractices[CP]=5,Practices_SubPractices[Org]="Medium"),SUMIFS(Practices_SubPractices[B],Practices_SubPractices[CP],"5",Practices_SubPractices[Org],"Medium"),IF(AND(Practices_SubPractices[CP]=6,Practices_SubPractices[Org]="Medium"),SUMIFS(Practices_SubPractices[B],Practices_SubPractices[CP],"6",Practices_SubPractices[Org],"Medium"),IF(AND(Practices_SubPractices[CP]=7,Practices_SubPractices[Org] ="Medium"),SUMIFS(Practices_SubPractices[B],Practices_SubPractices[CP],"7",Practices_SubPractices[Org],"Medium"),IF(AND(Practices_SubPractices[CP]=8,Practices_SubPractices[Org] ="Medium"),SUMIFS(Practices_SubPractices[B],Practices_SubPractices[CP],"8",Practices_SubPractices[Org],"Medium"),IF(AND(Practices_SubPractices[CP]=9,Practices_SubPractices[Org] ="Medium"),SUMIFS(Practices_SubPractices[B],Practices_SubPractices[CP],"9",Practices_SubPractices[Org],"Medium"),IF(AND(Practices_SubPractices[CP]=10,Practices_SubPractices[Org] ="Medium"),SUMIFS(Practices_SubPractices[B],Practices_SubPractices[CP],"10",Practices_SubPractices[Org],"Medium"),IF(AND(Practices_SubPractices[CP]=1,Practices_SubPractices[Org]="Large"),SUMIFS(Practices_SubPractices[B],Practices_SubPractices[CP],"1",Practices_SubPractices[Org],"Large"),IF(AND(Practices_SubPractices[CP]=2,Practices_SubPractices[Org]="Large"),SUMIFS(Practices_SubPractices[B],Practices_SubPractices[CP],"2",Practices_SubPractices[Org],"Large"),IF(AND(Practices_SubPractices[CP]=3,Practices_SubPractices[Org]="Large"),SUMIFS(Practices_SubPractices[B],Practices_SubPractices[CP],"3",Practices_SubPractices[Org],"Large"),IF(AND(Practices_SubPractices[CP]=4,Practices_SubPractices[Org]="Large"),SUMIFS(Practices_SubPractices[B],Practices_SubPractices[CP],"4",Practices_SubPractices[Org],"Large"),IF(AND(Practices_SubPractices[CP]=5,Practices_SubPractices[Org]="Large"),SUMIFS(Practices_SubPractices[B],Practices_SubPractices[CP],"5",Practices_SubPractices[Org],"Large"),IF(AND(Practices_SubPractices[CP]=6,Practices_SubPractices[Org]="Large"),SUMIFS(Practices_SubPractices[B],Practices_SubPractices[CP],"6",Practices_SubPractices[Org],"Large"),IF(AND(Practices_SubPractices[CP]=7,Practices_SubPractices[Org] ="Large"),SUMIFS(Practices_SubPractices[B],Practices_SubPractices[CP],"7",Practices_SubPractices[Org],"Large"),IF(AND(Practices_SubPractices[CP]=8,Practices_SubPractices[Org] ="Large"),SUMIFS(Practices_SubPractices[B],Practices_SubPractices[CP],"8",Practices_SubPractices[Org],"Large"),IF(AND(Practices_SubPractices[CP]=9,Practices_SubPractices[Org] ="Large"),SUMIFS(Practices_SubPractices[B],Practices_SubPractices[CP],"9",Practices_SubPractices[Org],"Large"),IF(AND(Practices_SubPractices[CP]=10,Practices_SubPractices[Org] ="Large"),SUMIFS(Practices_SubPractices[B],Practices_SubPractices[CP],"10",Practices_SubPractices[Org],"Large"),"TBD"))))))))))))))))))))))))))))))</f>
        <v>10</v>
      </c>
      <c r="P103" s="77">
        <f>IF(AND(Practices_SubPractices[CP]=1,Practices_SubPractices[Org]="Small"),SUMIFS(Practices_SubPractices[C],Practices_SubPractices[CP],"1",Practices_SubPractices[Org],"Small"),IF(AND(Practices_SubPractices[CP]=2,Practices_SubPractices[Org]="Small"),SUMIFS(Practices_SubPractices[C],Practices_SubPractices[CP],"2",Practices_SubPractices[Org],"Small"),IF(AND(Practices_SubPractices[CP]=3,Practices_SubPractices[Org]="Small"),SUMIFS(Practices_SubPractices[C],Practices_SubPractices[CP],"3",Practices_SubPractices[Org],"Small"),IF(AND(Practices_SubPractices[CP]=4,Practices_SubPractices[Org]="Small"),SUMIFS(Practices_SubPractices[C],Practices_SubPractices[CP],"4",Practices_SubPractices[Org],"Small"),IF(AND(Practices_SubPractices[CP]=5,Practices_SubPractices[Org]="Small"),SUMIFS(Practices_SubPractices[C],Practices_SubPractices[CP],"5",Practices_SubPractices[Org],"Small"),IF(AND(Practices_SubPractices[CP]=6,Practices_SubPractices[Org]="Small"),SUMIFS(Practices_SubPractices[C],Practices_SubPractices[CP],"6",Practices_SubPractices[Org],"Small"),IF(AND(Practices_SubPractices[CP]=7,Practices_SubPractices[Org] ="Small"),SUMIFS(Practices_SubPractices[C],Practices_SubPractices[CP],"7",Practices_SubPractices[Org],"Small"),IF(AND(Practices_SubPractices[CP]=8,Practices_SubPractices[Org] ="Small"),SUMIFS(Practices_SubPractices[C],Practices_SubPractices[CP],"8",Practices_SubPractices[Org],"Small"),IF(AND(Practices_SubPractices[CP]=9,Practices_SubPractices[Org] ="Small"),SUMIFS(Practices_SubPractices[C],Practices_SubPractices[CP],"9",Practices_SubPractices[Org],"Small"),IF(AND(Practices_SubPractices[CP]=10,Practices_SubPractices[Org] ="Small"),SUMIFS(Practices_SubPractices[C],Practices_SubPractices[CP],"10",Practices_SubPractices[Org],"Small"),IF(AND(Practices_SubPractices[CP]=1,Practices_SubPractices[Org]="Medium"),SUMIFS(Practices_SubPractices[C],Practices_SubPractices[CP],"1",Practices_SubPractices[Org],"Medium"),IF(AND(Practices_SubPractices[CP]=2,Practices_SubPractices[Org]="Medium"),SUMIFS(Practices_SubPractices[C],Practices_SubPractices[CP],"2",Practices_SubPractices[Org],"Medium"),IF(AND(Practices_SubPractices[CP]=3,Practices_SubPractices[Org]="Medium"),SUMIFS(Practices_SubPractices[C],Practices_SubPractices[CP],"3",Practices_SubPractices[Org],"Medium"),IF(AND(Practices_SubPractices[CP]=4,Practices_SubPractices[Org]="Medium"),SUMIFS(Practices_SubPractices[C],Practices_SubPractices[CP],"4",Practices_SubPractices[Org],"Medium"),IF(AND(Practices_SubPractices[CP]=5,Practices_SubPractices[Org]="Medium"),SUMIFS(Practices_SubPractices[C],Practices_SubPractices[CP],"5",Practices_SubPractices[Org],"Medium"),IF(AND(Practices_SubPractices[CP]=6,Practices_SubPractices[Org]="Medium"),SUMIFS(Practices_SubPractices[C],Practices_SubPractices[CP],"6",Practices_SubPractices[Org],"Medium"),IF(AND(Practices_SubPractices[CP]=7,Practices_SubPractices[Org] ="Medium"),SUMIFS(Practices_SubPractices[C],Practices_SubPractices[CP],"7",Practices_SubPractices[Org],"Medium"),IF(AND(Practices_SubPractices[CP]=8,Practices_SubPractices[Org] ="Medium"),SUMIFS(Practices_SubPractices[C],Practices_SubPractices[CP],"8",Practices_SubPractices[Org],"Medium"),IF(AND(Practices_SubPractices[CP]=9,Practices_SubPractices[Org] ="Medium"),SUMIFS(Practices_SubPractices[C],Practices_SubPractices[CP],"9",Practices_SubPractices[Org],"Medium"),IF(AND(Practices_SubPractices[CP]=10,Practices_SubPractices[Org] ="Medium"),SUMIFS(Practices_SubPractices[C],Practices_SubPractices[CP],"10",Practices_SubPractices[Org],"Medium"),IF(AND(Practices_SubPractices[CP]=1,Practices_SubPractices[Org]="Large"),SUMIFS(Practices_SubPractices[C],Practices_SubPractices[CP],"1",Practices_SubPractices[Org],"Large"),IF(AND(Practices_SubPractices[CP]=2,Practices_SubPractices[Org]="Large"),SUMIFS(Practices_SubPractices[C],Practices_SubPractices[CP],"2",Practices_SubPractices[Org],"Large"),IF(AND(Practices_SubPractices[CP]=3,Practices_SubPractices[Org]="Large"),SUMIFS(Practices_SubPractices[C],Practices_SubPractices[CP],"3",Practices_SubPractices[Org],"Large"),IF(AND(Practices_SubPractices[CP]=4,Practices_SubPractices[Org]="Large"),SUMIFS(Practices_SubPractices[C],Practices_SubPractices[CP],"4",Practices_SubPractices[Org],"Large"),IF(AND(Practices_SubPractices[CP]=5,Practices_SubPractices[Org]="Large"),SUMIFS(Practices_SubPractices[C],Practices_SubPractices[CP],"5",Practices_SubPractices[Org],"Large"),IF(AND(Practices_SubPractices[CP]=6,Practices_SubPractices[Org]="Large"),SUMIFS(Practices_SubPractices[C],Practices_SubPractices[CP],"6",Practices_SubPractices[Org],"Large"),IF(AND(Practices_SubPractices[CP]=7,Practices_SubPractices[Org] ="Large"),SUMIFS(Practices_SubPractices[C],Practices_SubPractices[CP],"7",Practices_SubPractices[Org],"Large"),IF(AND(Practices_SubPractices[CP]=8,Practices_SubPractices[Org] ="Large"),SUMIFS(Practices_SubPractices[C],Practices_SubPractices[CP],"8",Practices_SubPractices[Org],"Large"),IF(AND(Practices_SubPractices[CP]=9,Practices_SubPractices[Org] ="Large"),SUMIFS(Practices_SubPractices[C],Practices_SubPractices[CP],"9",Practices_SubPractices[Org],"Large"),IF(AND(Practices_SubPractices[CP]=10,Practices_SubPractices[Org] ="Large"),SUMIFS(Practices_SubPractices[C],Practices_SubPractices[CP],"10",Practices_SubPractices[Org],"Large"),"TBD"))))))))))))))))))))))))))))))</f>
        <v>4</v>
      </c>
      <c r="Q103" s="77">
        <f>IF(AND(Practices_SubPractices[CP]=1,Practices_SubPractices[Org]="Small"),SUMIFS(Practices_SubPractices[D],Practices_SubPractices[CP],"1",Practices_SubPractices[Org],"Small"),IF(AND(Practices_SubPractices[CP]=2,Practices_SubPractices[Org]="Small"),SUMIFS(Practices_SubPractices[D],Practices_SubPractices[CP],"2",Practices_SubPractices[Org],"Small"),IF(AND(Practices_SubPractices[CP]=3,Practices_SubPractices[Org]="Small"),SUMIFS(Practices_SubPractices[D],Practices_SubPractices[CP],"3",Practices_SubPractices[Org],"Small"),IF(AND(Practices_SubPractices[CP]=4,Practices_SubPractices[Org]="Small"),SUMIFS(Practices_SubPractices[D],Practices_SubPractices[CP],"4",Practices_SubPractices[Org],"Small"),IF(AND(Practices_SubPractices[CP]=5,Practices_SubPractices[Org]="Small"),SUMIFS(Practices_SubPractices[D],Practices_SubPractices[CP],"5",Practices_SubPractices[Org],"Small"),IF(AND(Practices_SubPractices[CP]=6,Practices_SubPractices[Org]="Small"),SUMIFS(Practices_SubPractices[D],Practices_SubPractices[CP],"6",Practices_SubPractices[Org],"Small"),IF(AND(Practices_SubPractices[CP]=7,Practices_SubPractices[Org] ="Small"),SUMIFS(Practices_SubPractices[D],Practices_SubPractices[CP],"7",Practices_SubPractices[Org],"Small"),IF(AND(Practices_SubPractices[CP]=8,Practices_SubPractices[Org] ="Small"),SUMIFS(Practices_SubPractices[D],Practices_SubPractices[CP],"8",Practices_SubPractices[Org],"Small"),IF(AND(Practices_SubPractices[CP]=9,Practices_SubPractices[Org] ="Small"),SUMIFS(Practices_SubPractices[D],Practices_SubPractices[CP],"9",Practices_SubPractices[Org],"Small"),IF(AND(Practices_SubPractices[CP]=10,Practices_SubPractices[Org] ="Small"),SUMIFS(Practices_SubPractices[D],Practices_SubPractices[CP],"10",Practices_SubPractices[Org],"Small"),IF(AND(Practices_SubPractices[CP]=1,Practices_SubPractices[Org]="Medium"),SUMIFS(Practices_SubPractices[D],Practices_SubPractices[CP],"1",Practices_SubPractices[Org],"Medium"),IF(AND(Practices_SubPractices[CP]=2,Practices_SubPractices[Org]="Medium"),SUMIFS(Practices_SubPractices[D],Practices_SubPractices[CP],"2",Practices_SubPractices[Org],"Medium"),IF(AND(Practices_SubPractices[CP]=3,Practices_SubPractices[Org]="Medium"),SUMIFS(Practices_SubPractices[D],Practices_SubPractices[CP],"3",Practices_SubPractices[Org],"Medium"),IF(AND(Practices_SubPractices[CP]=4,Practices_SubPractices[Org]="Medium"),SUMIFS(Practices_SubPractices[D],Practices_SubPractices[CP],"4",Practices_SubPractices[Org],"Medium"),IF(AND(Practices_SubPractices[CP]=5,Practices_SubPractices[Org]="Medium"),SUMIFS(Practices_SubPractices[D],Practices_SubPractices[CP],"5",Practices_SubPractices[Org],"Medium"),IF(AND(Practices_SubPractices[CP]=6,Practices_SubPractices[Org]="Medium"),SUMIFS(Practices_SubPractices[D],Practices_SubPractices[CP],"6",Practices_SubPractices[Org],"Medium"),IF(AND(Practices_SubPractices[CP]=7,Practices_SubPractices[Org] ="Medium"),SUMIFS(Practices_SubPractices[D],Practices_SubPractices[CP],"7",Practices_SubPractices[Org],"Medium"),IF(AND(Practices_SubPractices[CP]=8,Practices_SubPractices[Org] ="Medium"),SUMIFS(Practices_SubPractices[D],Practices_SubPractices[CP],"8",Practices_SubPractices[Org],"Medium"),IF(AND(Practices_SubPractices[CP]=9,Practices_SubPractices[Org] ="Medium"),SUMIFS(Practices_SubPractices[D],Practices_SubPractices[CP],"9",Practices_SubPractices[Org],"Medium"),IF(AND(Practices_SubPractices[CP]=10,Practices_SubPractices[Org] ="Medium"),SUMIFS(Practices_SubPractices[D],Practices_SubPractices[CP],"10",Practices_SubPractices[Org],"Medium"),IF(AND(Practices_SubPractices[CP]=1,Practices_SubPractices[Org]="Large"),SUMIFS(Practices_SubPractices[D],Practices_SubPractices[CP],"1",Practices_SubPractices[Org],"Large"),IF(AND(Practices_SubPractices[CP]=2,Practices_SubPractices[Org]="Large"),SUMIFS(Practices_SubPractices[D],Practices_SubPractices[CP],"2",Practices_SubPractices[Org],"Large"),IF(AND(Practices_SubPractices[CP]=3,Practices_SubPractices[Org]="Large"),SUMIFS(Practices_SubPractices[D],Practices_SubPractices[CP],"3",Practices_SubPractices[Org],"Large"),IF(AND(Practices_SubPractices[CP]=4,Practices_SubPractices[Org]="Large"),SUMIFS(Practices_SubPractices[D],Practices_SubPractices[CP],"4",Practices_SubPractices[Org],"Large"),IF(AND(Practices_SubPractices[CP]=5,Practices_SubPractices[Org]="Large"),SUMIFS(Practices_SubPractices[D],Practices_SubPractices[CP],"5",Practices_SubPractices[Org],"Large"),IF(AND(Practices_SubPractices[CP]=6,Practices_SubPractices[Org]="Large"),SUMIFS(Practices_SubPractices[D],Practices_SubPractices[CP],"6",Practices_SubPractices[Org],"Large"),IF(AND(Practices_SubPractices[CP]=7,Practices_SubPractices[Org] ="Large"),SUMIFS(Practices_SubPractices[D],Practices_SubPractices[CP],"7",Practices_SubPractices[Org],"Large"),IF(AND(Practices_SubPractices[CP]=8,Practices_SubPractices[Org] ="Large"),SUMIFS(Practices_SubPractices[D],Practices_SubPractices[CP],"8",Practices_SubPractices[Org],"Large"),IF(AND(Practices_SubPractices[CP]=9,Practices_SubPractices[Org] ="Large"),SUMIFS(Practices_SubPractices[D],Practices_SubPractices[CP],"9",Practices_SubPractices[Org],"Large"),IF(AND(Practices_SubPractices[CP]=10,Practices_SubPractices[Org] ="Large"),SUMIFS(Practices_SubPractices[D],Practices_SubPractices[CP],"10",Practices_SubPractices[Org],"Large"),"TBD"))))))))))))))))))))))))))))))</f>
        <v>7</v>
      </c>
      <c r="R103" s="77">
        <f>IF(AND(Practices_SubPractices[CP]=1,Practices_SubPractices[Org]="Small"),SUMIFS(Practices_SubPractices[E],Practices_SubPractices[CP],"1",Practices_SubPractices[Org],"Small"),IF(AND(Practices_SubPractices[CP]=2,Practices_SubPractices[Org]="Small"),SUMIFS(Practices_SubPractices[E],Practices_SubPractices[CP],"2",Practices_SubPractices[Org],"Small"),IF(AND(Practices_SubPractices[CP]=3,Practices_SubPractices[Org]="Small"),SUMIFS(Practices_SubPractices[E],Practices_SubPractices[CP],"3",Practices_SubPractices[Org],"Small"),IF(AND(Practices_SubPractices[CP]=4,Practices_SubPractices[Org]="Small"),SUMIFS(Practices_SubPractices[E],Practices_SubPractices[CP],"4",Practices_SubPractices[Org],"Small"),IF(AND(Practices_SubPractices[CP]=5,Practices_SubPractices[Org]="Small"),SUMIFS(Practices_SubPractices[E],Practices_SubPractices[CP],"5",Practices_SubPractices[Org],"Small"),IF(AND(Practices_SubPractices[CP]=6,Practices_SubPractices[Org]="Small"),SUMIFS(Practices_SubPractices[E],Practices_SubPractices[CP],"6",Practices_SubPractices[Org],"Small"),IF(AND(Practices_SubPractices[CP]=7,Practices_SubPractices[Org] ="Small"),SUMIFS(Practices_SubPractices[E],Practices_SubPractices[CP],"7",Practices_SubPractices[Org],"Small"),IF(AND(Practices_SubPractices[CP]=8,Practices_SubPractices[Org] ="Small"),SUMIFS(Practices_SubPractices[E],Practices_SubPractices[CP],"8",Practices_SubPractices[Org],"Small"),IF(AND(Practices_SubPractices[CP]=9,Practices_SubPractices[Org] ="Small"),SUMIFS(Practices_SubPractices[E],Practices_SubPractices[CP],"9",Practices_SubPractices[Org],"Small"),IF(AND(Practices_SubPractices[CP]=10,Practices_SubPractices[Org] ="Small"),SUMIFS(Practices_SubPractices[E],Practices_SubPractices[CP],"10",Practices_SubPractices[Org],"Small"),IF(AND(Practices_SubPractices[CP]=1,Practices_SubPractices[Org]="Medium"),SUMIFS(Practices_SubPractices[E],Practices_SubPractices[CP],"1",Practices_SubPractices[Org],"Medium"),IF(AND(Practices_SubPractices[CP]=2,Practices_SubPractices[Org]="Medium"),SUMIFS(Practices_SubPractices[E],Practices_SubPractices[CP],"2",Practices_SubPractices[Org],"Medium"),IF(AND(Practices_SubPractices[CP]=3,Practices_SubPractices[Org]="Medium"),SUMIFS(Practices_SubPractices[E],Practices_SubPractices[CP],"3",Practices_SubPractices[Org],"Medium"),IF(AND(Practices_SubPractices[CP]=4,Practices_SubPractices[Org]="Medium"),SUMIFS(Practices_SubPractices[E],Practices_SubPractices[CP],"4",Practices_SubPractices[Org],"Medium"),IF(AND(Practices_SubPractices[CP]=5,Practices_SubPractices[Org]="Medium"),SUMIFS(Practices_SubPractices[E],Practices_SubPractices[CP],"5",Practices_SubPractices[Org],"Medium"),IF(AND(Practices_SubPractices[CP]=6,Practices_SubPractices[Org]="Medium"),SUMIFS(Practices_SubPractices[E],Practices_SubPractices[CP],"6",Practices_SubPractices[Org],"Medium"),IF(AND(Practices_SubPractices[CP]=7,Practices_SubPractices[Org] ="Medium"),SUMIFS(Practices_SubPractices[E],Practices_SubPractices[CP],"7",Practices_SubPractices[Org],"Medium"),IF(AND(Practices_SubPractices[CP]=8,Practices_SubPractices[Org] ="Medium"),SUMIFS(Practices_SubPractices[E],Practices_SubPractices[CP],"8",Practices_SubPractices[Org],"Medium"),IF(AND(Practices_SubPractices[CP]=9,Practices_SubPractices[Org] ="Medium"),SUMIFS(Practices_SubPractices[E],Practices_SubPractices[CP],"9",Practices_SubPractices[Org],"Medium"),IF(AND(Practices_SubPractices[CP]=10,Practices_SubPractices[Org] ="Medium"),SUMIFS(Practices_SubPractices[E],Practices_SubPractices[CP],"10",Practices_SubPractices[Org],"Medium"),IF(AND(Practices_SubPractices[CP]=1,Practices_SubPractices[Org]="Large"),SUMIFS(Practices_SubPractices[E],Practices_SubPractices[CP],"1",Practices_SubPractices[Org],"Large"),IF(AND(Practices_SubPractices[CP]=2,Practices_SubPractices[Org]="Large"),SUMIFS(Practices_SubPractices[E],Practices_SubPractices[CP],"2",Practices_SubPractices[Org],"Large"),IF(AND(Practices_SubPractices[CP]=3,Practices_SubPractices[Org]="Large"),SUMIFS(Practices_SubPractices[E],Practices_SubPractices[CP],"3",Practices_SubPractices[Org],"Large"),IF(AND(Practices_SubPractices[CP]=4,Practices_SubPractices[Org]="Large"),SUMIFS(Practices_SubPractices[E],Practices_SubPractices[CP],"4",Practices_SubPractices[Org],"Large"),IF(AND(Practices_SubPractices[CP]=5,Practices_SubPractices[Org]="Large"),SUMIFS(Practices_SubPractices[E],Practices_SubPractices[CP],"5",Practices_SubPractices[Org],"Large"),IF(AND(Practices_SubPractices[CP]=6,Practices_SubPractices[Org]="Large"),SUMIFS(Practices_SubPractices[E],Practices_SubPractices[CP],"6",Practices_SubPractices[Org],"Large"),IF(AND(Practices_SubPractices[CP]=7,Practices_SubPractices[Org] ="Large"),SUMIFS(Practices_SubPractices[E],Practices_SubPractices[CP],"7",Practices_SubPractices[Org],"Large"),IF(AND(Practices_SubPractices[CP]=8,Practices_SubPractices[Org] ="Large"),SUMIFS(Practices_SubPractices[E],Practices_SubPractices[CP],"8",Practices_SubPractices[Org],"Large"),IF(AND(Practices_SubPractices[CP]=9,Practices_SubPractices[Org] ="Large"),SUMIFS(Practices_SubPractices[E],Practices_SubPractices[CP],"9",Practices_SubPractices[Org],"Large"),IF(AND(Practices_SubPractices[CP]=10,Practices_SubPractices[Org] ="Large"),SUMIFS(Practices_SubPractices[E],Practices_SubPractices[CP],"10",Practices_SubPractices[Org],"Large"),"TBD"))))))))))))))))))))))))))))))</f>
        <v>1</v>
      </c>
      <c r="S103" s="87" t="s">
        <v>433</v>
      </c>
    </row>
    <row r="104" spans="1:19" x14ac:dyDescent="0.35">
      <c r="A104" s="73">
        <v>94</v>
      </c>
      <c r="B104" s="73">
        <v>1</v>
      </c>
      <c r="C104" s="80" t="s">
        <v>12</v>
      </c>
      <c r="D104" s="73" t="str">
        <f>Practices_SubPractices[[#This Row],[CP]]&amp;LEFT(Practices_SubPractices[[#This Row],[Org]],1)</f>
        <v>1L</v>
      </c>
      <c r="E104" s="73" t="s">
        <v>267</v>
      </c>
      <c r="F104" s="74" t="s">
        <v>63</v>
      </c>
      <c r="G104" s="74" t="s">
        <v>66</v>
      </c>
      <c r="H104" s="74" t="s">
        <v>200</v>
      </c>
      <c r="I104" s="75">
        <v>2</v>
      </c>
      <c r="J104" s="75">
        <v>1</v>
      </c>
      <c r="K104" s="75">
        <v>0</v>
      </c>
      <c r="L104" s="75">
        <v>1</v>
      </c>
      <c r="M104" s="75">
        <v>0</v>
      </c>
      <c r="N104" s="76"/>
      <c r="O104" s="77">
        <f>IF(AND(Practices_SubPractices[CP]=1,Practices_SubPractices[Org]="Small"),SUMIFS(Practices_SubPractices[B],Practices_SubPractices[CP],"1",Practices_SubPractices[Org],"Small"),IF(AND(Practices_SubPractices[CP]=2,Practices_SubPractices[Org]="Small"),SUMIFS(Practices_SubPractices[B],Practices_SubPractices[CP],"2",Practices_SubPractices[Org],"Small"),IF(AND(Practices_SubPractices[CP]=3,Practices_SubPractices[Org]="Small"),SUMIFS(Practices_SubPractices[B],Practices_SubPractices[CP],"3",Practices_SubPractices[Org],"Small"),IF(AND(Practices_SubPractices[CP]=4,Practices_SubPractices[Org]="Small"),SUMIFS(Practices_SubPractices[B],Practices_SubPractices[CP],"4",Practices_SubPractices[Org],"Small"),IF(AND(Practices_SubPractices[CP]=5,Practices_SubPractices[Org]="Small"),SUMIFS(Practices_SubPractices[B],Practices_SubPractices[CP],"5",Practices_SubPractices[Org],"Small"),IF(AND(Practices_SubPractices[CP]=6,Practices_SubPractices[Org]="Small"),SUMIFS(Practices_SubPractices[B],Practices_SubPractices[CP],"6",Practices_SubPractices[Org],"Small"),IF(AND(Practices_SubPractices[CP]=7,Practices_SubPractices[Org] ="Small"),SUMIFS(Practices_SubPractices[B],Practices_SubPractices[CP],"7",Practices_SubPractices[Org],"Small"),IF(AND(Practices_SubPractices[CP]=8,Practices_SubPractices[Org] ="Small"),SUMIFS(Practices_SubPractices[B],Practices_SubPractices[CP],"8",Practices_SubPractices[Org],"Small"),IF(AND(Practices_SubPractices[CP]=9,Practices_SubPractices[Org] ="Small"),SUMIFS(Practices_SubPractices[B],Practices_SubPractices[CP],"9",Practices_SubPractices[Org],"Small"),IF(AND(Practices_SubPractices[CP]=10,Practices_SubPractices[Org] ="Small"),SUMIFS(Practices_SubPractices[B],Practices_SubPractices[CP],"10",Practices_SubPractices[Org],"Small"),IF(AND(Practices_SubPractices[CP]=1,Practices_SubPractices[Org]="Medium"),SUMIFS(Practices_SubPractices[B],Practices_SubPractices[CP],"1",Practices_SubPractices[Org],"Medium"),IF(AND(Practices_SubPractices[CP]=2,Practices_SubPractices[Org]="Medium"),SUMIFS(Practices_SubPractices[B],Practices_SubPractices[CP],"2",Practices_SubPractices[Org],"Medium"),IF(AND(Practices_SubPractices[CP]=3,Practices_SubPractices[Org]="Medium"),SUMIFS(Practices_SubPractices[B],Practices_SubPractices[CP],"3",Practices_SubPractices[Org],"Medium"),IF(AND(Practices_SubPractices[CP]=4,Practices_SubPractices[Org]="Medium"),SUMIFS(Practices_SubPractices[B],Practices_SubPractices[CP],"4",Practices_SubPractices[Org],"Medium"),IF(AND(Practices_SubPractices[CP]=5,Practices_SubPractices[Org]="Medium"),SUMIFS(Practices_SubPractices[B],Practices_SubPractices[CP],"5",Practices_SubPractices[Org],"Medium"),IF(AND(Practices_SubPractices[CP]=6,Practices_SubPractices[Org]="Medium"),SUMIFS(Practices_SubPractices[B],Practices_SubPractices[CP],"6",Practices_SubPractices[Org],"Medium"),IF(AND(Practices_SubPractices[CP]=7,Practices_SubPractices[Org] ="Medium"),SUMIFS(Practices_SubPractices[B],Practices_SubPractices[CP],"7",Practices_SubPractices[Org],"Medium"),IF(AND(Practices_SubPractices[CP]=8,Practices_SubPractices[Org] ="Medium"),SUMIFS(Practices_SubPractices[B],Practices_SubPractices[CP],"8",Practices_SubPractices[Org],"Medium"),IF(AND(Practices_SubPractices[CP]=9,Practices_SubPractices[Org] ="Medium"),SUMIFS(Practices_SubPractices[B],Practices_SubPractices[CP],"9",Practices_SubPractices[Org],"Medium"),IF(AND(Practices_SubPractices[CP]=10,Practices_SubPractices[Org] ="Medium"),SUMIFS(Practices_SubPractices[B],Practices_SubPractices[CP],"10",Practices_SubPractices[Org],"Medium"),IF(AND(Practices_SubPractices[CP]=1,Practices_SubPractices[Org]="Large"),SUMIFS(Practices_SubPractices[B],Practices_SubPractices[CP],"1",Practices_SubPractices[Org],"Large"),IF(AND(Practices_SubPractices[CP]=2,Practices_SubPractices[Org]="Large"),SUMIFS(Practices_SubPractices[B],Practices_SubPractices[CP],"2",Practices_SubPractices[Org],"Large"),IF(AND(Practices_SubPractices[CP]=3,Practices_SubPractices[Org]="Large"),SUMIFS(Practices_SubPractices[B],Practices_SubPractices[CP],"3",Practices_SubPractices[Org],"Large"),IF(AND(Practices_SubPractices[CP]=4,Practices_SubPractices[Org]="Large"),SUMIFS(Practices_SubPractices[B],Practices_SubPractices[CP],"4",Practices_SubPractices[Org],"Large"),IF(AND(Practices_SubPractices[CP]=5,Practices_SubPractices[Org]="Large"),SUMIFS(Practices_SubPractices[B],Practices_SubPractices[CP],"5",Practices_SubPractices[Org],"Large"),IF(AND(Practices_SubPractices[CP]=6,Practices_SubPractices[Org]="Large"),SUMIFS(Practices_SubPractices[B],Practices_SubPractices[CP],"6",Practices_SubPractices[Org],"Large"),IF(AND(Practices_SubPractices[CP]=7,Practices_SubPractices[Org] ="Large"),SUMIFS(Practices_SubPractices[B],Practices_SubPractices[CP],"7",Practices_SubPractices[Org],"Large"),IF(AND(Practices_SubPractices[CP]=8,Practices_SubPractices[Org] ="Large"),SUMIFS(Practices_SubPractices[B],Practices_SubPractices[CP],"8",Practices_SubPractices[Org],"Large"),IF(AND(Practices_SubPractices[CP]=9,Practices_SubPractices[Org] ="Large"),SUMIFS(Practices_SubPractices[B],Practices_SubPractices[CP],"9",Practices_SubPractices[Org],"Large"),IF(AND(Practices_SubPractices[CP]=10,Practices_SubPractices[Org] ="Large"),SUMIFS(Practices_SubPractices[B],Practices_SubPractices[CP],"10",Practices_SubPractices[Org],"Large"),"TBD"))))))))))))))))))))))))))))))</f>
        <v>10</v>
      </c>
      <c r="P104" s="77">
        <f>IF(AND(Practices_SubPractices[CP]=1,Practices_SubPractices[Org]="Small"),SUMIFS(Practices_SubPractices[C],Practices_SubPractices[CP],"1",Practices_SubPractices[Org],"Small"),IF(AND(Practices_SubPractices[CP]=2,Practices_SubPractices[Org]="Small"),SUMIFS(Practices_SubPractices[C],Practices_SubPractices[CP],"2",Practices_SubPractices[Org],"Small"),IF(AND(Practices_SubPractices[CP]=3,Practices_SubPractices[Org]="Small"),SUMIFS(Practices_SubPractices[C],Practices_SubPractices[CP],"3",Practices_SubPractices[Org],"Small"),IF(AND(Practices_SubPractices[CP]=4,Practices_SubPractices[Org]="Small"),SUMIFS(Practices_SubPractices[C],Practices_SubPractices[CP],"4",Practices_SubPractices[Org],"Small"),IF(AND(Practices_SubPractices[CP]=5,Practices_SubPractices[Org]="Small"),SUMIFS(Practices_SubPractices[C],Practices_SubPractices[CP],"5",Practices_SubPractices[Org],"Small"),IF(AND(Practices_SubPractices[CP]=6,Practices_SubPractices[Org]="Small"),SUMIFS(Practices_SubPractices[C],Practices_SubPractices[CP],"6",Practices_SubPractices[Org],"Small"),IF(AND(Practices_SubPractices[CP]=7,Practices_SubPractices[Org] ="Small"),SUMIFS(Practices_SubPractices[C],Practices_SubPractices[CP],"7",Practices_SubPractices[Org],"Small"),IF(AND(Practices_SubPractices[CP]=8,Practices_SubPractices[Org] ="Small"),SUMIFS(Practices_SubPractices[C],Practices_SubPractices[CP],"8",Practices_SubPractices[Org],"Small"),IF(AND(Practices_SubPractices[CP]=9,Practices_SubPractices[Org] ="Small"),SUMIFS(Practices_SubPractices[C],Practices_SubPractices[CP],"9",Practices_SubPractices[Org],"Small"),IF(AND(Practices_SubPractices[CP]=10,Practices_SubPractices[Org] ="Small"),SUMIFS(Practices_SubPractices[C],Practices_SubPractices[CP],"10",Practices_SubPractices[Org],"Small"),IF(AND(Practices_SubPractices[CP]=1,Practices_SubPractices[Org]="Medium"),SUMIFS(Practices_SubPractices[C],Practices_SubPractices[CP],"1",Practices_SubPractices[Org],"Medium"),IF(AND(Practices_SubPractices[CP]=2,Practices_SubPractices[Org]="Medium"),SUMIFS(Practices_SubPractices[C],Practices_SubPractices[CP],"2",Practices_SubPractices[Org],"Medium"),IF(AND(Practices_SubPractices[CP]=3,Practices_SubPractices[Org]="Medium"),SUMIFS(Practices_SubPractices[C],Practices_SubPractices[CP],"3",Practices_SubPractices[Org],"Medium"),IF(AND(Practices_SubPractices[CP]=4,Practices_SubPractices[Org]="Medium"),SUMIFS(Practices_SubPractices[C],Practices_SubPractices[CP],"4",Practices_SubPractices[Org],"Medium"),IF(AND(Practices_SubPractices[CP]=5,Practices_SubPractices[Org]="Medium"),SUMIFS(Practices_SubPractices[C],Practices_SubPractices[CP],"5",Practices_SubPractices[Org],"Medium"),IF(AND(Practices_SubPractices[CP]=6,Practices_SubPractices[Org]="Medium"),SUMIFS(Practices_SubPractices[C],Practices_SubPractices[CP],"6",Practices_SubPractices[Org],"Medium"),IF(AND(Practices_SubPractices[CP]=7,Practices_SubPractices[Org] ="Medium"),SUMIFS(Practices_SubPractices[C],Practices_SubPractices[CP],"7",Practices_SubPractices[Org],"Medium"),IF(AND(Practices_SubPractices[CP]=8,Practices_SubPractices[Org] ="Medium"),SUMIFS(Practices_SubPractices[C],Practices_SubPractices[CP],"8",Practices_SubPractices[Org],"Medium"),IF(AND(Practices_SubPractices[CP]=9,Practices_SubPractices[Org] ="Medium"),SUMIFS(Practices_SubPractices[C],Practices_SubPractices[CP],"9",Practices_SubPractices[Org],"Medium"),IF(AND(Practices_SubPractices[CP]=10,Practices_SubPractices[Org] ="Medium"),SUMIFS(Practices_SubPractices[C],Practices_SubPractices[CP],"10",Practices_SubPractices[Org],"Medium"),IF(AND(Practices_SubPractices[CP]=1,Practices_SubPractices[Org]="Large"),SUMIFS(Practices_SubPractices[C],Practices_SubPractices[CP],"1",Practices_SubPractices[Org],"Large"),IF(AND(Practices_SubPractices[CP]=2,Practices_SubPractices[Org]="Large"),SUMIFS(Practices_SubPractices[C],Practices_SubPractices[CP],"2",Practices_SubPractices[Org],"Large"),IF(AND(Practices_SubPractices[CP]=3,Practices_SubPractices[Org]="Large"),SUMIFS(Practices_SubPractices[C],Practices_SubPractices[CP],"3",Practices_SubPractices[Org],"Large"),IF(AND(Practices_SubPractices[CP]=4,Practices_SubPractices[Org]="Large"),SUMIFS(Practices_SubPractices[C],Practices_SubPractices[CP],"4",Practices_SubPractices[Org],"Large"),IF(AND(Practices_SubPractices[CP]=5,Practices_SubPractices[Org]="Large"),SUMIFS(Practices_SubPractices[C],Practices_SubPractices[CP],"5",Practices_SubPractices[Org],"Large"),IF(AND(Practices_SubPractices[CP]=6,Practices_SubPractices[Org]="Large"),SUMIFS(Practices_SubPractices[C],Practices_SubPractices[CP],"6",Practices_SubPractices[Org],"Large"),IF(AND(Practices_SubPractices[CP]=7,Practices_SubPractices[Org] ="Large"),SUMIFS(Practices_SubPractices[C],Practices_SubPractices[CP],"7",Practices_SubPractices[Org],"Large"),IF(AND(Practices_SubPractices[CP]=8,Practices_SubPractices[Org] ="Large"),SUMIFS(Practices_SubPractices[C],Practices_SubPractices[CP],"8",Practices_SubPractices[Org],"Large"),IF(AND(Practices_SubPractices[CP]=9,Practices_SubPractices[Org] ="Large"),SUMIFS(Practices_SubPractices[C],Practices_SubPractices[CP],"9",Practices_SubPractices[Org],"Large"),IF(AND(Practices_SubPractices[CP]=10,Practices_SubPractices[Org] ="Large"),SUMIFS(Practices_SubPractices[C],Practices_SubPractices[CP],"10",Practices_SubPractices[Org],"Large"),"TBD"))))))))))))))))))))))))))))))</f>
        <v>4</v>
      </c>
      <c r="Q104" s="77">
        <f>IF(AND(Practices_SubPractices[CP]=1,Practices_SubPractices[Org]="Small"),SUMIFS(Practices_SubPractices[D],Practices_SubPractices[CP],"1",Practices_SubPractices[Org],"Small"),IF(AND(Practices_SubPractices[CP]=2,Practices_SubPractices[Org]="Small"),SUMIFS(Practices_SubPractices[D],Practices_SubPractices[CP],"2",Practices_SubPractices[Org],"Small"),IF(AND(Practices_SubPractices[CP]=3,Practices_SubPractices[Org]="Small"),SUMIFS(Practices_SubPractices[D],Practices_SubPractices[CP],"3",Practices_SubPractices[Org],"Small"),IF(AND(Practices_SubPractices[CP]=4,Practices_SubPractices[Org]="Small"),SUMIFS(Practices_SubPractices[D],Practices_SubPractices[CP],"4",Practices_SubPractices[Org],"Small"),IF(AND(Practices_SubPractices[CP]=5,Practices_SubPractices[Org]="Small"),SUMIFS(Practices_SubPractices[D],Practices_SubPractices[CP],"5",Practices_SubPractices[Org],"Small"),IF(AND(Practices_SubPractices[CP]=6,Practices_SubPractices[Org]="Small"),SUMIFS(Practices_SubPractices[D],Practices_SubPractices[CP],"6",Practices_SubPractices[Org],"Small"),IF(AND(Practices_SubPractices[CP]=7,Practices_SubPractices[Org] ="Small"),SUMIFS(Practices_SubPractices[D],Practices_SubPractices[CP],"7",Practices_SubPractices[Org],"Small"),IF(AND(Practices_SubPractices[CP]=8,Practices_SubPractices[Org] ="Small"),SUMIFS(Practices_SubPractices[D],Practices_SubPractices[CP],"8",Practices_SubPractices[Org],"Small"),IF(AND(Practices_SubPractices[CP]=9,Practices_SubPractices[Org] ="Small"),SUMIFS(Practices_SubPractices[D],Practices_SubPractices[CP],"9",Practices_SubPractices[Org],"Small"),IF(AND(Practices_SubPractices[CP]=10,Practices_SubPractices[Org] ="Small"),SUMIFS(Practices_SubPractices[D],Practices_SubPractices[CP],"10",Practices_SubPractices[Org],"Small"),IF(AND(Practices_SubPractices[CP]=1,Practices_SubPractices[Org]="Medium"),SUMIFS(Practices_SubPractices[D],Practices_SubPractices[CP],"1",Practices_SubPractices[Org],"Medium"),IF(AND(Practices_SubPractices[CP]=2,Practices_SubPractices[Org]="Medium"),SUMIFS(Practices_SubPractices[D],Practices_SubPractices[CP],"2",Practices_SubPractices[Org],"Medium"),IF(AND(Practices_SubPractices[CP]=3,Practices_SubPractices[Org]="Medium"),SUMIFS(Practices_SubPractices[D],Practices_SubPractices[CP],"3",Practices_SubPractices[Org],"Medium"),IF(AND(Practices_SubPractices[CP]=4,Practices_SubPractices[Org]="Medium"),SUMIFS(Practices_SubPractices[D],Practices_SubPractices[CP],"4",Practices_SubPractices[Org],"Medium"),IF(AND(Practices_SubPractices[CP]=5,Practices_SubPractices[Org]="Medium"),SUMIFS(Practices_SubPractices[D],Practices_SubPractices[CP],"5",Practices_SubPractices[Org],"Medium"),IF(AND(Practices_SubPractices[CP]=6,Practices_SubPractices[Org]="Medium"),SUMIFS(Practices_SubPractices[D],Practices_SubPractices[CP],"6",Practices_SubPractices[Org],"Medium"),IF(AND(Practices_SubPractices[CP]=7,Practices_SubPractices[Org] ="Medium"),SUMIFS(Practices_SubPractices[D],Practices_SubPractices[CP],"7",Practices_SubPractices[Org],"Medium"),IF(AND(Practices_SubPractices[CP]=8,Practices_SubPractices[Org] ="Medium"),SUMIFS(Practices_SubPractices[D],Practices_SubPractices[CP],"8",Practices_SubPractices[Org],"Medium"),IF(AND(Practices_SubPractices[CP]=9,Practices_SubPractices[Org] ="Medium"),SUMIFS(Practices_SubPractices[D],Practices_SubPractices[CP],"9",Practices_SubPractices[Org],"Medium"),IF(AND(Practices_SubPractices[CP]=10,Practices_SubPractices[Org] ="Medium"),SUMIFS(Practices_SubPractices[D],Practices_SubPractices[CP],"10",Practices_SubPractices[Org],"Medium"),IF(AND(Practices_SubPractices[CP]=1,Practices_SubPractices[Org]="Large"),SUMIFS(Practices_SubPractices[D],Practices_SubPractices[CP],"1",Practices_SubPractices[Org],"Large"),IF(AND(Practices_SubPractices[CP]=2,Practices_SubPractices[Org]="Large"),SUMIFS(Practices_SubPractices[D],Practices_SubPractices[CP],"2",Practices_SubPractices[Org],"Large"),IF(AND(Practices_SubPractices[CP]=3,Practices_SubPractices[Org]="Large"),SUMIFS(Practices_SubPractices[D],Practices_SubPractices[CP],"3",Practices_SubPractices[Org],"Large"),IF(AND(Practices_SubPractices[CP]=4,Practices_SubPractices[Org]="Large"),SUMIFS(Practices_SubPractices[D],Practices_SubPractices[CP],"4",Practices_SubPractices[Org],"Large"),IF(AND(Practices_SubPractices[CP]=5,Practices_SubPractices[Org]="Large"),SUMIFS(Practices_SubPractices[D],Practices_SubPractices[CP],"5",Practices_SubPractices[Org],"Large"),IF(AND(Practices_SubPractices[CP]=6,Practices_SubPractices[Org]="Large"),SUMIFS(Practices_SubPractices[D],Practices_SubPractices[CP],"6",Practices_SubPractices[Org],"Large"),IF(AND(Practices_SubPractices[CP]=7,Practices_SubPractices[Org] ="Large"),SUMIFS(Practices_SubPractices[D],Practices_SubPractices[CP],"7",Practices_SubPractices[Org],"Large"),IF(AND(Practices_SubPractices[CP]=8,Practices_SubPractices[Org] ="Large"),SUMIFS(Practices_SubPractices[D],Practices_SubPractices[CP],"8",Practices_SubPractices[Org],"Large"),IF(AND(Practices_SubPractices[CP]=9,Practices_SubPractices[Org] ="Large"),SUMIFS(Practices_SubPractices[D],Practices_SubPractices[CP],"9",Practices_SubPractices[Org],"Large"),IF(AND(Practices_SubPractices[CP]=10,Practices_SubPractices[Org] ="Large"),SUMIFS(Practices_SubPractices[D],Practices_SubPractices[CP],"10",Practices_SubPractices[Org],"Large"),"TBD"))))))))))))))))))))))))))))))</f>
        <v>7</v>
      </c>
      <c r="R104" s="77">
        <f>IF(AND(Practices_SubPractices[CP]=1,Practices_SubPractices[Org]="Small"),SUMIFS(Practices_SubPractices[E],Practices_SubPractices[CP],"1",Practices_SubPractices[Org],"Small"),IF(AND(Practices_SubPractices[CP]=2,Practices_SubPractices[Org]="Small"),SUMIFS(Practices_SubPractices[E],Practices_SubPractices[CP],"2",Practices_SubPractices[Org],"Small"),IF(AND(Practices_SubPractices[CP]=3,Practices_SubPractices[Org]="Small"),SUMIFS(Practices_SubPractices[E],Practices_SubPractices[CP],"3",Practices_SubPractices[Org],"Small"),IF(AND(Practices_SubPractices[CP]=4,Practices_SubPractices[Org]="Small"),SUMIFS(Practices_SubPractices[E],Practices_SubPractices[CP],"4",Practices_SubPractices[Org],"Small"),IF(AND(Practices_SubPractices[CP]=5,Practices_SubPractices[Org]="Small"),SUMIFS(Practices_SubPractices[E],Practices_SubPractices[CP],"5",Practices_SubPractices[Org],"Small"),IF(AND(Practices_SubPractices[CP]=6,Practices_SubPractices[Org]="Small"),SUMIFS(Practices_SubPractices[E],Practices_SubPractices[CP],"6",Practices_SubPractices[Org],"Small"),IF(AND(Practices_SubPractices[CP]=7,Practices_SubPractices[Org] ="Small"),SUMIFS(Practices_SubPractices[E],Practices_SubPractices[CP],"7",Practices_SubPractices[Org],"Small"),IF(AND(Practices_SubPractices[CP]=8,Practices_SubPractices[Org] ="Small"),SUMIFS(Practices_SubPractices[E],Practices_SubPractices[CP],"8",Practices_SubPractices[Org],"Small"),IF(AND(Practices_SubPractices[CP]=9,Practices_SubPractices[Org] ="Small"),SUMIFS(Practices_SubPractices[E],Practices_SubPractices[CP],"9",Practices_SubPractices[Org],"Small"),IF(AND(Practices_SubPractices[CP]=10,Practices_SubPractices[Org] ="Small"),SUMIFS(Practices_SubPractices[E],Practices_SubPractices[CP],"10",Practices_SubPractices[Org],"Small"),IF(AND(Practices_SubPractices[CP]=1,Practices_SubPractices[Org]="Medium"),SUMIFS(Practices_SubPractices[E],Practices_SubPractices[CP],"1",Practices_SubPractices[Org],"Medium"),IF(AND(Practices_SubPractices[CP]=2,Practices_SubPractices[Org]="Medium"),SUMIFS(Practices_SubPractices[E],Practices_SubPractices[CP],"2",Practices_SubPractices[Org],"Medium"),IF(AND(Practices_SubPractices[CP]=3,Practices_SubPractices[Org]="Medium"),SUMIFS(Practices_SubPractices[E],Practices_SubPractices[CP],"3",Practices_SubPractices[Org],"Medium"),IF(AND(Practices_SubPractices[CP]=4,Practices_SubPractices[Org]="Medium"),SUMIFS(Practices_SubPractices[E],Practices_SubPractices[CP],"4",Practices_SubPractices[Org],"Medium"),IF(AND(Practices_SubPractices[CP]=5,Practices_SubPractices[Org]="Medium"),SUMIFS(Practices_SubPractices[E],Practices_SubPractices[CP],"5",Practices_SubPractices[Org],"Medium"),IF(AND(Practices_SubPractices[CP]=6,Practices_SubPractices[Org]="Medium"),SUMIFS(Practices_SubPractices[E],Practices_SubPractices[CP],"6",Practices_SubPractices[Org],"Medium"),IF(AND(Practices_SubPractices[CP]=7,Practices_SubPractices[Org] ="Medium"),SUMIFS(Practices_SubPractices[E],Practices_SubPractices[CP],"7",Practices_SubPractices[Org],"Medium"),IF(AND(Practices_SubPractices[CP]=8,Practices_SubPractices[Org] ="Medium"),SUMIFS(Practices_SubPractices[E],Practices_SubPractices[CP],"8",Practices_SubPractices[Org],"Medium"),IF(AND(Practices_SubPractices[CP]=9,Practices_SubPractices[Org] ="Medium"),SUMIFS(Practices_SubPractices[E],Practices_SubPractices[CP],"9",Practices_SubPractices[Org],"Medium"),IF(AND(Practices_SubPractices[CP]=10,Practices_SubPractices[Org] ="Medium"),SUMIFS(Practices_SubPractices[E],Practices_SubPractices[CP],"10",Practices_SubPractices[Org],"Medium"),IF(AND(Practices_SubPractices[CP]=1,Practices_SubPractices[Org]="Large"),SUMIFS(Practices_SubPractices[E],Practices_SubPractices[CP],"1",Practices_SubPractices[Org],"Large"),IF(AND(Practices_SubPractices[CP]=2,Practices_SubPractices[Org]="Large"),SUMIFS(Practices_SubPractices[E],Practices_SubPractices[CP],"2",Practices_SubPractices[Org],"Large"),IF(AND(Practices_SubPractices[CP]=3,Practices_SubPractices[Org]="Large"),SUMIFS(Practices_SubPractices[E],Practices_SubPractices[CP],"3",Practices_SubPractices[Org],"Large"),IF(AND(Practices_SubPractices[CP]=4,Practices_SubPractices[Org]="Large"),SUMIFS(Practices_SubPractices[E],Practices_SubPractices[CP],"4",Practices_SubPractices[Org],"Large"),IF(AND(Practices_SubPractices[CP]=5,Practices_SubPractices[Org]="Large"),SUMIFS(Practices_SubPractices[E],Practices_SubPractices[CP],"5",Practices_SubPractices[Org],"Large"),IF(AND(Practices_SubPractices[CP]=6,Practices_SubPractices[Org]="Large"),SUMIFS(Practices_SubPractices[E],Practices_SubPractices[CP],"6",Practices_SubPractices[Org],"Large"),IF(AND(Practices_SubPractices[CP]=7,Practices_SubPractices[Org] ="Large"),SUMIFS(Practices_SubPractices[E],Practices_SubPractices[CP],"7",Practices_SubPractices[Org],"Large"),IF(AND(Practices_SubPractices[CP]=8,Practices_SubPractices[Org] ="Large"),SUMIFS(Practices_SubPractices[E],Practices_SubPractices[CP],"8",Practices_SubPractices[Org],"Large"),IF(AND(Practices_SubPractices[CP]=9,Practices_SubPractices[Org] ="Large"),SUMIFS(Practices_SubPractices[E],Practices_SubPractices[CP],"9",Practices_SubPractices[Org],"Large"),IF(AND(Practices_SubPractices[CP]=10,Practices_SubPractices[Org] ="Large"),SUMIFS(Practices_SubPractices[E],Practices_SubPractices[CP],"10",Practices_SubPractices[Org],"Large"),"TBD"))))))))))))))))))))))))))))))</f>
        <v>1</v>
      </c>
      <c r="S104" s="87" t="s">
        <v>388</v>
      </c>
    </row>
    <row r="105" spans="1:19" x14ac:dyDescent="0.35">
      <c r="A105" s="73">
        <v>95</v>
      </c>
      <c r="B105" s="73">
        <v>2</v>
      </c>
      <c r="C105" s="80" t="s">
        <v>12</v>
      </c>
      <c r="D105" s="73" t="str">
        <f>Practices_SubPractices[[#This Row],[CP]]&amp;LEFT(Practices_SubPractices[[#This Row],[Org]],1)</f>
        <v>2L</v>
      </c>
      <c r="E105" s="73" t="s">
        <v>265</v>
      </c>
      <c r="F105" s="74" t="s">
        <v>68</v>
      </c>
      <c r="G105" s="74" t="s">
        <v>74</v>
      </c>
      <c r="H105" s="74" t="s">
        <v>201</v>
      </c>
      <c r="I105" s="75">
        <v>0</v>
      </c>
      <c r="J105" s="75">
        <v>2</v>
      </c>
      <c r="K105" s="75">
        <v>2</v>
      </c>
      <c r="L105" s="75">
        <v>1</v>
      </c>
      <c r="M105" s="75">
        <v>0</v>
      </c>
      <c r="N105" s="76"/>
      <c r="O105" s="77">
        <f>IF(AND(Practices_SubPractices[CP]=1,Practices_SubPractices[Org]="Small"),SUMIFS(Practices_SubPractices[B],Practices_SubPractices[CP],"1",Practices_SubPractices[Org],"Small"),IF(AND(Practices_SubPractices[CP]=2,Practices_SubPractices[Org]="Small"),SUMIFS(Practices_SubPractices[B],Practices_SubPractices[CP],"2",Practices_SubPractices[Org],"Small"),IF(AND(Practices_SubPractices[CP]=3,Practices_SubPractices[Org]="Small"),SUMIFS(Practices_SubPractices[B],Practices_SubPractices[CP],"3",Practices_SubPractices[Org],"Small"),IF(AND(Practices_SubPractices[CP]=4,Practices_SubPractices[Org]="Small"),SUMIFS(Practices_SubPractices[B],Practices_SubPractices[CP],"4",Practices_SubPractices[Org],"Small"),IF(AND(Practices_SubPractices[CP]=5,Practices_SubPractices[Org]="Small"),SUMIFS(Practices_SubPractices[B],Practices_SubPractices[CP],"5",Practices_SubPractices[Org],"Small"),IF(AND(Practices_SubPractices[CP]=6,Practices_SubPractices[Org]="Small"),SUMIFS(Practices_SubPractices[B],Practices_SubPractices[CP],"6",Practices_SubPractices[Org],"Small"),IF(AND(Practices_SubPractices[CP]=7,Practices_SubPractices[Org] ="Small"),SUMIFS(Practices_SubPractices[B],Practices_SubPractices[CP],"7",Practices_SubPractices[Org],"Small"),IF(AND(Practices_SubPractices[CP]=8,Practices_SubPractices[Org] ="Small"),SUMIFS(Practices_SubPractices[B],Practices_SubPractices[CP],"8",Practices_SubPractices[Org],"Small"),IF(AND(Practices_SubPractices[CP]=9,Practices_SubPractices[Org] ="Small"),SUMIFS(Practices_SubPractices[B],Practices_SubPractices[CP],"9",Practices_SubPractices[Org],"Small"),IF(AND(Practices_SubPractices[CP]=10,Practices_SubPractices[Org] ="Small"),SUMIFS(Practices_SubPractices[B],Practices_SubPractices[CP],"10",Practices_SubPractices[Org],"Small"),IF(AND(Practices_SubPractices[CP]=1,Practices_SubPractices[Org]="Medium"),SUMIFS(Practices_SubPractices[B],Practices_SubPractices[CP],"1",Practices_SubPractices[Org],"Medium"),IF(AND(Practices_SubPractices[CP]=2,Practices_SubPractices[Org]="Medium"),SUMIFS(Practices_SubPractices[B],Practices_SubPractices[CP],"2",Practices_SubPractices[Org],"Medium"),IF(AND(Practices_SubPractices[CP]=3,Practices_SubPractices[Org]="Medium"),SUMIFS(Practices_SubPractices[B],Practices_SubPractices[CP],"3",Practices_SubPractices[Org],"Medium"),IF(AND(Practices_SubPractices[CP]=4,Practices_SubPractices[Org]="Medium"),SUMIFS(Practices_SubPractices[B],Practices_SubPractices[CP],"4",Practices_SubPractices[Org],"Medium"),IF(AND(Practices_SubPractices[CP]=5,Practices_SubPractices[Org]="Medium"),SUMIFS(Practices_SubPractices[B],Practices_SubPractices[CP],"5",Practices_SubPractices[Org],"Medium"),IF(AND(Practices_SubPractices[CP]=6,Practices_SubPractices[Org]="Medium"),SUMIFS(Practices_SubPractices[B],Practices_SubPractices[CP],"6",Practices_SubPractices[Org],"Medium"),IF(AND(Practices_SubPractices[CP]=7,Practices_SubPractices[Org] ="Medium"),SUMIFS(Practices_SubPractices[B],Practices_SubPractices[CP],"7",Practices_SubPractices[Org],"Medium"),IF(AND(Practices_SubPractices[CP]=8,Practices_SubPractices[Org] ="Medium"),SUMIFS(Practices_SubPractices[B],Practices_SubPractices[CP],"8",Practices_SubPractices[Org],"Medium"),IF(AND(Practices_SubPractices[CP]=9,Practices_SubPractices[Org] ="Medium"),SUMIFS(Practices_SubPractices[B],Practices_SubPractices[CP],"9",Practices_SubPractices[Org],"Medium"),IF(AND(Practices_SubPractices[CP]=10,Practices_SubPractices[Org] ="Medium"),SUMIFS(Practices_SubPractices[B],Practices_SubPractices[CP],"10",Practices_SubPractices[Org],"Medium"),IF(AND(Practices_SubPractices[CP]=1,Practices_SubPractices[Org]="Large"),SUMIFS(Practices_SubPractices[B],Practices_SubPractices[CP],"1",Practices_SubPractices[Org],"Large"),IF(AND(Practices_SubPractices[CP]=2,Practices_SubPractices[Org]="Large"),SUMIFS(Practices_SubPractices[B],Practices_SubPractices[CP],"2",Practices_SubPractices[Org],"Large"),IF(AND(Practices_SubPractices[CP]=3,Practices_SubPractices[Org]="Large"),SUMIFS(Practices_SubPractices[B],Practices_SubPractices[CP],"3",Practices_SubPractices[Org],"Large"),IF(AND(Practices_SubPractices[CP]=4,Practices_SubPractices[Org]="Large"),SUMIFS(Practices_SubPractices[B],Practices_SubPractices[CP],"4",Practices_SubPractices[Org],"Large"),IF(AND(Practices_SubPractices[CP]=5,Practices_SubPractices[Org]="Large"),SUMIFS(Practices_SubPractices[B],Practices_SubPractices[CP],"5",Practices_SubPractices[Org],"Large"),IF(AND(Practices_SubPractices[CP]=6,Practices_SubPractices[Org]="Large"),SUMIFS(Practices_SubPractices[B],Practices_SubPractices[CP],"6",Practices_SubPractices[Org],"Large"),IF(AND(Practices_SubPractices[CP]=7,Practices_SubPractices[Org] ="Large"),SUMIFS(Practices_SubPractices[B],Practices_SubPractices[CP],"7",Practices_SubPractices[Org],"Large"),IF(AND(Practices_SubPractices[CP]=8,Practices_SubPractices[Org] ="Large"),SUMIFS(Practices_SubPractices[B],Practices_SubPractices[CP],"8",Practices_SubPractices[Org],"Large"),IF(AND(Practices_SubPractices[CP]=9,Practices_SubPractices[Org] ="Large"),SUMIFS(Practices_SubPractices[B],Practices_SubPractices[CP],"9",Practices_SubPractices[Org],"Large"),IF(AND(Practices_SubPractices[CP]=10,Practices_SubPractices[Org] ="Large"),SUMIFS(Practices_SubPractices[B],Practices_SubPractices[CP],"10",Practices_SubPractices[Org],"Large"),"TBD"))))))))))))))))))))))))))))))</f>
        <v>12</v>
      </c>
      <c r="P105" s="77">
        <f>IF(AND(Practices_SubPractices[CP]=1,Practices_SubPractices[Org]="Small"),SUMIFS(Practices_SubPractices[C],Practices_SubPractices[CP],"1",Practices_SubPractices[Org],"Small"),IF(AND(Practices_SubPractices[CP]=2,Practices_SubPractices[Org]="Small"),SUMIFS(Practices_SubPractices[C],Practices_SubPractices[CP],"2",Practices_SubPractices[Org],"Small"),IF(AND(Practices_SubPractices[CP]=3,Practices_SubPractices[Org]="Small"),SUMIFS(Practices_SubPractices[C],Practices_SubPractices[CP],"3",Practices_SubPractices[Org],"Small"),IF(AND(Practices_SubPractices[CP]=4,Practices_SubPractices[Org]="Small"),SUMIFS(Practices_SubPractices[C],Practices_SubPractices[CP],"4",Practices_SubPractices[Org],"Small"),IF(AND(Practices_SubPractices[CP]=5,Practices_SubPractices[Org]="Small"),SUMIFS(Practices_SubPractices[C],Practices_SubPractices[CP],"5",Practices_SubPractices[Org],"Small"),IF(AND(Practices_SubPractices[CP]=6,Practices_SubPractices[Org]="Small"),SUMIFS(Practices_SubPractices[C],Practices_SubPractices[CP],"6",Practices_SubPractices[Org],"Small"),IF(AND(Practices_SubPractices[CP]=7,Practices_SubPractices[Org] ="Small"),SUMIFS(Practices_SubPractices[C],Practices_SubPractices[CP],"7",Practices_SubPractices[Org],"Small"),IF(AND(Practices_SubPractices[CP]=8,Practices_SubPractices[Org] ="Small"),SUMIFS(Practices_SubPractices[C],Practices_SubPractices[CP],"8",Practices_SubPractices[Org],"Small"),IF(AND(Practices_SubPractices[CP]=9,Practices_SubPractices[Org] ="Small"),SUMIFS(Practices_SubPractices[C],Practices_SubPractices[CP],"9",Practices_SubPractices[Org],"Small"),IF(AND(Practices_SubPractices[CP]=10,Practices_SubPractices[Org] ="Small"),SUMIFS(Practices_SubPractices[C],Practices_SubPractices[CP],"10",Practices_SubPractices[Org],"Small"),IF(AND(Practices_SubPractices[CP]=1,Practices_SubPractices[Org]="Medium"),SUMIFS(Practices_SubPractices[C],Practices_SubPractices[CP],"1",Practices_SubPractices[Org],"Medium"),IF(AND(Practices_SubPractices[CP]=2,Practices_SubPractices[Org]="Medium"),SUMIFS(Practices_SubPractices[C],Practices_SubPractices[CP],"2",Practices_SubPractices[Org],"Medium"),IF(AND(Practices_SubPractices[CP]=3,Practices_SubPractices[Org]="Medium"),SUMIFS(Practices_SubPractices[C],Practices_SubPractices[CP],"3",Practices_SubPractices[Org],"Medium"),IF(AND(Practices_SubPractices[CP]=4,Practices_SubPractices[Org]="Medium"),SUMIFS(Practices_SubPractices[C],Practices_SubPractices[CP],"4",Practices_SubPractices[Org],"Medium"),IF(AND(Practices_SubPractices[CP]=5,Practices_SubPractices[Org]="Medium"),SUMIFS(Practices_SubPractices[C],Practices_SubPractices[CP],"5",Practices_SubPractices[Org],"Medium"),IF(AND(Practices_SubPractices[CP]=6,Practices_SubPractices[Org]="Medium"),SUMIFS(Practices_SubPractices[C],Practices_SubPractices[CP],"6",Practices_SubPractices[Org],"Medium"),IF(AND(Practices_SubPractices[CP]=7,Practices_SubPractices[Org] ="Medium"),SUMIFS(Practices_SubPractices[C],Practices_SubPractices[CP],"7",Practices_SubPractices[Org],"Medium"),IF(AND(Practices_SubPractices[CP]=8,Practices_SubPractices[Org] ="Medium"),SUMIFS(Practices_SubPractices[C],Practices_SubPractices[CP],"8",Practices_SubPractices[Org],"Medium"),IF(AND(Practices_SubPractices[CP]=9,Practices_SubPractices[Org] ="Medium"),SUMIFS(Practices_SubPractices[C],Practices_SubPractices[CP],"9",Practices_SubPractices[Org],"Medium"),IF(AND(Practices_SubPractices[CP]=10,Practices_SubPractices[Org] ="Medium"),SUMIFS(Practices_SubPractices[C],Practices_SubPractices[CP],"10",Practices_SubPractices[Org],"Medium"),IF(AND(Practices_SubPractices[CP]=1,Practices_SubPractices[Org]="Large"),SUMIFS(Practices_SubPractices[C],Practices_SubPractices[CP],"1",Practices_SubPractices[Org],"Large"),IF(AND(Practices_SubPractices[CP]=2,Practices_SubPractices[Org]="Large"),SUMIFS(Practices_SubPractices[C],Practices_SubPractices[CP],"2",Practices_SubPractices[Org],"Large"),IF(AND(Practices_SubPractices[CP]=3,Practices_SubPractices[Org]="Large"),SUMIFS(Practices_SubPractices[C],Practices_SubPractices[CP],"3",Practices_SubPractices[Org],"Large"),IF(AND(Practices_SubPractices[CP]=4,Practices_SubPractices[Org]="Large"),SUMIFS(Practices_SubPractices[C],Practices_SubPractices[CP],"4",Practices_SubPractices[Org],"Large"),IF(AND(Practices_SubPractices[CP]=5,Practices_SubPractices[Org]="Large"),SUMIFS(Practices_SubPractices[C],Practices_SubPractices[CP],"5",Practices_SubPractices[Org],"Large"),IF(AND(Practices_SubPractices[CP]=6,Practices_SubPractices[Org]="Large"),SUMIFS(Practices_SubPractices[C],Practices_SubPractices[CP],"6",Practices_SubPractices[Org],"Large"),IF(AND(Practices_SubPractices[CP]=7,Practices_SubPractices[Org] ="Large"),SUMIFS(Practices_SubPractices[C],Practices_SubPractices[CP],"7",Practices_SubPractices[Org],"Large"),IF(AND(Practices_SubPractices[CP]=8,Practices_SubPractices[Org] ="Large"),SUMIFS(Practices_SubPractices[C],Practices_SubPractices[CP],"8",Practices_SubPractices[Org],"Large"),IF(AND(Practices_SubPractices[CP]=9,Practices_SubPractices[Org] ="Large"),SUMIFS(Practices_SubPractices[C],Practices_SubPractices[CP],"9",Practices_SubPractices[Org],"Large"),IF(AND(Practices_SubPractices[CP]=10,Practices_SubPractices[Org] ="Large"),SUMIFS(Practices_SubPractices[C],Practices_SubPractices[CP],"10",Practices_SubPractices[Org],"Large"),"TBD"))))))))))))))))))))))))))))))</f>
        <v>7</v>
      </c>
      <c r="Q105" s="77">
        <f>IF(AND(Practices_SubPractices[CP]=1,Practices_SubPractices[Org]="Small"),SUMIFS(Practices_SubPractices[D],Practices_SubPractices[CP],"1",Practices_SubPractices[Org],"Small"),IF(AND(Practices_SubPractices[CP]=2,Practices_SubPractices[Org]="Small"),SUMIFS(Practices_SubPractices[D],Practices_SubPractices[CP],"2",Practices_SubPractices[Org],"Small"),IF(AND(Practices_SubPractices[CP]=3,Practices_SubPractices[Org]="Small"),SUMIFS(Practices_SubPractices[D],Practices_SubPractices[CP],"3",Practices_SubPractices[Org],"Small"),IF(AND(Practices_SubPractices[CP]=4,Practices_SubPractices[Org]="Small"),SUMIFS(Practices_SubPractices[D],Practices_SubPractices[CP],"4",Practices_SubPractices[Org],"Small"),IF(AND(Practices_SubPractices[CP]=5,Practices_SubPractices[Org]="Small"),SUMIFS(Practices_SubPractices[D],Practices_SubPractices[CP],"5",Practices_SubPractices[Org],"Small"),IF(AND(Practices_SubPractices[CP]=6,Practices_SubPractices[Org]="Small"),SUMIFS(Practices_SubPractices[D],Practices_SubPractices[CP],"6",Practices_SubPractices[Org],"Small"),IF(AND(Practices_SubPractices[CP]=7,Practices_SubPractices[Org] ="Small"),SUMIFS(Practices_SubPractices[D],Practices_SubPractices[CP],"7",Practices_SubPractices[Org],"Small"),IF(AND(Practices_SubPractices[CP]=8,Practices_SubPractices[Org] ="Small"),SUMIFS(Practices_SubPractices[D],Practices_SubPractices[CP],"8",Practices_SubPractices[Org],"Small"),IF(AND(Practices_SubPractices[CP]=9,Practices_SubPractices[Org] ="Small"),SUMIFS(Practices_SubPractices[D],Practices_SubPractices[CP],"9",Practices_SubPractices[Org],"Small"),IF(AND(Practices_SubPractices[CP]=10,Practices_SubPractices[Org] ="Small"),SUMIFS(Practices_SubPractices[D],Practices_SubPractices[CP],"10",Practices_SubPractices[Org],"Small"),IF(AND(Practices_SubPractices[CP]=1,Practices_SubPractices[Org]="Medium"),SUMIFS(Practices_SubPractices[D],Practices_SubPractices[CP],"1",Practices_SubPractices[Org],"Medium"),IF(AND(Practices_SubPractices[CP]=2,Practices_SubPractices[Org]="Medium"),SUMIFS(Practices_SubPractices[D],Practices_SubPractices[CP],"2",Practices_SubPractices[Org],"Medium"),IF(AND(Practices_SubPractices[CP]=3,Practices_SubPractices[Org]="Medium"),SUMIFS(Practices_SubPractices[D],Practices_SubPractices[CP],"3",Practices_SubPractices[Org],"Medium"),IF(AND(Practices_SubPractices[CP]=4,Practices_SubPractices[Org]="Medium"),SUMIFS(Practices_SubPractices[D],Practices_SubPractices[CP],"4",Practices_SubPractices[Org],"Medium"),IF(AND(Practices_SubPractices[CP]=5,Practices_SubPractices[Org]="Medium"),SUMIFS(Practices_SubPractices[D],Practices_SubPractices[CP],"5",Practices_SubPractices[Org],"Medium"),IF(AND(Practices_SubPractices[CP]=6,Practices_SubPractices[Org]="Medium"),SUMIFS(Practices_SubPractices[D],Practices_SubPractices[CP],"6",Practices_SubPractices[Org],"Medium"),IF(AND(Practices_SubPractices[CP]=7,Practices_SubPractices[Org] ="Medium"),SUMIFS(Practices_SubPractices[D],Practices_SubPractices[CP],"7",Practices_SubPractices[Org],"Medium"),IF(AND(Practices_SubPractices[CP]=8,Practices_SubPractices[Org] ="Medium"),SUMIFS(Practices_SubPractices[D],Practices_SubPractices[CP],"8",Practices_SubPractices[Org],"Medium"),IF(AND(Practices_SubPractices[CP]=9,Practices_SubPractices[Org] ="Medium"),SUMIFS(Practices_SubPractices[D],Practices_SubPractices[CP],"9",Practices_SubPractices[Org],"Medium"),IF(AND(Practices_SubPractices[CP]=10,Practices_SubPractices[Org] ="Medium"),SUMIFS(Practices_SubPractices[D],Practices_SubPractices[CP],"10",Practices_SubPractices[Org],"Medium"),IF(AND(Practices_SubPractices[CP]=1,Practices_SubPractices[Org]="Large"),SUMIFS(Practices_SubPractices[D],Practices_SubPractices[CP],"1",Practices_SubPractices[Org],"Large"),IF(AND(Practices_SubPractices[CP]=2,Practices_SubPractices[Org]="Large"),SUMIFS(Practices_SubPractices[D],Practices_SubPractices[CP],"2",Practices_SubPractices[Org],"Large"),IF(AND(Practices_SubPractices[CP]=3,Practices_SubPractices[Org]="Large"),SUMIFS(Practices_SubPractices[D],Practices_SubPractices[CP],"3",Practices_SubPractices[Org],"Large"),IF(AND(Practices_SubPractices[CP]=4,Practices_SubPractices[Org]="Large"),SUMIFS(Practices_SubPractices[D],Practices_SubPractices[CP],"4",Practices_SubPractices[Org],"Large"),IF(AND(Practices_SubPractices[CP]=5,Practices_SubPractices[Org]="Large"),SUMIFS(Practices_SubPractices[D],Practices_SubPractices[CP],"5",Practices_SubPractices[Org],"Large"),IF(AND(Practices_SubPractices[CP]=6,Practices_SubPractices[Org]="Large"),SUMIFS(Practices_SubPractices[D],Practices_SubPractices[CP],"6",Practices_SubPractices[Org],"Large"),IF(AND(Practices_SubPractices[CP]=7,Practices_SubPractices[Org] ="Large"),SUMIFS(Practices_SubPractices[D],Practices_SubPractices[CP],"7",Practices_SubPractices[Org],"Large"),IF(AND(Practices_SubPractices[CP]=8,Practices_SubPractices[Org] ="Large"),SUMIFS(Practices_SubPractices[D],Practices_SubPractices[CP],"8",Practices_SubPractices[Org],"Large"),IF(AND(Practices_SubPractices[CP]=9,Practices_SubPractices[Org] ="Large"),SUMIFS(Practices_SubPractices[D],Practices_SubPractices[CP],"9",Practices_SubPractices[Org],"Large"),IF(AND(Practices_SubPractices[CP]=10,Practices_SubPractices[Org] ="Large"),SUMIFS(Practices_SubPractices[D],Practices_SubPractices[CP],"10",Practices_SubPractices[Org],"Large"),"TBD"))))))))))))))))))))))))))))))</f>
        <v>6</v>
      </c>
      <c r="R105" s="77">
        <f>IF(AND(Practices_SubPractices[CP]=1,Practices_SubPractices[Org]="Small"),SUMIFS(Practices_SubPractices[E],Practices_SubPractices[CP],"1",Practices_SubPractices[Org],"Small"),IF(AND(Practices_SubPractices[CP]=2,Practices_SubPractices[Org]="Small"),SUMIFS(Practices_SubPractices[E],Practices_SubPractices[CP],"2",Practices_SubPractices[Org],"Small"),IF(AND(Practices_SubPractices[CP]=3,Practices_SubPractices[Org]="Small"),SUMIFS(Practices_SubPractices[E],Practices_SubPractices[CP],"3",Practices_SubPractices[Org],"Small"),IF(AND(Practices_SubPractices[CP]=4,Practices_SubPractices[Org]="Small"),SUMIFS(Practices_SubPractices[E],Practices_SubPractices[CP],"4",Practices_SubPractices[Org],"Small"),IF(AND(Practices_SubPractices[CP]=5,Practices_SubPractices[Org]="Small"),SUMIFS(Practices_SubPractices[E],Practices_SubPractices[CP],"5",Practices_SubPractices[Org],"Small"),IF(AND(Practices_SubPractices[CP]=6,Practices_SubPractices[Org]="Small"),SUMIFS(Practices_SubPractices[E],Practices_SubPractices[CP],"6",Practices_SubPractices[Org],"Small"),IF(AND(Practices_SubPractices[CP]=7,Practices_SubPractices[Org] ="Small"),SUMIFS(Practices_SubPractices[E],Practices_SubPractices[CP],"7",Practices_SubPractices[Org],"Small"),IF(AND(Practices_SubPractices[CP]=8,Practices_SubPractices[Org] ="Small"),SUMIFS(Practices_SubPractices[E],Practices_SubPractices[CP],"8",Practices_SubPractices[Org],"Small"),IF(AND(Practices_SubPractices[CP]=9,Practices_SubPractices[Org] ="Small"),SUMIFS(Practices_SubPractices[E],Practices_SubPractices[CP],"9",Practices_SubPractices[Org],"Small"),IF(AND(Practices_SubPractices[CP]=10,Practices_SubPractices[Org] ="Small"),SUMIFS(Practices_SubPractices[E],Practices_SubPractices[CP],"10",Practices_SubPractices[Org],"Small"),IF(AND(Practices_SubPractices[CP]=1,Practices_SubPractices[Org]="Medium"),SUMIFS(Practices_SubPractices[E],Practices_SubPractices[CP],"1",Practices_SubPractices[Org],"Medium"),IF(AND(Practices_SubPractices[CP]=2,Practices_SubPractices[Org]="Medium"),SUMIFS(Practices_SubPractices[E],Practices_SubPractices[CP],"2",Practices_SubPractices[Org],"Medium"),IF(AND(Practices_SubPractices[CP]=3,Practices_SubPractices[Org]="Medium"),SUMIFS(Practices_SubPractices[E],Practices_SubPractices[CP],"3",Practices_SubPractices[Org],"Medium"),IF(AND(Practices_SubPractices[CP]=4,Practices_SubPractices[Org]="Medium"),SUMIFS(Practices_SubPractices[E],Practices_SubPractices[CP],"4",Practices_SubPractices[Org],"Medium"),IF(AND(Practices_SubPractices[CP]=5,Practices_SubPractices[Org]="Medium"),SUMIFS(Practices_SubPractices[E],Practices_SubPractices[CP],"5",Practices_SubPractices[Org],"Medium"),IF(AND(Practices_SubPractices[CP]=6,Practices_SubPractices[Org]="Medium"),SUMIFS(Practices_SubPractices[E],Practices_SubPractices[CP],"6",Practices_SubPractices[Org],"Medium"),IF(AND(Practices_SubPractices[CP]=7,Practices_SubPractices[Org] ="Medium"),SUMIFS(Practices_SubPractices[E],Practices_SubPractices[CP],"7",Practices_SubPractices[Org],"Medium"),IF(AND(Practices_SubPractices[CP]=8,Practices_SubPractices[Org] ="Medium"),SUMIFS(Practices_SubPractices[E],Practices_SubPractices[CP],"8",Practices_SubPractices[Org],"Medium"),IF(AND(Practices_SubPractices[CP]=9,Practices_SubPractices[Org] ="Medium"),SUMIFS(Practices_SubPractices[E],Practices_SubPractices[CP],"9",Practices_SubPractices[Org],"Medium"),IF(AND(Practices_SubPractices[CP]=10,Practices_SubPractices[Org] ="Medium"),SUMIFS(Practices_SubPractices[E],Practices_SubPractices[CP],"10",Practices_SubPractices[Org],"Medium"),IF(AND(Practices_SubPractices[CP]=1,Practices_SubPractices[Org]="Large"),SUMIFS(Practices_SubPractices[E],Practices_SubPractices[CP],"1",Practices_SubPractices[Org],"Large"),IF(AND(Practices_SubPractices[CP]=2,Practices_SubPractices[Org]="Large"),SUMIFS(Practices_SubPractices[E],Practices_SubPractices[CP],"2",Practices_SubPractices[Org],"Large"),IF(AND(Practices_SubPractices[CP]=3,Practices_SubPractices[Org]="Large"),SUMIFS(Practices_SubPractices[E],Practices_SubPractices[CP],"3",Practices_SubPractices[Org],"Large"),IF(AND(Practices_SubPractices[CP]=4,Practices_SubPractices[Org]="Large"),SUMIFS(Practices_SubPractices[E],Practices_SubPractices[CP],"4",Practices_SubPractices[Org],"Large"),IF(AND(Practices_SubPractices[CP]=5,Practices_SubPractices[Org]="Large"),SUMIFS(Practices_SubPractices[E],Practices_SubPractices[CP],"5",Practices_SubPractices[Org],"Large"),IF(AND(Practices_SubPractices[CP]=6,Practices_SubPractices[Org]="Large"),SUMIFS(Practices_SubPractices[E],Practices_SubPractices[CP],"6",Practices_SubPractices[Org],"Large"),IF(AND(Practices_SubPractices[CP]=7,Practices_SubPractices[Org] ="Large"),SUMIFS(Practices_SubPractices[E],Practices_SubPractices[CP],"7",Practices_SubPractices[Org],"Large"),IF(AND(Practices_SubPractices[CP]=8,Practices_SubPractices[Org] ="Large"),SUMIFS(Practices_SubPractices[E],Practices_SubPractices[CP],"8",Practices_SubPractices[Org],"Large"),IF(AND(Practices_SubPractices[CP]=9,Practices_SubPractices[Org] ="Large"),SUMIFS(Practices_SubPractices[E],Practices_SubPractices[CP],"9",Practices_SubPractices[Org],"Large"),IF(AND(Practices_SubPractices[CP]=10,Practices_SubPractices[Org] ="Large"),SUMIFS(Practices_SubPractices[E],Practices_SubPractices[CP],"10",Practices_SubPractices[Org],"Large"),"TBD"))))))))))))))))))))))))))))))</f>
        <v>2</v>
      </c>
      <c r="S105" s="87" t="s">
        <v>416</v>
      </c>
    </row>
    <row r="106" spans="1:19" x14ac:dyDescent="0.35">
      <c r="A106" s="73">
        <v>96</v>
      </c>
      <c r="B106" s="73">
        <v>2</v>
      </c>
      <c r="C106" s="80" t="s">
        <v>12</v>
      </c>
      <c r="D106" s="73" t="str">
        <f>Practices_SubPractices[[#This Row],[CP]]&amp;LEFT(Practices_SubPractices[[#This Row],[Org]],1)</f>
        <v>2L</v>
      </c>
      <c r="E106" s="73" t="s">
        <v>266</v>
      </c>
      <c r="F106" s="74" t="s">
        <v>69</v>
      </c>
      <c r="G106" s="74" t="s">
        <v>75</v>
      </c>
      <c r="H106" s="74" t="s">
        <v>202</v>
      </c>
      <c r="I106" s="75">
        <v>0</v>
      </c>
      <c r="J106" s="75">
        <v>1</v>
      </c>
      <c r="K106" s="75">
        <v>2</v>
      </c>
      <c r="L106" s="75">
        <v>1</v>
      </c>
      <c r="M106" s="75">
        <v>0</v>
      </c>
      <c r="N106" s="76"/>
      <c r="O106" s="77">
        <f>IF(AND(Practices_SubPractices[CP]=1,Practices_SubPractices[Org]="Small"),SUMIFS(Practices_SubPractices[B],Practices_SubPractices[CP],"1",Practices_SubPractices[Org],"Small"),IF(AND(Practices_SubPractices[CP]=2,Practices_SubPractices[Org]="Small"),SUMIFS(Practices_SubPractices[B],Practices_SubPractices[CP],"2",Practices_SubPractices[Org],"Small"),IF(AND(Practices_SubPractices[CP]=3,Practices_SubPractices[Org]="Small"),SUMIFS(Practices_SubPractices[B],Practices_SubPractices[CP],"3",Practices_SubPractices[Org],"Small"),IF(AND(Practices_SubPractices[CP]=4,Practices_SubPractices[Org]="Small"),SUMIFS(Practices_SubPractices[B],Practices_SubPractices[CP],"4",Practices_SubPractices[Org],"Small"),IF(AND(Practices_SubPractices[CP]=5,Practices_SubPractices[Org]="Small"),SUMIFS(Practices_SubPractices[B],Practices_SubPractices[CP],"5",Practices_SubPractices[Org],"Small"),IF(AND(Practices_SubPractices[CP]=6,Practices_SubPractices[Org]="Small"),SUMIFS(Practices_SubPractices[B],Practices_SubPractices[CP],"6",Practices_SubPractices[Org],"Small"),IF(AND(Practices_SubPractices[CP]=7,Practices_SubPractices[Org] ="Small"),SUMIFS(Practices_SubPractices[B],Practices_SubPractices[CP],"7",Practices_SubPractices[Org],"Small"),IF(AND(Practices_SubPractices[CP]=8,Practices_SubPractices[Org] ="Small"),SUMIFS(Practices_SubPractices[B],Practices_SubPractices[CP],"8",Practices_SubPractices[Org],"Small"),IF(AND(Practices_SubPractices[CP]=9,Practices_SubPractices[Org] ="Small"),SUMIFS(Practices_SubPractices[B],Practices_SubPractices[CP],"9",Practices_SubPractices[Org],"Small"),IF(AND(Practices_SubPractices[CP]=10,Practices_SubPractices[Org] ="Small"),SUMIFS(Practices_SubPractices[B],Practices_SubPractices[CP],"10",Practices_SubPractices[Org],"Small"),IF(AND(Practices_SubPractices[CP]=1,Practices_SubPractices[Org]="Medium"),SUMIFS(Practices_SubPractices[B],Practices_SubPractices[CP],"1",Practices_SubPractices[Org],"Medium"),IF(AND(Practices_SubPractices[CP]=2,Practices_SubPractices[Org]="Medium"),SUMIFS(Practices_SubPractices[B],Practices_SubPractices[CP],"2",Practices_SubPractices[Org],"Medium"),IF(AND(Practices_SubPractices[CP]=3,Practices_SubPractices[Org]="Medium"),SUMIFS(Practices_SubPractices[B],Practices_SubPractices[CP],"3",Practices_SubPractices[Org],"Medium"),IF(AND(Practices_SubPractices[CP]=4,Practices_SubPractices[Org]="Medium"),SUMIFS(Practices_SubPractices[B],Practices_SubPractices[CP],"4",Practices_SubPractices[Org],"Medium"),IF(AND(Practices_SubPractices[CP]=5,Practices_SubPractices[Org]="Medium"),SUMIFS(Practices_SubPractices[B],Practices_SubPractices[CP],"5",Practices_SubPractices[Org],"Medium"),IF(AND(Practices_SubPractices[CP]=6,Practices_SubPractices[Org]="Medium"),SUMIFS(Practices_SubPractices[B],Practices_SubPractices[CP],"6",Practices_SubPractices[Org],"Medium"),IF(AND(Practices_SubPractices[CP]=7,Practices_SubPractices[Org] ="Medium"),SUMIFS(Practices_SubPractices[B],Practices_SubPractices[CP],"7",Practices_SubPractices[Org],"Medium"),IF(AND(Practices_SubPractices[CP]=8,Practices_SubPractices[Org] ="Medium"),SUMIFS(Practices_SubPractices[B],Practices_SubPractices[CP],"8",Practices_SubPractices[Org],"Medium"),IF(AND(Practices_SubPractices[CP]=9,Practices_SubPractices[Org] ="Medium"),SUMIFS(Practices_SubPractices[B],Practices_SubPractices[CP],"9",Practices_SubPractices[Org],"Medium"),IF(AND(Practices_SubPractices[CP]=10,Practices_SubPractices[Org] ="Medium"),SUMIFS(Practices_SubPractices[B],Practices_SubPractices[CP],"10",Practices_SubPractices[Org],"Medium"),IF(AND(Practices_SubPractices[CP]=1,Practices_SubPractices[Org]="Large"),SUMIFS(Practices_SubPractices[B],Practices_SubPractices[CP],"1",Practices_SubPractices[Org],"Large"),IF(AND(Practices_SubPractices[CP]=2,Practices_SubPractices[Org]="Large"),SUMIFS(Practices_SubPractices[B],Practices_SubPractices[CP],"2",Practices_SubPractices[Org],"Large"),IF(AND(Practices_SubPractices[CP]=3,Practices_SubPractices[Org]="Large"),SUMIFS(Practices_SubPractices[B],Practices_SubPractices[CP],"3",Practices_SubPractices[Org],"Large"),IF(AND(Practices_SubPractices[CP]=4,Practices_SubPractices[Org]="Large"),SUMIFS(Practices_SubPractices[B],Practices_SubPractices[CP],"4",Practices_SubPractices[Org],"Large"),IF(AND(Practices_SubPractices[CP]=5,Practices_SubPractices[Org]="Large"),SUMIFS(Practices_SubPractices[B],Practices_SubPractices[CP],"5",Practices_SubPractices[Org],"Large"),IF(AND(Practices_SubPractices[CP]=6,Practices_SubPractices[Org]="Large"),SUMIFS(Practices_SubPractices[B],Practices_SubPractices[CP],"6",Practices_SubPractices[Org],"Large"),IF(AND(Practices_SubPractices[CP]=7,Practices_SubPractices[Org] ="Large"),SUMIFS(Practices_SubPractices[B],Practices_SubPractices[CP],"7",Practices_SubPractices[Org],"Large"),IF(AND(Practices_SubPractices[CP]=8,Practices_SubPractices[Org] ="Large"),SUMIFS(Practices_SubPractices[B],Practices_SubPractices[CP],"8",Practices_SubPractices[Org],"Large"),IF(AND(Practices_SubPractices[CP]=9,Practices_SubPractices[Org] ="Large"),SUMIFS(Practices_SubPractices[B],Practices_SubPractices[CP],"9",Practices_SubPractices[Org],"Large"),IF(AND(Practices_SubPractices[CP]=10,Practices_SubPractices[Org] ="Large"),SUMIFS(Practices_SubPractices[B],Practices_SubPractices[CP],"10",Practices_SubPractices[Org],"Large"),"TBD"))))))))))))))))))))))))))))))</f>
        <v>12</v>
      </c>
      <c r="P106" s="77">
        <f>IF(AND(Practices_SubPractices[CP]=1,Practices_SubPractices[Org]="Small"),SUMIFS(Practices_SubPractices[C],Practices_SubPractices[CP],"1",Practices_SubPractices[Org],"Small"),IF(AND(Practices_SubPractices[CP]=2,Practices_SubPractices[Org]="Small"),SUMIFS(Practices_SubPractices[C],Practices_SubPractices[CP],"2",Practices_SubPractices[Org],"Small"),IF(AND(Practices_SubPractices[CP]=3,Practices_SubPractices[Org]="Small"),SUMIFS(Practices_SubPractices[C],Practices_SubPractices[CP],"3",Practices_SubPractices[Org],"Small"),IF(AND(Practices_SubPractices[CP]=4,Practices_SubPractices[Org]="Small"),SUMIFS(Practices_SubPractices[C],Practices_SubPractices[CP],"4",Practices_SubPractices[Org],"Small"),IF(AND(Practices_SubPractices[CP]=5,Practices_SubPractices[Org]="Small"),SUMIFS(Practices_SubPractices[C],Practices_SubPractices[CP],"5",Practices_SubPractices[Org],"Small"),IF(AND(Practices_SubPractices[CP]=6,Practices_SubPractices[Org]="Small"),SUMIFS(Practices_SubPractices[C],Practices_SubPractices[CP],"6",Practices_SubPractices[Org],"Small"),IF(AND(Practices_SubPractices[CP]=7,Practices_SubPractices[Org] ="Small"),SUMIFS(Practices_SubPractices[C],Practices_SubPractices[CP],"7",Practices_SubPractices[Org],"Small"),IF(AND(Practices_SubPractices[CP]=8,Practices_SubPractices[Org] ="Small"),SUMIFS(Practices_SubPractices[C],Practices_SubPractices[CP],"8",Practices_SubPractices[Org],"Small"),IF(AND(Practices_SubPractices[CP]=9,Practices_SubPractices[Org] ="Small"),SUMIFS(Practices_SubPractices[C],Practices_SubPractices[CP],"9",Practices_SubPractices[Org],"Small"),IF(AND(Practices_SubPractices[CP]=10,Practices_SubPractices[Org] ="Small"),SUMIFS(Practices_SubPractices[C],Practices_SubPractices[CP],"10",Practices_SubPractices[Org],"Small"),IF(AND(Practices_SubPractices[CP]=1,Practices_SubPractices[Org]="Medium"),SUMIFS(Practices_SubPractices[C],Practices_SubPractices[CP],"1",Practices_SubPractices[Org],"Medium"),IF(AND(Practices_SubPractices[CP]=2,Practices_SubPractices[Org]="Medium"),SUMIFS(Practices_SubPractices[C],Practices_SubPractices[CP],"2",Practices_SubPractices[Org],"Medium"),IF(AND(Practices_SubPractices[CP]=3,Practices_SubPractices[Org]="Medium"),SUMIFS(Practices_SubPractices[C],Practices_SubPractices[CP],"3",Practices_SubPractices[Org],"Medium"),IF(AND(Practices_SubPractices[CP]=4,Practices_SubPractices[Org]="Medium"),SUMIFS(Practices_SubPractices[C],Practices_SubPractices[CP],"4",Practices_SubPractices[Org],"Medium"),IF(AND(Practices_SubPractices[CP]=5,Practices_SubPractices[Org]="Medium"),SUMIFS(Practices_SubPractices[C],Practices_SubPractices[CP],"5",Practices_SubPractices[Org],"Medium"),IF(AND(Practices_SubPractices[CP]=6,Practices_SubPractices[Org]="Medium"),SUMIFS(Practices_SubPractices[C],Practices_SubPractices[CP],"6",Practices_SubPractices[Org],"Medium"),IF(AND(Practices_SubPractices[CP]=7,Practices_SubPractices[Org] ="Medium"),SUMIFS(Practices_SubPractices[C],Practices_SubPractices[CP],"7",Practices_SubPractices[Org],"Medium"),IF(AND(Practices_SubPractices[CP]=8,Practices_SubPractices[Org] ="Medium"),SUMIFS(Practices_SubPractices[C],Practices_SubPractices[CP],"8",Practices_SubPractices[Org],"Medium"),IF(AND(Practices_SubPractices[CP]=9,Practices_SubPractices[Org] ="Medium"),SUMIFS(Practices_SubPractices[C],Practices_SubPractices[CP],"9",Practices_SubPractices[Org],"Medium"),IF(AND(Practices_SubPractices[CP]=10,Practices_SubPractices[Org] ="Medium"),SUMIFS(Practices_SubPractices[C],Practices_SubPractices[CP],"10",Practices_SubPractices[Org],"Medium"),IF(AND(Practices_SubPractices[CP]=1,Practices_SubPractices[Org]="Large"),SUMIFS(Practices_SubPractices[C],Practices_SubPractices[CP],"1",Practices_SubPractices[Org],"Large"),IF(AND(Practices_SubPractices[CP]=2,Practices_SubPractices[Org]="Large"),SUMIFS(Practices_SubPractices[C],Practices_SubPractices[CP],"2",Practices_SubPractices[Org],"Large"),IF(AND(Practices_SubPractices[CP]=3,Practices_SubPractices[Org]="Large"),SUMIFS(Practices_SubPractices[C],Practices_SubPractices[CP],"3",Practices_SubPractices[Org],"Large"),IF(AND(Practices_SubPractices[CP]=4,Practices_SubPractices[Org]="Large"),SUMIFS(Practices_SubPractices[C],Practices_SubPractices[CP],"4",Practices_SubPractices[Org],"Large"),IF(AND(Practices_SubPractices[CP]=5,Practices_SubPractices[Org]="Large"),SUMIFS(Practices_SubPractices[C],Practices_SubPractices[CP],"5",Practices_SubPractices[Org],"Large"),IF(AND(Practices_SubPractices[CP]=6,Practices_SubPractices[Org]="Large"),SUMIFS(Practices_SubPractices[C],Practices_SubPractices[CP],"6",Practices_SubPractices[Org],"Large"),IF(AND(Practices_SubPractices[CP]=7,Practices_SubPractices[Org] ="Large"),SUMIFS(Practices_SubPractices[C],Practices_SubPractices[CP],"7",Practices_SubPractices[Org],"Large"),IF(AND(Practices_SubPractices[CP]=8,Practices_SubPractices[Org] ="Large"),SUMIFS(Practices_SubPractices[C],Practices_SubPractices[CP],"8",Practices_SubPractices[Org],"Large"),IF(AND(Practices_SubPractices[CP]=9,Practices_SubPractices[Org] ="Large"),SUMIFS(Practices_SubPractices[C],Practices_SubPractices[CP],"9",Practices_SubPractices[Org],"Large"),IF(AND(Practices_SubPractices[CP]=10,Practices_SubPractices[Org] ="Large"),SUMIFS(Practices_SubPractices[C],Practices_SubPractices[CP],"10",Practices_SubPractices[Org],"Large"),"TBD"))))))))))))))))))))))))))))))</f>
        <v>7</v>
      </c>
      <c r="Q106" s="77">
        <f>IF(AND(Practices_SubPractices[CP]=1,Practices_SubPractices[Org]="Small"),SUMIFS(Practices_SubPractices[D],Practices_SubPractices[CP],"1",Practices_SubPractices[Org],"Small"),IF(AND(Practices_SubPractices[CP]=2,Practices_SubPractices[Org]="Small"),SUMIFS(Practices_SubPractices[D],Practices_SubPractices[CP],"2",Practices_SubPractices[Org],"Small"),IF(AND(Practices_SubPractices[CP]=3,Practices_SubPractices[Org]="Small"),SUMIFS(Practices_SubPractices[D],Practices_SubPractices[CP],"3",Practices_SubPractices[Org],"Small"),IF(AND(Practices_SubPractices[CP]=4,Practices_SubPractices[Org]="Small"),SUMIFS(Practices_SubPractices[D],Practices_SubPractices[CP],"4",Practices_SubPractices[Org],"Small"),IF(AND(Practices_SubPractices[CP]=5,Practices_SubPractices[Org]="Small"),SUMIFS(Practices_SubPractices[D],Practices_SubPractices[CP],"5",Practices_SubPractices[Org],"Small"),IF(AND(Practices_SubPractices[CP]=6,Practices_SubPractices[Org]="Small"),SUMIFS(Practices_SubPractices[D],Practices_SubPractices[CP],"6",Practices_SubPractices[Org],"Small"),IF(AND(Practices_SubPractices[CP]=7,Practices_SubPractices[Org] ="Small"),SUMIFS(Practices_SubPractices[D],Practices_SubPractices[CP],"7",Practices_SubPractices[Org],"Small"),IF(AND(Practices_SubPractices[CP]=8,Practices_SubPractices[Org] ="Small"),SUMIFS(Practices_SubPractices[D],Practices_SubPractices[CP],"8",Practices_SubPractices[Org],"Small"),IF(AND(Practices_SubPractices[CP]=9,Practices_SubPractices[Org] ="Small"),SUMIFS(Practices_SubPractices[D],Practices_SubPractices[CP],"9",Practices_SubPractices[Org],"Small"),IF(AND(Practices_SubPractices[CP]=10,Practices_SubPractices[Org] ="Small"),SUMIFS(Practices_SubPractices[D],Practices_SubPractices[CP],"10",Practices_SubPractices[Org],"Small"),IF(AND(Practices_SubPractices[CP]=1,Practices_SubPractices[Org]="Medium"),SUMIFS(Practices_SubPractices[D],Practices_SubPractices[CP],"1",Practices_SubPractices[Org],"Medium"),IF(AND(Practices_SubPractices[CP]=2,Practices_SubPractices[Org]="Medium"),SUMIFS(Practices_SubPractices[D],Practices_SubPractices[CP],"2",Practices_SubPractices[Org],"Medium"),IF(AND(Practices_SubPractices[CP]=3,Practices_SubPractices[Org]="Medium"),SUMIFS(Practices_SubPractices[D],Practices_SubPractices[CP],"3",Practices_SubPractices[Org],"Medium"),IF(AND(Practices_SubPractices[CP]=4,Practices_SubPractices[Org]="Medium"),SUMIFS(Practices_SubPractices[D],Practices_SubPractices[CP],"4",Practices_SubPractices[Org],"Medium"),IF(AND(Practices_SubPractices[CP]=5,Practices_SubPractices[Org]="Medium"),SUMIFS(Practices_SubPractices[D],Practices_SubPractices[CP],"5",Practices_SubPractices[Org],"Medium"),IF(AND(Practices_SubPractices[CP]=6,Practices_SubPractices[Org]="Medium"),SUMIFS(Practices_SubPractices[D],Practices_SubPractices[CP],"6",Practices_SubPractices[Org],"Medium"),IF(AND(Practices_SubPractices[CP]=7,Practices_SubPractices[Org] ="Medium"),SUMIFS(Practices_SubPractices[D],Practices_SubPractices[CP],"7",Practices_SubPractices[Org],"Medium"),IF(AND(Practices_SubPractices[CP]=8,Practices_SubPractices[Org] ="Medium"),SUMIFS(Practices_SubPractices[D],Practices_SubPractices[CP],"8",Practices_SubPractices[Org],"Medium"),IF(AND(Practices_SubPractices[CP]=9,Practices_SubPractices[Org] ="Medium"),SUMIFS(Practices_SubPractices[D],Practices_SubPractices[CP],"9",Practices_SubPractices[Org],"Medium"),IF(AND(Practices_SubPractices[CP]=10,Practices_SubPractices[Org] ="Medium"),SUMIFS(Practices_SubPractices[D],Practices_SubPractices[CP],"10",Practices_SubPractices[Org],"Medium"),IF(AND(Practices_SubPractices[CP]=1,Practices_SubPractices[Org]="Large"),SUMIFS(Practices_SubPractices[D],Practices_SubPractices[CP],"1",Practices_SubPractices[Org],"Large"),IF(AND(Practices_SubPractices[CP]=2,Practices_SubPractices[Org]="Large"),SUMIFS(Practices_SubPractices[D],Practices_SubPractices[CP],"2",Practices_SubPractices[Org],"Large"),IF(AND(Practices_SubPractices[CP]=3,Practices_SubPractices[Org]="Large"),SUMIFS(Practices_SubPractices[D],Practices_SubPractices[CP],"3",Practices_SubPractices[Org],"Large"),IF(AND(Practices_SubPractices[CP]=4,Practices_SubPractices[Org]="Large"),SUMIFS(Practices_SubPractices[D],Practices_SubPractices[CP],"4",Practices_SubPractices[Org],"Large"),IF(AND(Practices_SubPractices[CP]=5,Practices_SubPractices[Org]="Large"),SUMIFS(Practices_SubPractices[D],Practices_SubPractices[CP],"5",Practices_SubPractices[Org],"Large"),IF(AND(Practices_SubPractices[CP]=6,Practices_SubPractices[Org]="Large"),SUMIFS(Practices_SubPractices[D],Practices_SubPractices[CP],"6",Practices_SubPractices[Org],"Large"),IF(AND(Practices_SubPractices[CP]=7,Practices_SubPractices[Org] ="Large"),SUMIFS(Practices_SubPractices[D],Practices_SubPractices[CP],"7",Practices_SubPractices[Org],"Large"),IF(AND(Practices_SubPractices[CP]=8,Practices_SubPractices[Org] ="Large"),SUMIFS(Practices_SubPractices[D],Practices_SubPractices[CP],"8",Practices_SubPractices[Org],"Large"),IF(AND(Practices_SubPractices[CP]=9,Practices_SubPractices[Org] ="Large"),SUMIFS(Practices_SubPractices[D],Practices_SubPractices[CP],"9",Practices_SubPractices[Org],"Large"),IF(AND(Practices_SubPractices[CP]=10,Practices_SubPractices[Org] ="Large"),SUMIFS(Practices_SubPractices[D],Practices_SubPractices[CP],"10",Practices_SubPractices[Org],"Large"),"TBD"))))))))))))))))))))))))))))))</f>
        <v>6</v>
      </c>
      <c r="R106" s="77">
        <f>IF(AND(Practices_SubPractices[CP]=1,Practices_SubPractices[Org]="Small"),SUMIFS(Practices_SubPractices[E],Practices_SubPractices[CP],"1",Practices_SubPractices[Org],"Small"),IF(AND(Practices_SubPractices[CP]=2,Practices_SubPractices[Org]="Small"),SUMIFS(Practices_SubPractices[E],Practices_SubPractices[CP],"2",Practices_SubPractices[Org],"Small"),IF(AND(Practices_SubPractices[CP]=3,Practices_SubPractices[Org]="Small"),SUMIFS(Practices_SubPractices[E],Practices_SubPractices[CP],"3",Practices_SubPractices[Org],"Small"),IF(AND(Practices_SubPractices[CP]=4,Practices_SubPractices[Org]="Small"),SUMIFS(Practices_SubPractices[E],Practices_SubPractices[CP],"4",Practices_SubPractices[Org],"Small"),IF(AND(Practices_SubPractices[CP]=5,Practices_SubPractices[Org]="Small"),SUMIFS(Practices_SubPractices[E],Practices_SubPractices[CP],"5",Practices_SubPractices[Org],"Small"),IF(AND(Practices_SubPractices[CP]=6,Practices_SubPractices[Org]="Small"),SUMIFS(Practices_SubPractices[E],Practices_SubPractices[CP],"6",Practices_SubPractices[Org],"Small"),IF(AND(Practices_SubPractices[CP]=7,Practices_SubPractices[Org] ="Small"),SUMIFS(Practices_SubPractices[E],Practices_SubPractices[CP],"7",Practices_SubPractices[Org],"Small"),IF(AND(Practices_SubPractices[CP]=8,Practices_SubPractices[Org] ="Small"),SUMIFS(Practices_SubPractices[E],Practices_SubPractices[CP],"8",Practices_SubPractices[Org],"Small"),IF(AND(Practices_SubPractices[CP]=9,Practices_SubPractices[Org] ="Small"),SUMIFS(Practices_SubPractices[E],Practices_SubPractices[CP],"9",Practices_SubPractices[Org],"Small"),IF(AND(Practices_SubPractices[CP]=10,Practices_SubPractices[Org] ="Small"),SUMIFS(Practices_SubPractices[E],Practices_SubPractices[CP],"10",Practices_SubPractices[Org],"Small"),IF(AND(Practices_SubPractices[CP]=1,Practices_SubPractices[Org]="Medium"),SUMIFS(Practices_SubPractices[E],Practices_SubPractices[CP],"1",Practices_SubPractices[Org],"Medium"),IF(AND(Practices_SubPractices[CP]=2,Practices_SubPractices[Org]="Medium"),SUMIFS(Practices_SubPractices[E],Practices_SubPractices[CP],"2",Practices_SubPractices[Org],"Medium"),IF(AND(Practices_SubPractices[CP]=3,Practices_SubPractices[Org]="Medium"),SUMIFS(Practices_SubPractices[E],Practices_SubPractices[CP],"3",Practices_SubPractices[Org],"Medium"),IF(AND(Practices_SubPractices[CP]=4,Practices_SubPractices[Org]="Medium"),SUMIFS(Practices_SubPractices[E],Practices_SubPractices[CP],"4",Practices_SubPractices[Org],"Medium"),IF(AND(Practices_SubPractices[CP]=5,Practices_SubPractices[Org]="Medium"),SUMIFS(Practices_SubPractices[E],Practices_SubPractices[CP],"5",Practices_SubPractices[Org],"Medium"),IF(AND(Practices_SubPractices[CP]=6,Practices_SubPractices[Org]="Medium"),SUMIFS(Practices_SubPractices[E],Practices_SubPractices[CP],"6",Practices_SubPractices[Org],"Medium"),IF(AND(Practices_SubPractices[CP]=7,Practices_SubPractices[Org] ="Medium"),SUMIFS(Practices_SubPractices[E],Practices_SubPractices[CP],"7",Practices_SubPractices[Org],"Medium"),IF(AND(Practices_SubPractices[CP]=8,Practices_SubPractices[Org] ="Medium"),SUMIFS(Practices_SubPractices[E],Practices_SubPractices[CP],"8",Practices_SubPractices[Org],"Medium"),IF(AND(Practices_SubPractices[CP]=9,Practices_SubPractices[Org] ="Medium"),SUMIFS(Practices_SubPractices[E],Practices_SubPractices[CP],"9",Practices_SubPractices[Org],"Medium"),IF(AND(Practices_SubPractices[CP]=10,Practices_SubPractices[Org] ="Medium"),SUMIFS(Practices_SubPractices[E],Practices_SubPractices[CP],"10",Practices_SubPractices[Org],"Medium"),IF(AND(Practices_SubPractices[CP]=1,Practices_SubPractices[Org]="Large"),SUMIFS(Practices_SubPractices[E],Practices_SubPractices[CP],"1",Practices_SubPractices[Org],"Large"),IF(AND(Practices_SubPractices[CP]=2,Practices_SubPractices[Org]="Large"),SUMIFS(Practices_SubPractices[E],Practices_SubPractices[CP],"2",Practices_SubPractices[Org],"Large"),IF(AND(Practices_SubPractices[CP]=3,Practices_SubPractices[Org]="Large"),SUMIFS(Practices_SubPractices[E],Practices_SubPractices[CP],"3",Practices_SubPractices[Org],"Large"),IF(AND(Practices_SubPractices[CP]=4,Practices_SubPractices[Org]="Large"),SUMIFS(Practices_SubPractices[E],Practices_SubPractices[CP],"4",Practices_SubPractices[Org],"Large"),IF(AND(Practices_SubPractices[CP]=5,Practices_SubPractices[Org]="Large"),SUMIFS(Practices_SubPractices[E],Practices_SubPractices[CP],"5",Practices_SubPractices[Org],"Large"),IF(AND(Practices_SubPractices[CP]=6,Practices_SubPractices[Org]="Large"),SUMIFS(Practices_SubPractices[E],Practices_SubPractices[CP],"6",Practices_SubPractices[Org],"Large"),IF(AND(Practices_SubPractices[CP]=7,Practices_SubPractices[Org] ="Large"),SUMIFS(Practices_SubPractices[E],Practices_SubPractices[CP],"7",Practices_SubPractices[Org],"Large"),IF(AND(Practices_SubPractices[CP]=8,Practices_SubPractices[Org] ="Large"),SUMIFS(Practices_SubPractices[E],Practices_SubPractices[CP],"8",Practices_SubPractices[Org],"Large"),IF(AND(Practices_SubPractices[CP]=9,Practices_SubPractices[Org] ="Large"),SUMIFS(Practices_SubPractices[E],Practices_SubPractices[CP],"9",Practices_SubPractices[Org],"Large"),IF(AND(Practices_SubPractices[CP]=10,Practices_SubPractices[Org] ="Large"),SUMIFS(Practices_SubPractices[E],Practices_SubPractices[CP],"10",Practices_SubPractices[Org],"Large"),"TBD"))))))))))))))))))))))))))))))</f>
        <v>2</v>
      </c>
      <c r="S106" s="87" t="s">
        <v>434</v>
      </c>
    </row>
    <row r="107" spans="1:19" x14ac:dyDescent="0.35">
      <c r="A107" s="73">
        <v>97</v>
      </c>
      <c r="B107" s="73">
        <v>2</v>
      </c>
      <c r="C107" s="80" t="s">
        <v>12</v>
      </c>
      <c r="D107" s="73" t="str">
        <f>Practices_SubPractices[[#This Row],[CP]]&amp;LEFT(Practices_SubPractices[[#This Row],[Org]],1)</f>
        <v>2L</v>
      </c>
      <c r="E107" s="73" t="s">
        <v>267</v>
      </c>
      <c r="F107" s="74" t="s">
        <v>70</v>
      </c>
      <c r="G107" s="74" t="s">
        <v>76</v>
      </c>
      <c r="H107" s="74" t="s">
        <v>203</v>
      </c>
      <c r="I107" s="75">
        <v>0</v>
      </c>
      <c r="J107" s="75">
        <v>2</v>
      </c>
      <c r="K107" s="75">
        <v>1</v>
      </c>
      <c r="L107" s="75">
        <v>1</v>
      </c>
      <c r="M107" s="75">
        <v>0</v>
      </c>
      <c r="N107" s="76"/>
      <c r="O107" s="77">
        <f>IF(AND(Practices_SubPractices[CP]=1,Practices_SubPractices[Org]="Small"),SUMIFS(Practices_SubPractices[B],Practices_SubPractices[CP],"1",Practices_SubPractices[Org],"Small"),IF(AND(Practices_SubPractices[CP]=2,Practices_SubPractices[Org]="Small"),SUMIFS(Practices_SubPractices[B],Practices_SubPractices[CP],"2",Practices_SubPractices[Org],"Small"),IF(AND(Practices_SubPractices[CP]=3,Practices_SubPractices[Org]="Small"),SUMIFS(Practices_SubPractices[B],Practices_SubPractices[CP],"3",Practices_SubPractices[Org],"Small"),IF(AND(Practices_SubPractices[CP]=4,Practices_SubPractices[Org]="Small"),SUMIFS(Practices_SubPractices[B],Practices_SubPractices[CP],"4",Practices_SubPractices[Org],"Small"),IF(AND(Practices_SubPractices[CP]=5,Practices_SubPractices[Org]="Small"),SUMIFS(Practices_SubPractices[B],Practices_SubPractices[CP],"5",Practices_SubPractices[Org],"Small"),IF(AND(Practices_SubPractices[CP]=6,Practices_SubPractices[Org]="Small"),SUMIFS(Practices_SubPractices[B],Practices_SubPractices[CP],"6",Practices_SubPractices[Org],"Small"),IF(AND(Practices_SubPractices[CP]=7,Practices_SubPractices[Org] ="Small"),SUMIFS(Practices_SubPractices[B],Practices_SubPractices[CP],"7",Practices_SubPractices[Org],"Small"),IF(AND(Practices_SubPractices[CP]=8,Practices_SubPractices[Org] ="Small"),SUMIFS(Practices_SubPractices[B],Practices_SubPractices[CP],"8",Practices_SubPractices[Org],"Small"),IF(AND(Practices_SubPractices[CP]=9,Practices_SubPractices[Org] ="Small"),SUMIFS(Practices_SubPractices[B],Practices_SubPractices[CP],"9",Practices_SubPractices[Org],"Small"),IF(AND(Practices_SubPractices[CP]=10,Practices_SubPractices[Org] ="Small"),SUMIFS(Practices_SubPractices[B],Practices_SubPractices[CP],"10",Practices_SubPractices[Org],"Small"),IF(AND(Practices_SubPractices[CP]=1,Practices_SubPractices[Org]="Medium"),SUMIFS(Practices_SubPractices[B],Practices_SubPractices[CP],"1",Practices_SubPractices[Org],"Medium"),IF(AND(Practices_SubPractices[CP]=2,Practices_SubPractices[Org]="Medium"),SUMIFS(Practices_SubPractices[B],Practices_SubPractices[CP],"2",Practices_SubPractices[Org],"Medium"),IF(AND(Practices_SubPractices[CP]=3,Practices_SubPractices[Org]="Medium"),SUMIFS(Practices_SubPractices[B],Practices_SubPractices[CP],"3",Practices_SubPractices[Org],"Medium"),IF(AND(Practices_SubPractices[CP]=4,Practices_SubPractices[Org]="Medium"),SUMIFS(Practices_SubPractices[B],Practices_SubPractices[CP],"4",Practices_SubPractices[Org],"Medium"),IF(AND(Practices_SubPractices[CP]=5,Practices_SubPractices[Org]="Medium"),SUMIFS(Practices_SubPractices[B],Practices_SubPractices[CP],"5",Practices_SubPractices[Org],"Medium"),IF(AND(Practices_SubPractices[CP]=6,Practices_SubPractices[Org]="Medium"),SUMIFS(Practices_SubPractices[B],Practices_SubPractices[CP],"6",Practices_SubPractices[Org],"Medium"),IF(AND(Practices_SubPractices[CP]=7,Practices_SubPractices[Org] ="Medium"),SUMIFS(Practices_SubPractices[B],Practices_SubPractices[CP],"7",Practices_SubPractices[Org],"Medium"),IF(AND(Practices_SubPractices[CP]=8,Practices_SubPractices[Org] ="Medium"),SUMIFS(Practices_SubPractices[B],Practices_SubPractices[CP],"8",Practices_SubPractices[Org],"Medium"),IF(AND(Practices_SubPractices[CP]=9,Practices_SubPractices[Org] ="Medium"),SUMIFS(Practices_SubPractices[B],Practices_SubPractices[CP],"9",Practices_SubPractices[Org],"Medium"),IF(AND(Practices_SubPractices[CP]=10,Practices_SubPractices[Org] ="Medium"),SUMIFS(Practices_SubPractices[B],Practices_SubPractices[CP],"10",Practices_SubPractices[Org],"Medium"),IF(AND(Practices_SubPractices[CP]=1,Practices_SubPractices[Org]="Large"),SUMIFS(Practices_SubPractices[B],Practices_SubPractices[CP],"1",Practices_SubPractices[Org],"Large"),IF(AND(Practices_SubPractices[CP]=2,Practices_SubPractices[Org]="Large"),SUMIFS(Practices_SubPractices[B],Practices_SubPractices[CP],"2",Practices_SubPractices[Org],"Large"),IF(AND(Practices_SubPractices[CP]=3,Practices_SubPractices[Org]="Large"),SUMIFS(Practices_SubPractices[B],Practices_SubPractices[CP],"3",Practices_SubPractices[Org],"Large"),IF(AND(Practices_SubPractices[CP]=4,Practices_SubPractices[Org]="Large"),SUMIFS(Practices_SubPractices[B],Practices_SubPractices[CP],"4",Practices_SubPractices[Org],"Large"),IF(AND(Practices_SubPractices[CP]=5,Practices_SubPractices[Org]="Large"),SUMIFS(Practices_SubPractices[B],Practices_SubPractices[CP],"5",Practices_SubPractices[Org],"Large"),IF(AND(Practices_SubPractices[CP]=6,Practices_SubPractices[Org]="Large"),SUMIFS(Practices_SubPractices[B],Practices_SubPractices[CP],"6",Practices_SubPractices[Org],"Large"),IF(AND(Practices_SubPractices[CP]=7,Practices_SubPractices[Org] ="Large"),SUMIFS(Practices_SubPractices[B],Practices_SubPractices[CP],"7",Practices_SubPractices[Org],"Large"),IF(AND(Practices_SubPractices[CP]=8,Practices_SubPractices[Org] ="Large"),SUMIFS(Practices_SubPractices[B],Practices_SubPractices[CP],"8",Practices_SubPractices[Org],"Large"),IF(AND(Practices_SubPractices[CP]=9,Practices_SubPractices[Org] ="Large"),SUMIFS(Practices_SubPractices[B],Practices_SubPractices[CP],"9",Practices_SubPractices[Org],"Large"),IF(AND(Practices_SubPractices[CP]=10,Practices_SubPractices[Org] ="Large"),SUMIFS(Practices_SubPractices[B],Practices_SubPractices[CP],"10",Practices_SubPractices[Org],"Large"),"TBD"))))))))))))))))))))))))))))))</f>
        <v>12</v>
      </c>
      <c r="P107" s="77">
        <f>IF(AND(Practices_SubPractices[CP]=1,Practices_SubPractices[Org]="Small"),SUMIFS(Practices_SubPractices[C],Practices_SubPractices[CP],"1",Practices_SubPractices[Org],"Small"),IF(AND(Practices_SubPractices[CP]=2,Practices_SubPractices[Org]="Small"),SUMIFS(Practices_SubPractices[C],Practices_SubPractices[CP],"2",Practices_SubPractices[Org],"Small"),IF(AND(Practices_SubPractices[CP]=3,Practices_SubPractices[Org]="Small"),SUMIFS(Practices_SubPractices[C],Practices_SubPractices[CP],"3",Practices_SubPractices[Org],"Small"),IF(AND(Practices_SubPractices[CP]=4,Practices_SubPractices[Org]="Small"),SUMIFS(Practices_SubPractices[C],Practices_SubPractices[CP],"4",Practices_SubPractices[Org],"Small"),IF(AND(Practices_SubPractices[CP]=5,Practices_SubPractices[Org]="Small"),SUMIFS(Practices_SubPractices[C],Practices_SubPractices[CP],"5",Practices_SubPractices[Org],"Small"),IF(AND(Practices_SubPractices[CP]=6,Practices_SubPractices[Org]="Small"),SUMIFS(Practices_SubPractices[C],Practices_SubPractices[CP],"6",Practices_SubPractices[Org],"Small"),IF(AND(Practices_SubPractices[CP]=7,Practices_SubPractices[Org] ="Small"),SUMIFS(Practices_SubPractices[C],Practices_SubPractices[CP],"7",Practices_SubPractices[Org],"Small"),IF(AND(Practices_SubPractices[CP]=8,Practices_SubPractices[Org] ="Small"),SUMIFS(Practices_SubPractices[C],Practices_SubPractices[CP],"8",Practices_SubPractices[Org],"Small"),IF(AND(Practices_SubPractices[CP]=9,Practices_SubPractices[Org] ="Small"),SUMIFS(Practices_SubPractices[C],Practices_SubPractices[CP],"9",Practices_SubPractices[Org],"Small"),IF(AND(Practices_SubPractices[CP]=10,Practices_SubPractices[Org] ="Small"),SUMIFS(Practices_SubPractices[C],Practices_SubPractices[CP],"10",Practices_SubPractices[Org],"Small"),IF(AND(Practices_SubPractices[CP]=1,Practices_SubPractices[Org]="Medium"),SUMIFS(Practices_SubPractices[C],Practices_SubPractices[CP],"1",Practices_SubPractices[Org],"Medium"),IF(AND(Practices_SubPractices[CP]=2,Practices_SubPractices[Org]="Medium"),SUMIFS(Practices_SubPractices[C],Practices_SubPractices[CP],"2",Practices_SubPractices[Org],"Medium"),IF(AND(Practices_SubPractices[CP]=3,Practices_SubPractices[Org]="Medium"),SUMIFS(Practices_SubPractices[C],Practices_SubPractices[CP],"3",Practices_SubPractices[Org],"Medium"),IF(AND(Practices_SubPractices[CP]=4,Practices_SubPractices[Org]="Medium"),SUMIFS(Practices_SubPractices[C],Practices_SubPractices[CP],"4",Practices_SubPractices[Org],"Medium"),IF(AND(Practices_SubPractices[CP]=5,Practices_SubPractices[Org]="Medium"),SUMIFS(Practices_SubPractices[C],Practices_SubPractices[CP],"5",Practices_SubPractices[Org],"Medium"),IF(AND(Practices_SubPractices[CP]=6,Practices_SubPractices[Org]="Medium"),SUMIFS(Practices_SubPractices[C],Practices_SubPractices[CP],"6",Practices_SubPractices[Org],"Medium"),IF(AND(Practices_SubPractices[CP]=7,Practices_SubPractices[Org] ="Medium"),SUMIFS(Practices_SubPractices[C],Practices_SubPractices[CP],"7",Practices_SubPractices[Org],"Medium"),IF(AND(Practices_SubPractices[CP]=8,Practices_SubPractices[Org] ="Medium"),SUMIFS(Practices_SubPractices[C],Practices_SubPractices[CP],"8",Practices_SubPractices[Org],"Medium"),IF(AND(Practices_SubPractices[CP]=9,Practices_SubPractices[Org] ="Medium"),SUMIFS(Practices_SubPractices[C],Practices_SubPractices[CP],"9",Practices_SubPractices[Org],"Medium"),IF(AND(Practices_SubPractices[CP]=10,Practices_SubPractices[Org] ="Medium"),SUMIFS(Practices_SubPractices[C],Practices_SubPractices[CP],"10",Practices_SubPractices[Org],"Medium"),IF(AND(Practices_SubPractices[CP]=1,Practices_SubPractices[Org]="Large"),SUMIFS(Practices_SubPractices[C],Practices_SubPractices[CP],"1",Practices_SubPractices[Org],"Large"),IF(AND(Practices_SubPractices[CP]=2,Practices_SubPractices[Org]="Large"),SUMIFS(Practices_SubPractices[C],Practices_SubPractices[CP],"2",Practices_SubPractices[Org],"Large"),IF(AND(Practices_SubPractices[CP]=3,Practices_SubPractices[Org]="Large"),SUMIFS(Practices_SubPractices[C],Practices_SubPractices[CP],"3",Practices_SubPractices[Org],"Large"),IF(AND(Practices_SubPractices[CP]=4,Practices_SubPractices[Org]="Large"),SUMIFS(Practices_SubPractices[C],Practices_SubPractices[CP],"4",Practices_SubPractices[Org],"Large"),IF(AND(Practices_SubPractices[CP]=5,Practices_SubPractices[Org]="Large"),SUMIFS(Practices_SubPractices[C],Practices_SubPractices[CP],"5",Practices_SubPractices[Org],"Large"),IF(AND(Practices_SubPractices[CP]=6,Practices_SubPractices[Org]="Large"),SUMIFS(Practices_SubPractices[C],Practices_SubPractices[CP],"6",Practices_SubPractices[Org],"Large"),IF(AND(Practices_SubPractices[CP]=7,Practices_SubPractices[Org] ="Large"),SUMIFS(Practices_SubPractices[C],Practices_SubPractices[CP],"7",Practices_SubPractices[Org],"Large"),IF(AND(Practices_SubPractices[CP]=8,Practices_SubPractices[Org] ="Large"),SUMIFS(Practices_SubPractices[C],Practices_SubPractices[CP],"8",Practices_SubPractices[Org],"Large"),IF(AND(Practices_SubPractices[CP]=9,Practices_SubPractices[Org] ="Large"),SUMIFS(Practices_SubPractices[C],Practices_SubPractices[CP],"9",Practices_SubPractices[Org],"Large"),IF(AND(Practices_SubPractices[CP]=10,Practices_SubPractices[Org] ="Large"),SUMIFS(Practices_SubPractices[C],Practices_SubPractices[CP],"10",Practices_SubPractices[Org],"Large"),"TBD"))))))))))))))))))))))))))))))</f>
        <v>7</v>
      </c>
      <c r="Q107" s="77">
        <f>IF(AND(Practices_SubPractices[CP]=1,Practices_SubPractices[Org]="Small"),SUMIFS(Practices_SubPractices[D],Practices_SubPractices[CP],"1",Practices_SubPractices[Org],"Small"),IF(AND(Practices_SubPractices[CP]=2,Practices_SubPractices[Org]="Small"),SUMIFS(Practices_SubPractices[D],Practices_SubPractices[CP],"2",Practices_SubPractices[Org],"Small"),IF(AND(Practices_SubPractices[CP]=3,Practices_SubPractices[Org]="Small"),SUMIFS(Practices_SubPractices[D],Practices_SubPractices[CP],"3",Practices_SubPractices[Org],"Small"),IF(AND(Practices_SubPractices[CP]=4,Practices_SubPractices[Org]="Small"),SUMIFS(Practices_SubPractices[D],Practices_SubPractices[CP],"4",Practices_SubPractices[Org],"Small"),IF(AND(Practices_SubPractices[CP]=5,Practices_SubPractices[Org]="Small"),SUMIFS(Practices_SubPractices[D],Practices_SubPractices[CP],"5",Practices_SubPractices[Org],"Small"),IF(AND(Practices_SubPractices[CP]=6,Practices_SubPractices[Org]="Small"),SUMIFS(Practices_SubPractices[D],Practices_SubPractices[CP],"6",Practices_SubPractices[Org],"Small"),IF(AND(Practices_SubPractices[CP]=7,Practices_SubPractices[Org] ="Small"),SUMIFS(Practices_SubPractices[D],Practices_SubPractices[CP],"7",Practices_SubPractices[Org],"Small"),IF(AND(Practices_SubPractices[CP]=8,Practices_SubPractices[Org] ="Small"),SUMIFS(Practices_SubPractices[D],Practices_SubPractices[CP],"8",Practices_SubPractices[Org],"Small"),IF(AND(Practices_SubPractices[CP]=9,Practices_SubPractices[Org] ="Small"),SUMIFS(Practices_SubPractices[D],Practices_SubPractices[CP],"9",Practices_SubPractices[Org],"Small"),IF(AND(Practices_SubPractices[CP]=10,Practices_SubPractices[Org] ="Small"),SUMIFS(Practices_SubPractices[D],Practices_SubPractices[CP],"10",Practices_SubPractices[Org],"Small"),IF(AND(Practices_SubPractices[CP]=1,Practices_SubPractices[Org]="Medium"),SUMIFS(Practices_SubPractices[D],Practices_SubPractices[CP],"1",Practices_SubPractices[Org],"Medium"),IF(AND(Practices_SubPractices[CP]=2,Practices_SubPractices[Org]="Medium"),SUMIFS(Practices_SubPractices[D],Practices_SubPractices[CP],"2",Practices_SubPractices[Org],"Medium"),IF(AND(Practices_SubPractices[CP]=3,Practices_SubPractices[Org]="Medium"),SUMIFS(Practices_SubPractices[D],Practices_SubPractices[CP],"3",Practices_SubPractices[Org],"Medium"),IF(AND(Practices_SubPractices[CP]=4,Practices_SubPractices[Org]="Medium"),SUMIFS(Practices_SubPractices[D],Practices_SubPractices[CP],"4",Practices_SubPractices[Org],"Medium"),IF(AND(Practices_SubPractices[CP]=5,Practices_SubPractices[Org]="Medium"),SUMIFS(Practices_SubPractices[D],Practices_SubPractices[CP],"5",Practices_SubPractices[Org],"Medium"),IF(AND(Practices_SubPractices[CP]=6,Practices_SubPractices[Org]="Medium"),SUMIFS(Practices_SubPractices[D],Practices_SubPractices[CP],"6",Practices_SubPractices[Org],"Medium"),IF(AND(Practices_SubPractices[CP]=7,Practices_SubPractices[Org] ="Medium"),SUMIFS(Practices_SubPractices[D],Practices_SubPractices[CP],"7",Practices_SubPractices[Org],"Medium"),IF(AND(Practices_SubPractices[CP]=8,Practices_SubPractices[Org] ="Medium"),SUMIFS(Practices_SubPractices[D],Practices_SubPractices[CP],"8",Practices_SubPractices[Org],"Medium"),IF(AND(Practices_SubPractices[CP]=9,Practices_SubPractices[Org] ="Medium"),SUMIFS(Practices_SubPractices[D],Practices_SubPractices[CP],"9",Practices_SubPractices[Org],"Medium"),IF(AND(Practices_SubPractices[CP]=10,Practices_SubPractices[Org] ="Medium"),SUMIFS(Practices_SubPractices[D],Practices_SubPractices[CP],"10",Practices_SubPractices[Org],"Medium"),IF(AND(Practices_SubPractices[CP]=1,Practices_SubPractices[Org]="Large"),SUMIFS(Practices_SubPractices[D],Practices_SubPractices[CP],"1",Practices_SubPractices[Org],"Large"),IF(AND(Practices_SubPractices[CP]=2,Practices_SubPractices[Org]="Large"),SUMIFS(Practices_SubPractices[D],Practices_SubPractices[CP],"2",Practices_SubPractices[Org],"Large"),IF(AND(Practices_SubPractices[CP]=3,Practices_SubPractices[Org]="Large"),SUMIFS(Practices_SubPractices[D],Practices_SubPractices[CP],"3",Practices_SubPractices[Org],"Large"),IF(AND(Practices_SubPractices[CP]=4,Practices_SubPractices[Org]="Large"),SUMIFS(Practices_SubPractices[D],Practices_SubPractices[CP],"4",Practices_SubPractices[Org],"Large"),IF(AND(Practices_SubPractices[CP]=5,Practices_SubPractices[Org]="Large"),SUMIFS(Practices_SubPractices[D],Practices_SubPractices[CP],"5",Practices_SubPractices[Org],"Large"),IF(AND(Practices_SubPractices[CP]=6,Practices_SubPractices[Org]="Large"),SUMIFS(Practices_SubPractices[D],Practices_SubPractices[CP],"6",Practices_SubPractices[Org],"Large"),IF(AND(Practices_SubPractices[CP]=7,Practices_SubPractices[Org] ="Large"),SUMIFS(Practices_SubPractices[D],Practices_SubPractices[CP],"7",Practices_SubPractices[Org],"Large"),IF(AND(Practices_SubPractices[CP]=8,Practices_SubPractices[Org] ="Large"),SUMIFS(Practices_SubPractices[D],Practices_SubPractices[CP],"8",Practices_SubPractices[Org],"Large"),IF(AND(Practices_SubPractices[CP]=9,Practices_SubPractices[Org] ="Large"),SUMIFS(Practices_SubPractices[D],Practices_SubPractices[CP],"9",Practices_SubPractices[Org],"Large"),IF(AND(Practices_SubPractices[CP]=10,Practices_SubPractices[Org] ="Large"),SUMIFS(Practices_SubPractices[D],Practices_SubPractices[CP],"10",Practices_SubPractices[Org],"Large"),"TBD"))))))))))))))))))))))))))))))</f>
        <v>6</v>
      </c>
      <c r="R107" s="77">
        <f>IF(AND(Practices_SubPractices[CP]=1,Practices_SubPractices[Org]="Small"),SUMIFS(Practices_SubPractices[E],Practices_SubPractices[CP],"1",Practices_SubPractices[Org],"Small"),IF(AND(Practices_SubPractices[CP]=2,Practices_SubPractices[Org]="Small"),SUMIFS(Practices_SubPractices[E],Practices_SubPractices[CP],"2",Practices_SubPractices[Org],"Small"),IF(AND(Practices_SubPractices[CP]=3,Practices_SubPractices[Org]="Small"),SUMIFS(Practices_SubPractices[E],Practices_SubPractices[CP],"3",Practices_SubPractices[Org],"Small"),IF(AND(Practices_SubPractices[CP]=4,Practices_SubPractices[Org]="Small"),SUMIFS(Practices_SubPractices[E],Practices_SubPractices[CP],"4",Practices_SubPractices[Org],"Small"),IF(AND(Practices_SubPractices[CP]=5,Practices_SubPractices[Org]="Small"),SUMIFS(Practices_SubPractices[E],Practices_SubPractices[CP],"5",Practices_SubPractices[Org],"Small"),IF(AND(Practices_SubPractices[CP]=6,Practices_SubPractices[Org]="Small"),SUMIFS(Practices_SubPractices[E],Practices_SubPractices[CP],"6",Practices_SubPractices[Org],"Small"),IF(AND(Practices_SubPractices[CP]=7,Practices_SubPractices[Org] ="Small"),SUMIFS(Practices_SubPractices[E],Practices_SubPractices[CP],"7",Practices_SubPractices[Org],"Small"),IF(AND(Practices_SubPractices[CP]=8,Practices_SubPractices[Org] ="Small"),SUMIFS(Practices_SubPractices[E],Practices_SubPractices[CP],"8",Practices_SubPractices[Org],"Small"),IF(AND(Practices_SubPractices[CP]=9,Practices_SubPractices[Org] ="Small"),SUMIFS(Practices_SubPractices[E],Practices_SubPractices[CP],"9",Practices_SubPractices[Org],"Small"),IF(AND(Practices_SubPractices[CP]=10,Practices_SubPractices[Org] ="Small"),SUMIFS(Practices_SubPractices[E],Practices_SubPractices[CP],"10",Practices_SubPractices[Org],"Small"),IF(AND(Practices_SubPractices[CP]=1,Practices_SubPractices[Org]="Medium"),SUMIFS(Practices_SubPractices[E],Practices_SubPractices[CP],"1",Practices_SubPractices[Org],"Medium"),IF(AND(Practices_SubPractices[CP]=2,Practices_SubPractices[Org]="Medium"),SUMIFS(Practices_SubPractices[E],Practices_SubPractices[CP],"2",Practices_SubPractices[Org],"Medium"),IF(AND(Practices_SubPractices[CP]=3,Practices_SubPractices[Org]="Medium"),SUMIFS(Practices_SubPractices[E],Practices_SubPractices[CP],"3",Practices_SubPractices[Org],"Medium"),IF(AND(Practices_SubPractices[CP]=4,Practices_SubPractices[Org]="Medium"),SUMIFS(Practices_SubPractices[E],Practices_SubPractices[CP],"4",Practices_SubPractices[Org],"Medium"),IF(AND(Practices_SubPractices[CP]=5,Practices_SubPractices[Org]="Medium"),SUMIFS(Practices_SubPractices[E],Practices_SubPractices[CP],"5",Practices_SubPractices[Org],"Medium"),IF(AND(Practices_SubPractices[CP]=6,Practices_SubPractices[Org]="Medium"),SUMIFS(Practices_SubPractices[E],Practices_SubPractices[CP],"6",Practices_SubPractices[Org],"Medium"),IF(AND(Practices_SubPractices[CP]=7,Practices_SubPractices[Org] ="Medium"),SUMIFS(Practices_SubPractices[E],Practices_SubPractices[CP],"7",Practices_SubPractices[Org],"Medium"),IF(AND(Practices_SubPractices[CP]=8,Practices_SubPractices[Org] ="Medium"),SUMIFS(Practices_SubPractices[E],Practices_SubPractices[CP],"8",Practices_SubPractices[Org],"Medium"),IF(AND(Practices_SubPractices[CP]=9,Practices_SubPractices[Org] ="Medium"),SUMIFS(Practices_SubPractices[E],Practices_SubPractices[CP],"9",Practices_SubPractices[Org],"Medium"),IF(AND(Practices_SubPractices[CP]=10,Practices_SubPractices[Org] ="Medium"),SUMIFS(Practices_SubPractices[E],Practices_SubPractices[CP],"10",Practices_SubPractices[Org],"Medium"),IF(AND(Practices_SubPractices[CP]=1,Practices_SubPractices[Org]="Large"),SUMIFS(Practices_SubPractices[E],Practices_SubPractices[CP],"1",Practices_SubPractices[Org],"Large"),IF(AND(Practices_SubPractices[CP]=2,Practices_SubPractices[Org]="Large"),SUMIFS(Practices_SubPractices[E],Practices_SubPractices[CP],"2",Practices_SubPractices[Org],"Large"),IF(AND(Practices_SubPractices[CP]=3,Practices_SubPractices[Org]="Large"),SUMIFS(Practices_SubPractices[E],Practices_SubPractices[CP],"3",Practices_SubPractices[Org],"Large"),IF(AND(Practices_SubPractices[CP]=4,Practices_SubPractices[Org]="Large"),SUMIFS(Practices_SubPractices[E],Practices_SubPractices[CP],"4",Practices_SubPractices[Org],"Large"),IF(AND(Practices_SubPractices[CP]=5,Practices_SubPractices[Org]="Large"),SUMIFS(Practices_SubPractices[E],Practices_SubPractices[CP],"5",Practices_SubPractices[Org],"Large"),IF(AND(Practices_SubPractices[CP]=6,Practices_SubPractices[Org]="Large"),SUMIFS(Practices_SubPractices[E],Practices_SubPractices[CP],"6",Practices_SubPractices[Org],"Large"),IF(AND(Practices_SubPractices[CP]=7,Practices_SubPractices[Org] ="Large"),SUMIFS(Practices_SubPractices[E],Practices_SubPractices[CP],"7",Practices_SubPractices[Org],"Large"),IF(AND(Practices_SubPractices[CP]=8,Practices_SubPractices[Org] ="Large"),SUMIFS(Practices_SubPractices[E],Practices_SubPractices[CP],"8",Practices_SubPractices[Org],"Large"),IF(AND(Practices_SubPractices[CP]=9,Practices_SubPractices[Org] ="Large"),SUMIFS(Practices_SubPractices[E],Practices_SubPractices[CP],"9",Practices_SubPractices[Org],"Large"),IF(AND(Practices_SubPractices[CP]=10,Practices_SubPractices[Org] ="Large"),SUMIFS(Practices_SubPractices[E],Practices_SubPractices[CP],"10",Practices_SubPractices[Org],"Large"),"TBD"))))))))))))))))))))))))))))))</f>
        <v>2</v>
      </c>
      <c r="S107" s="87" t="s">
        <v>416</v>
      </c>
    </row>
    <row r="108" spans="1:19" x14ac:dyDescent="0.35">
      <c r="A108" s="73">
        <v>98</v>
      </c>
      <c r="B108" s="73">
        <v>2</v>
      </c>
      <c r="C108" s="80" t="s">
        <v>12</v>
      </c>
      <c r="D108" s="73" t="str">
        <f>Practices_SubPractices[[#This Row],[CP]]&amp;LEFT(Practices_SubPractices[[#This Row],[Org]],1)</f>
        <v>2L</v>
      </c>
      <c r="E108" s="73" t="s">
        <v>268</v>
      </c>
      <c r="F108" s="74" t="s">
        <v>71</v>
      </c>
      <c r="G108" s="74" t="s">
        <v>77</v>
      </c>
      <c r="H108" s="74" t="s">
        <v>204</v>
      </c>
      <c r="I108" s="75">
        <v>0</v>
      </c>
      <c r="J108" s="75">
        <v>2</v>
      </c>
      <c r="K108" s="75">
        <v>0</v>
      </c>
      <c r="L108" s="75">
        <v>1</v>
      </c>
      <c r="M108" s="75">
        <v>0</v>
      </c>
      <c r="N108" s="76"/>
      <c r="O108" s="77">
        <f>IF(AND(Practices_SubPractices[CP]=1,Practices_SubPractices[Org]="Small"),SUMIFS(Practices_SubPractices[B],Practices_SubPractices[CP],"1",Practices_SubPractices[Org],"Small"),IF(AND(Practices_SubPractices[CP]=2,Practices_SubPractices[Org]="Small"),SUMIFS(Practices_SubPractices[B],Practices_SubPractices[CP],"2",Practices_SubPractices[Org],"Small"),IF(AND(Practices_SubPractices[CP]=3,Practices_SubPractices[Org]="Small"),SUMIFS(Practices_SubPractices[B],Practices_SubPractices[CP],"3",Practices_SubPractices[Org],"Small"),IF(AND(Practices_SubPractices[CP]=4,Practices_SubPractices[Org]="Small"),SUMIFS(Practices_SubPractices[B],Practices_SubPractices[CP],"4",Practices_SubPractices[Org],"Small"),IF(AND(Practices_SubPractices[CP]=5,Practices_SubPractices[Org]="Small"),SUMIFS(Practices_SubPractices[B],Practices_SubPractices[CP],"5",Practices_SubPractices[Org],"Small"),IF(AND(Practices_SubPractices[CP]=6,Practices_SubPractices[Org]="Small"),SUMIFS(Practices_SubPractices[B],Practices_SubPractices[CP],"6",Practices_SubPractices[Org],"Small"),IF(AND(Practices_SubPractices[CP]=7,Practices_SubPractices[Org] ="Small"),SUMIFS(Practices_SubPractices[B],Practices_SubPractices[CP],"7",Practices_SubPractices[Org],"Small"),IF(AND(Practices_SubPractices[CP]=8,Practices_SubPractices[Org] ="Small"),SUMIFS(Practices_SubPractices[B],Practices_SubPractices[CP],"8",Practices_SubPractices[Org],"Small"),IF(AND(Practices_SubPractices[CP]=9,Practices_SubPractices[Org] ="Small"),SUMIFS(Practices_SubPractices[B],Practices_SubPractices[CP],"9",Practices_SubPractices[Org],"Small"),IF(AND(Practices_SubPractices[CP]=10,Practices_SubPractices[Org] ="Small"),SUMIFS(Practices_SubPractices[B],Practices_SubPractices[CP],"10",Practices_SubPractices[Org],"Small"),IF(AND(Practices_SubPractices[CP]=1,Practices_SubPractices[Org]="Medium"),SUMIFS(Practices_SubPractices[B],Practices_SubPractices[CP],"1",Practices_SubPractices[Org],"Medium"),IF(AND(Practices_SubPractices[CP]=2,Practices_SubPractices[Org]="Medium"),SUMIFS(Practices_SubPractices[B],Practices_SubPractices[CP],"2",Practices_SubPractices[Org],"Medium"),IF(AND(Practices_SubPractices[CP]=3,Practices_SubPractices[Org]="Medium"),SUMIFS(Practices_SubPractices[B],Practices_SubPractices[CP],"3",Practices_SubPractices[Org],"Medium"),IF(AND(Practices_SubPractices[CP]=4,Practices_SubPractices[Org]="Medium"),SUMIFS(Practices_SubPractices[B],Practices_SubPractices[CP],"4",Practices_SubPractices[Org],"Medium"),IF(AND(Practices_SubPractices[CP]=5,Practices_SubPractices[Org]="Medium"),SUMIFS(Practices_SubPractices[B],Practices_SubPractices[CP],"5",Practices_SubPractices[Org],"Medium"),IF(AND(Practices_SubPractices[CP]=6,Practices_SubPractices[Org]="Medium"),SUMIFS(Practices_SubPractices[B],Practices_SubPractices[CP],"6",Practices_SubPractices[Org],"Medium"),IF(AND(Practices_SubPractices[CP]=7,Practices_SubPractices[Org] ="Medium"),SUMIFS(Practices_SubPractices[B],Practices_SubPractices[CP],"7",Practices_SubPractices[Org],"Medium"),IF(AND(Practices_SubPractices[CP]=8,Practices_SubPractices[Org] ="Medium"),SUMIFS(Practices_SubPractices[B],Practices_SubPractices[CP],"8",Practices_SubPractices[Org],"Medium"),IF(AND(Practices_SubPractices[CP]=9,Practices_SubPractices[Org] ="Medium"),SUMIFS(Practices_SubPractices[B],Practices_SubPractices[CP],"9",Practices_SubPractices[Org],"Medium"),IF(AND(Practices_SubPractices[CP]=10,Practices_SubPractices[Org] ="Medium"),SUMIFS(Practices_SubPractices[B],Practices_SubPractices[CP],"10",Practices_SubPractices[Org],"Medium"),IF(AND(Practices_SubPractices[CP]=1,Practices_SubPractices[Org]="Large"),SUMIFS(Practices_SubPractices[B],Practices_SubPractices[CP],"1",Practices_SubPractices[Org],"Large"),IF(AND(Practices_SubPractices[CP]=2,Practices_SubPractices[Org]="Large"),SUMIFS(Practices_SubPractices[B],Practices_SubPractices[CP],"2",Practices_SubPractices[Org],"Large"),IF(AND(Practices_SubPractices[CP]=3,Practices_SubPractices[Org]="Large"),SUMIFS(Practices_SubPractices[B],Practices_SubPractices[CP],"3",Practices_SubPractices[Org],"Large"),IF(AND(Practices_SubPractices[CP]=4,Practices_SubPractices[Org]="Large"),SUMIFS(Practices_SubPractices[B],Practices_SubPractices[CP],"4",Practices_SubPractices[Org],"Large"),IF(AND(Practices_SubPractices[CP]=5,Practices_SubPractices[Org]="Large"),SUMIFS(Practices_SubPractices[B],Practices_SubPractices[CP],"5",Practices_SubPractices[Org],"Large"),IF(AND(Practices_SubPractices[CP]=6,Practices_SubPractices[Org]="Large"),SUMIFS(Practices_SubPractices[B],Practices_SubPractices[CP],"6",Practices_SubPractices[Org],"Large"),IF(AND(Practices_SubPractices[CP]=7,Practices_SubPractices[Org] ="Large"),SUMIFS(Practices_SubPractices[B],Practices_SubPractices[CP],"7",Practices_SubPractices[Org],"Large"),IF(AND(Practices_SubPractices[CP]=8,Practices_SubPractices[Org] ="Large"),SUMIFS(Practices_SubPractices[B],Practices_SubPractices[CP],"8",Practices_SubPractices[Org],"Large"),IF(AND(Practices_SubPractices[CP]=9,Practices_SubPractices[Org] ="Large"),SUMIFS(Practices_SubPractices[B],Practices_SubPractices[CP],"9",Practices_SubPractices[Org],"Large"),IF(AND(Practices_SubPractices[CP]=10,Practices_SubPractices[Org] ="Large"),SUMIFS(Practices_SubPractices[B],Practices_SubPractices[CP],"10",Practices_SubPractices[Org],"Large"),"TBD"))))))))))))))))))))))))))))))</f>
        <v>12</v>
      </c>
      <c r="P108" s="77">
        <f>IF(AND(Practices_SubPractices[CP]=1,Practices_SubPractices[Org]="Small"),SUMIFS(Practices_SubPractices[C],Practices_SubPractices[CP],"1",Practices_SubPractices[Org],"Small"),IF(AND(Practices_SubPractices[CP]=2,Practices_SubPractices[Org]="Small"),SUMIFS(Practices_SubPractices[C],Practices_SubPractices[CP],"2",Practices_SubPractices[Org],"Small"),IF(AND(Practices_SubPractices[CP]=3,Practices_SubPractices[Org]="Small"),SUMIFS(Practices_SubPractices[C],Practices_SubPractices[CP],"3",Practices_SubPractices[Org],"Small"),IF(AND(Practices_SubPractices[CP]=4,Practices_SubPractices[Org]="Small"),SUMIFS(Practices_SubPractices[C],Practices_SubPractices[CP],"4",Practices_SubPractices[Org],"Small"),IF(AND(Practices_SubPractices[CP]=5,Practices_SubPractices[Org]="Small"),SUMIFS(Practices_SubPractices[C],Practices_SubPractices[CP],"5",Practices_SubPractices[Org],"Small"),IF(AND(Practices_SubPractices[CP]=6,Practices_SubPractices[Org]="Small"),SUMIFS(Practices_SubPractices[C],Practices_SubPractices[CP],"6",Practices_SubPractices[Org],"Small"),IF(AND(Practices_SubPractices[CP]=7,Practices_SubPractices[Org] ="Small"),SUMIFS(Practices_SubPractices[C],Practices_SubPractices[CP],"7",Practices_SubPractices[Org],"Small"),IF(AND(Practices_SubPractices[CP]=8,Practices_SubPractices[Org] ="Small"),SUMIFS(Practices_SubPractices[C],Practices_SubPractices[CP],"8",Practices_SubPractices[Org],"Small"),IF(AND(Practices_SubPractices[CP]=9,Practices_SubPractices[Org] ="Small"),SUMIFS(Practices_SubPractices[C],Practices_SubPractices[CP],"9",Practices_SubPractices[Org],"Small"),IF(AND(Practices_SubPractices[CP]=10,Practices_SubPractices[Org] ="Small"),SUMIFS(Practices_SubPractices[C],Practices_SubPractices[CP],"10",Practices_SubPractices[Org],"Small"),IF(AND(Practices_SubPractices[CP]=1,Practices_SubPractices[Org]="Medium"),SUMIFS(Practices_SubPractices[C],Practices_SubPractices[CP],"1",Practices_SubPractices[Org],"Medium"),IF(AND(Practices_SubPractices[CP]=2,Practices_SubPractices[Org]="Medium"),SUMIFS(Practices_SubPractices[C],Practices_SubPractices[CP],"2",Practices_SubPractices[Org],"Medium"),IF(AND(Practices_SubPractices[CP]=3,Practices_SubPractices[Org]="Medium"),SUMIFS(Practices_SubPractices[C],Practices_SubPractices[CP],"3",Practices_SubPractices[Org],"Medium"),IF(AND(Practices_SubPractices[CP]=4,Practices_SubPractices[Org]="Medium"),SUMIFS(Practices_SubPractices[C],Practices_SubPractices[CP],"4",Practices_SubPractices[Org],"Medium"),IF(AND(Practices_SubPractices[CP]=5,Practices_SubPractices[Org]="Medium"),SUMIFS(Practices_SubPractices[C],Practices_SubPractices[CP],"5",Practices_SubPractices[Org],"Medium"),IF(AND(Practices_SubPractices[CP]=6,Practices_SubPractices[Org]="Medium"),SUMIFS(Practices_SubPractices[C],Practices_SubPractices[CP],"6",Practices_SubPractices[Org],"Medium"),IF(AND(Practices_SubPractices[CP]=7,Practices_SubPractices[Org] ="Medium"),SUMIFS(Practices_SubPractices[C],Practices_SubPractices[CP],"7",Practices_SubPractices[Org],"Medium"),IF(AND(Practices_SubPractices[CP]=8,Practices_SubPractices[Org] ="Medium"),SUMIFS(Practices_SubPractices[C],Practices_SubPractices[CP],"8",Practices_SubPractices[Org],"Medium"),IF(AND(Practices_SubPractices[CP]=9,Practices_SubPractices[Org] ="Medium"),SUMIFS(Practices_SubPractices[C],Practices_SubPractices[CP],"9",Practices_SubPractices[Org],"Medium"),IF(AND(Practices_SubPractices[CP]=10,Practices_SubPractices[Org] ="Medium"),SUMIFS(Practices_SubPractices[C],Practices_SubPractices[CP],"10",Practices_SubPractices[Org],"Medium"),IF(AND(Practices_SubPractices[CP]=1,Practices_SubPractices[Org]="Large"),SUMIFS(Practices_SubPractices[C],Practices_SubPractices[CP],"1",Practices_SubPractices[Org],"Large"),IF(AND(Practices_SubPractices[CP]=2,Practices_SubPractices[Org]="Large"),SUMIFS(Practices_SubPractices[C],Practices_SubPractices[CP],"2",Practices_SubPractices[Org],"Large"),IF(AND(Practices_SubPractices[CP]=3,Practices_SubPractices[Org]="Large"),SUMIFS(Practices_SubPractices[C],Practices_SubPractices[CP],"3",Practices_SubPractices[Org],"Large"),IF(AND(Practices_SubPractices[CP]=4,Practices_SubPractices[Org]="Large"),SUMIFS(Practices_SubPractices[C],Practices_SubPractices[CP],"4",Practices_SubPractices[Org],"Large"),IF(AND(Practices_SubPractices[CP]=5,Practices_SubPractices[Org]="Large"),SUMIFS(Practices_SubPractices[C],Practices_SubPractices[CP],"5",Practices_SubPractices[Org],"Large"),IF(AND(Practices_SubPractices[CP]=6,Practices_SubPractices[Org]="Large"),SUMIFS(Practices_SubPractices[C],Practices_SubPractices[CP],"6",Practices_SubPractices[Org],"Large"),IF(AND(Practices_SubPractices[CP]=7,Practices_SubPractices[Org] ="Large"),SUMIFS(Practices_SubPractices[C],Practices_SubPractices[CP],"7",Practices_SubPractices[Org],"Large"),IF(AND(Practices_SubPractices[CP]=8,Practices_SubPractices[Org] ="Large"),SUMIFS(Practices_SubPractices[C],Practices_SubPractices[CP],"8",Practices_SubPractices[Org],"Large"),IF(AND(Practices_SubPractices[CP]=9,Practices_SubPractices[Org] ="Large"),SUMIFS(Practices_SubPractices[C],Practices_SubPractices[CP],"9",Practices_SubPractices[Org],"Large"),IF(AND(Practices_SubPractices[CP]=10,Practices_SubPractices[Org] ="Large"),SUMIFS(Practices_SubPractices[C],Practices_SubPractices[CP],"10",Practices_SubPractices[Org],"Large"),"TBD"))))))))))))))))))))))))))))))</f>
        <v>7</v>
      </c>
      <c r="Q108" s="77">
        <f>IF(AND(Practices_SubPractices[CP]=1,Practices_SubPractices[Org]="Small"),SUMIFS(Practices_SubPractices[D],Practices_SubPractices[CP],"1",Practices_SubPractices[Org],"Small"),IF(AND(Practices_SubPractices[CP]=2,Practices_SubPractices[Org]="Small"),SUMIFS(Practices_SubPractices[D],Practices_SubPractices[CP],"2",Practices_SubPractices[Org],"Small"),IF(AND(Practices_SubPractices[CP]=3,Practices_SubPractices[Org]="Small"),SUMIFS(Practices_SubPractices[D],Practices_SubPractices[CP],"3",Practices_SubPractices[Org],"Small"),IF(AND(Practices_SubPractices[CP]=4,Practices_SubPractices[Org]="Small"),SUMIFS(Practices_SubPractices[D],Practices_SubPractices[CP],"4",Practices_SubPractices[Org],"Small"),IF(AND(Practices_SubPractices[CP]=5,Practices_SubPractices[Org]="Small"),SUMIFS(Practices_SubPractices[D],Practices_SubPractices[CP],"5",Practices_SubPractices[Org],"Small"),IF(AND(Practices_SubPractices[CP]=6,Practices_SubPractices[Org]="Small"),SUMIFS(Practices_SubPractices[D],Practices_SubPractices[CP],"6",Practices_SubPractices[Org],"Small"),IF(AND(Practices_SubPractices[CP]=7,Practices_SubPractices[Org] ="Small"),SUMIFS(Practices_SubPractices[D],Practices_SubPractices[CP],"7",Practices_SubPractices[Org],"Small"),IF(AND(Practices_SubPractices[CP]=8,Practices_SubPractices[Org] ="Small"),SUMIFS(Practices_SubPractices[D],Practices_SubPractices[CP],"8",Practices_SubPractices[Org],"Small"),IF(AND(Practices_SubPractices[CP]=9,Practices_SubPractices[Org] ="Small"),SUMIFS(Practices_SubPractices[D],Practices_SubPractices[CP],"9",Practices_SubPractices[Org],"Small"),IF(AND(Practices_SubPractices[CP]=10,Practices_SubPractices[Org] ="Small"),SUMIFS(Practices_SubPractices[D],Practices_SubPractices[CP],"10",Practices_SubPractices[Org],"Small"),IF(AND(Practices_SubPractices[CP]=1,Practices_SubPractices[Org]="Medium"),SUMIFS(Practices_SubPractices[D],Practices_SubPractices[CP],"1",Practices_SubPractices[Org],"Medium"),IF(AND(Practices_SubPractices[CP]=2,Practices_SubPractices[Org]="Medium"),SUMIFS(Practices_SubPractices[D],Practices_SubPractices[CP],"2",Practices_SubPractices[Org],"Medium"),IF(AND(Practices_SubPractices[CP]=3,Practices_SubPractices[Org]="Medium"),SUMIFS(Practices_SubPractices[D],Practices_SubPractices[CP],"3",Practices_SubPractices[Org],"Medium"),IF(AND(Practices_SubPractices[CP]=4,Practices_SubPractices[Org]="Medium"),SUMIFS(Practices_SubPractices[D],Practices_SubPractices[CP],"4",Practices_SubPractices[Org],"Medium"),IF(AND(Practices_SubPractices[CP]=5,Practices_SubPractices[Org]="Medium"),SUMIFS(Practices_SubPractices[D],Practices_SubPractices[CP],"5",Practices_SubPractices[Org],"Medium"),IF(AND(Practices_SubPractices[CP]=6,Practices_SubPractices[Org]="Medium"),SUMIFS(Practices_SubPractices[D],Practices_SubPractices[CP],"6",Practices_SubPractices[Org],"Medium"),IF(AND(Practices_SubPractices[CP]=7,Practices_SubPractices[Org] ="Medium"),SUMIFS(Practices_SubPractices[D],Practices_SubPractices[CP],"7",Practices_SubPractices[Org],"Medium"),IF(AND(Practices_SubPractices[CP]=8,Practices_SubPractices[Org] ="Medium"),SUMIFS(Practices_SubPractices[D],Practices_SubPractices[CP],"8",Practices_SubPractices[Org],"Medium"),IF(AND(Practices_SubPractices[CP]=9,Practices_SubPractices[Org] ="Medium"),SUMIFS(Practices_SubPractices[D],Practices_SubPractices[CP],"9",Practices_SubPractices[Org],"Medium"),IF(AND(Practices_SubPractices[CP]=10,Practices_SubPractices[Org] ="Medium"),SUMIFS(Practices_SubPractices[D],Practices_SubPractices[CP],"10",Practices_SubPractices[Org],"Medium"),IF(AND(Practices_SubPractices[CP]=1,Practices_SubPractices[Org]="Large"),SUMIFS(Practices_SubPractices[D],Practices_SubPractices[CP],"1",Practices_SubPractices[Org],"Large"),IF(AND(Practices_SubPractices[CP]=2,Practices_SubPractices[Org]="Large"),SUMIFS(Practices_SubPractices[D],Practices_SubPractices[CP],"2",Practices_SubPractices[Org],"Large"),IF(AND(Practices_SubPractices[CP]=3,Practices_SubPractices[Org]="Large"),SUMIFS(Practices_SubPractices[D],Practices_SubPractices[CP],"3",Practices_SubPractices[Org],"Large"),IF(AND(Practices_SubPractices[CP]=4,Practices_SubPractices[Org]="Large"),SUMIFS(Practices_SubPractices[D],Practices_SubPractices[CP],"4",Practices_SubPractices[Org],"Large"),IF(AND(Practices_SubPractices[CP]=5,Practices_SubPractices[Org]="Large"),SUMIFS(Practices_SubPractices[D],Practices_SubPractices[CP],"5",Practices_SubPractices[Org],"Large"),IF(AND(Practices_SubPractices[CP]=6,Practices_SubPractices[Org]="Large"),SUMIFS(Practices_SubPractices[D],Practices_SubPractices[CP],"6",Practices_SubPractices[Org],"Large"),IF(AND(Practices_SubPractices[CP]=7,Practices_SubPractices[Org] ="Large"),SUMIFS(Practices_SubPractices[D],Practices_SubPractices[CP],"7",Practices_SubPractices[Org],"Large"),IF(AND(Practices_SubPractices[CP]=8,Practices_SubPractices[Org] ="Large"),SUMIFS(Practices_SubPractices[D],Practices_SubPractices[CP],"8",Practices_SubPractices[Org],"Large"),IF(AND(Practices_SubPractices[CP]=9,Practices_SubPractices[Org] ="Large"),SUMIFS(Practices_SubPractices[D],Practices_SubPractices[CP],"9",Practices_SubPractices[Org],"Large"),IF(AND(Practices_SubPractices[CP]=10,Practices_SubPractices[Org] ="Large"),SUMIFS(Practices_SubPractices[D],Practices_SubPractices[CP],"10",Practices_SubPractices[Org],"Large"),"TBD"))))))))))))))))))))))))))))))</f>
        <v>6</v>
      </c>
      <c r="R108" s="77">
        <f>IF(AND(Practices_SubPractices[CP]=1,Practices_SubPractices[Org]="Small"),SUMIFS(Practices_SubPractices[E],Practices_SubPractices[CP],"1",Practices_SubPractices[Org],"Small"),IF(AND(Practices_SubPractices[CP]=2,Practices_SubPractices[Org]="Small"),SUMIFS(Practices_SubPractices[E],Practices_SubPractices[CP],"2",Practices_SubPractices[Org],"Small"),IF(AND(Practices_SubPractices[CP]=3,Practices_SubPractices[Org]="Small"),SUMIFS(Practices_SubPractices[E],Practices_SubPractices[CP],"3",Practices_SubPractices[Org],"Small"),IF(AND(Practices_SubPractices[CP]=4,Practices_SubPractices[Org]="Small"),SUMIFS(Practices_SubPractices[E],Practices_SubPractices[CP],"4",Practices_SubPractices[Org],"Small"),IF(AND(Practices_SubPractices[CP]=5,Practices_SubPractices[Org]="Small"),SUMIFS(Practices_SubPractices[E],Practices_SubPractices[CP],"5",Practices_SubPractices[Org],"Small"),IF(AND(Practices_SubPractices[CP]=6,Practices_SubPractices[Org]="Small"),SUMIFS(Practices_SubPractices[E],Practices_SubPractices[CP],"6",Practices_SubPractices[Org],"Small"),IF(AND(Practices_SubPractices[CP]=7,Practices_SubPractices[Org] ="Small"),SUMIFS(Practices_SubPractices[E],Practices_SubPractices[CP],"7",Practices_SubPractices[Org],"Small"),IF(AND(Practices_SubPractices[CP]=8,Practices_SubPractices[Org] ="Small"),SUMIFS(Practices_SubPractices[E],Practices_SubPractices[CP],"8",Practices_SubPractices[Org],"Small"),IF(AND(Practices_SubPractices[CP]=9,Practices_SubPractices[Org] ="Small"),SUMIFS(Practices_SubPractices[E],Practices_SubPractices[CP],"9",Practices_SubPractices[Org],"Small"),IF(AND(Practices_SubPractices[CP]=10,Practices_SubPractices[Org] ="Small"),SUMIFS(Practices_SubPractices[E],Practices_SubPractices[CP],"10",Practices_SubPractices[Org],"Small"),IF(AND(Practices_SubPractices[CP]=1,Practices_SubPractices[Org]="Medium"),SUMIFS(Practices_SubPractices[E],Practices_SubPractices[CP],"1",Practices_SubPractices[Org],"Medium"),IF(AND(Practices_SubPractices[CP]=2,Practices_SubPractices[Org]="Medium"),SUMIFS(Practices_SubPractices[E],Practices_SubPractices[CP],"2",Practices_SubPractices[Org],"Medium"),IF(AND(Practices_SubPractices[CP]=3,Practices_SubPractices[Org]="Medium"),SUMIFS(Practices_SubPractices[E],Practices_SubPractices[CP],"3",Practices_SubPractices[Org],"Medium"),IF(AND(Practices_SubPractices[CP]=4,Practices_SubPractices[Org]="Medium"),SUMIFS(Practices_SubPractices[E],Practices_SubPractices[CP],"4",Practices_SubPractices[Org],"Medium"),IF(AND(Practices_SubPractices[CP]=5,Practices_SubPractices[Org]="Medium"),SUMIFS(Practices_SubPractices[E],Practices_SubPractices[CP],"5",Practices_SubPractices[Org],"Medium"),IF(AND(Practices_SubPractices[CP]=6,Practices_SubPractices[Org]="Medium"),SUMIFS(Practices_SubPractices[E],Practices_SubPractices[CP],"6",Practices_SubPractices[Org],"Medium"),IF(AND(Practices_SubPractices[CP]=7,Practices_SubPractices[Org] ="Medium"),SUMIFS(Practices_SubPractices[E],Practices_SubPractices[CP],"7",Practices_SubPractices[Org],"Medium"),IF(AND(Practices_SubPractices[CP]=8,Practices_SubPractices[Org] ="Medium"),SUMIFS(Practices_SubPractices[E],Practices_SubPractices[CP],"8",Practices_SubPractices[Org],"Medium"),IF(AND(Practices_SubPractices[CP]=9,Practices_SubPractices[Org] ="Medium"),SUMIFS(Practices_SubPractices[E],Practices_SubPractices[CP],"9",Practices_SubPractices[Org],"Medium"),IF(AND(Practices_SubPractices[CP]=10,Practices_SubPractices[Org] ="Medium"),SUMIFS(Practices_SubPractices[E],Practices_SubPractices[CP],"10",Practices_SubPractices[Org],"Medium"),IF(AND(Practices_SubPractices[CP]=1,Practices_SubPractices[Org]="Large"),SUMIFS(Practices_SubPractices[E],Practices_SubPractices[CP],"1",Practices_SubPractices[Org],"Large"),IF(AND(Practices_SubPractices[CP]=2,Practices_SubPractices[Org]="Large"),SUMIFS(Practices_SubPractices[E],Practices_SubPractices[CP],"2",Practices_SubPractices[Org],"Large"),IF(AND(Practices_SubPractices[CP]=3,Practices_SubPractices[Org]="Large"),SUMIFS(Practices_SubPractices[E],Practices_SubPractices[CP],"3",Practices_SubPractices[Org],"Large"),IF(AND(Practices_SubPractices[CP]=4,Practices_SubPractices[Org]="Large"),SUMIFS(Practices_SubPractices[E],Practices_SubPractices[CP],"4",Practices_SubPractices[Org],"Large"),IF(AND(Practices_SubPractices[CP]=5,Practices_SubPractices[Org]="Large"),SUMIFS(Practices_SubPractices[E],Practices_SubPractices[CP],"5",Practices_SubPractices[Org],"Large"),IF(AND(Practices_SubPractices[CP]=6,Practices_SubPractices[Org]="Large"),SUMIFS(Practices_SubPractices[E],Practices_SubPractices[CP],"6",Practices_SubPractices[Org],"Large"),IF(AND(Practices_SubPractices[CP]=7,Practices_SubPractices[Org] ="Large"),SUMIFS(Practices_SubPractices[E],Practices_SubPractices[CP],"7",Practices_SubPractices[Org],"Large"),IF(AND(Practices_SubPractices[CP]=8,Practices_SubPractices[Org] ="Large"),SUMIFS(Practices_SubPractices[E],Practices_SubPractices[CP],"8",Practices_SubPractices[Org],"Large"),IF(AND(Practices_SubPractices[CP]=9,Practices_SubPractices[Org] ="Large"),SUMIFS(Practices_SubPractices[E],Practices_SubPractices[CP],"9",Practices_SubPractices[Org],"Large"),IF(AND(Practices_SubPractices[CP]=10,Practices_SubPractices[Org] ="Large"),SUMIFS(Practices_SubPractices[E],Practices_SubPractices[CP],"10",Practices_SubPractices[Org],"Large"),"TBD"))))))))))))))))))))))))))))))</f>
        <v>2</v>
      </c>
      <c r="S108" s="87" t="s">
        <v>435</v>
      </c>
    </row>
    <row r="109" spans="1:19" x14ac:dyDescent="0.35">
      <c r="A109" s="73">
        <v>99</v>
      </c>
      <c r="B109" s="73">
        <v>2</v>
      </c>
      <c r="C109" s="80" t="s">
        <v>12</v>
      </c>
      <c r="D109" s="73" t="str">
        <f>Practices_SubPractices[[#This Row],[CP]]&amp;LEFT(Practices_SubPractices[[#This Row],[Org]],1)</f>
        <v>2L</v>
      </c>
      <c r="E109" s="73" t="s">
        <v>212</v>
      </c>
      <c r="F109" s="74" t="s">
        <v>72</v>
      </c>
      <c r="G109" s="74" t="s">
        <v>78</v>
      </c>
      <c r="H109" s="74" t="s">
        <v>205</v>
      </c>
      <c r="I109" s="75">
        <v>0</v>
      </c>
      <c r="J109" s="75">
        <v>2</v>
      </c>
      <c r="K109" s="75">
        <v>0</v>
      </c>
      <c r="L109" s="75">
        <v>1</v>
      </c>
      <c r="M109" s="75">
        <v>1</v>
      </c>
      <c r="N109" s="76"/>
      <c r="O109" s="77">
        <f>IF(AND(Practices_SubPractices[CP]=1,Practices_SubPractices[Org]="Small"),SUMIFS(Practices_SubPractices[B],Practices_SubPractices[CP],"1",Practices_SubPractices[Org],"Small"),IF(AND(Practices_SubPractices[CP]=2,Practices_SubPractices[Org]="Small"),SUMIFS(Practices_SubPractices[B],Practices_SubPractices[CP],"2",Practices_SubPractices[Org],"Small"),IF(AND(Practices_SubPractices[CP]=3,Practices_SubPractices[Org]="Small"),SUMIFS(Practices_SubPractices[B],Practices_SubPractices[CP],"3",Practices_SubPractices[Org],"Small"),IF(AND(Practices_SubPractices[CP]=4,Practices_SubPractices[Org]="Small"),SUMIFS(Practices_SubPractices[B],Practices_SubPractices[CP],"4",Practices_SubPractices[Org],"Small"),IF(AND(Practices_SubPractices[CP]=5,Practices_SubPractices[Org]="Small"),SUMIFS(Practices_SubPractices[B],Practices_SubPractices[CP],"5",Practices_SubPractices[Org],"Small"),IF(AND(Practices_SubPractices[CP]=6,Practices_SubPractices[Org]="Small"),SUMIFS(Practices_SubPractices[B],Practices_SubPractices[CP],"6",Practices_SubPractices[Org],"Small"),IF(AND(Practices_SubPractices[CP]=7,Practices_SubPractices[Org] ="Small"),SUMIFS(Practices_SubPractices[B],Practices_SubPractices[CP],"7",Practices_SubPractices[Org],"Small"),IF(AND(Practices_SubPractices[CP]=8,Practices_SubPractices[Org] ="Small"),SUMIFS(Practices_SubPractices[B],Practices_SubPractices[CP],"8",Practices_SubPractices[Org],"Small"),IF(AND(Practices_SubPractices[CP]=9,Practices_SubPractices[Org] ="Small"),SUMIFS(Practices_SubPractices[B],Practices_SubPractices[CP],"9",Practices_SubPractices[Org],"Small"),IF(AND(Practices_SubPractices[CP]=10,Practices_SubPractices[Org] ="Small"),SUMIFS(Practices_SubPractices[B],Practices_SubPractices[CP],"10",Practices_SubPractices[Org],"Small"),IF(AND(Practices_SubPractices[CP]=1,Practices_SubPractices[Org]="Medium"),SUMIFS(Practices_SubPractices[B],Practices_SubPractices[CP],"1",Practices_SubPractices[Org],"Medium"),IF(AND(Practices_SubPractices[CP]=2,Practices_SubPractices[Org]="Medium"),SUMIFS(Practices_SubPractices[B],Practices_SubPractices[CP],"2",Practices_SubPractices[Org],"Medium"),IF(AND(Practices_SubPractices[CP]=3,Practices_SubPractices[Org]="Medium"),SUMIFS(Practices_SubPractices[B],Practices_SubPractices[CP],"3",Practices_SubPractices[Org],"Medium"),IF(AND(Practices_SubPractices[CP]=4,Practices_SubPractices[Org]="Medium"),SUMIFS(Practices_SubPractices[B],Practices_SubPractices[CP],"4",Practices_SubPractices[Org],"Medium"),IF(AND(Practices_SubPractices[CP]=5,Practices_SubPractices[Org]="Medium"),SUMIFS(Practices_SubPractices[B],Practices_SubPractices[CP],"5",Practices_SubPractices[Org],"Medium"),IF(AND(Practices_SubPractices[CP]=6,Practices_SubPractices[Org]="Medium"),SUMIFS(Practices_SubPractices[B],Practices_SubPractices[CP],"6",Practices_SubPractices[Org],"Medium"),IF(AND(Practices_SubPractices[CP]=7,Practices_SubPractices[Org] ="Medium"),SUMIFS(Practices_SubPractices[B],Practices_SubPractices[CP],"7",Practices_SubPractices[Org],"Medium"),IF(AND(Practices_SubPractices[CP]=8,Practices_SubPractices[Org] ="Medium"),SUMIFS(Practices_SubPractices[B],Practices_SubPractices[CP],"8",Practices_SubPractices[Org],"Medium"),IF(AND(Practices_SubPractices[CP]=9,Practices_SubPractices[Org] ="Medium"),SUMIFS(Practices_SubPractices[B],Practices_SubPractices[CP],"9",Practices_SubPractices[Org],"Medium"),IF(AND(Practices_SubPractices[CP]=10,Practices_SubPractices[Org] ="Medium"),SUMIFS(Practices_SubPractices[B],Practices_SubPractices[CP],"10",Practices_SubPractices[Org],"Medium"),IF(AND(Practices_SubPractices[CP]=1,Practices_SubPractices[Org]="Large"),SUMIFS(Practices_SubPractices[B],Practices_SubPractices[CP],"1",Practices_SubPractices[Org],"Large"),IF(AND(Practices_SubPractices[CP]=2,Practices_SubPractices[Org]="Large"),SUMIFS(Practices_SubPractices[B],Practices_SubPractices[CP],"2",Practices_SubPractices[Org],"Large"),IF(AND(Practices_SubPractices[CP]=3,Practices_SubPractices[Org]="Large"),SUMIFS(Practices_SubPractices[B],Practices_SubPractices[CP],"3",Practices_SubPractices[Org],"Large"),IF(AND(Practices_SubPractices[CP]=4,Practices_SubPractices[Org]="Large"),SUMIFS(Practices_SubPractices[B],Practices_SubPractices[CP],"4",Practices_SubPractices[Org],"Large"),IF(AND(Practices_SubPractices[CP]=5,Practices_SubPractices[Org]="Large"),SUMIFS(Practices_SubPractices[B],Practices_SubPractices[CP],"5",Practices_SubPractices[Org],"Large"),IF(AND(Practices_SubPractices[CP]=6,Practices_SubPractices[Org]="Large"),SUMIFS(Practices_SubPractices[B],Practices_SubPractices[CP],"6",Practices_SubPractices[Org],"Large"),IF(AND(Practices_SubPractices[CP]=7,Practices_SubPractices[Org] ="Large"),SUMIFS(Practices_SubPractices[B],Practices_SubPractices[CP],"7",Practices_SubPractices[Org],"Large"),IF(AND(Practices_SubPractices[CP]=8,Practices_SubPractices[Org] ="Large"),SUMIFS(Practices_SubPractices[B],Practices_SubPractices[CP],"8",Practices_SubPractices[Org],"Large"),IF(AND(Practices_SubPractices[CP]=9,Practices_SubPractices[Org] ="Large"),SUMIFS(Practices_SubPractices[B],Practices_SubPractices[CP],"9",Practices_SubPractices[Org],"Large"),IF(AND(Practices_SubPractices[CP]=10,Practices_SubPractices[Org] ="Large"),SUMIFS(Practices_SubPractices[B],Practices_SubPractices[CP],"10",Practices_SubPractices[Org],"Large"),"TBD"))))))))))))))))))))))))))))))</f>
        <v>12</v>
      </c>
      <c r="P109" s="77">
        <f>IF(AND(Practices_SubPractices[CP]=1,Practices_SubPractices[Org]="Small"),SUMIFS(Practices_SubPractices[C],Practices_SubPractices[CP],"1",Practices_SubPractices[Org],"Small"),IF(AND(Practices_SubPractices[CP]=2,Practices_SubPractices[Org]="Small"),SUMIFS(Practices_SubPractices[C],Practices_SubPractices[CP],"2",Practices_SubPractices[Org],"Small"),IF(AND(Practices_SubPractices[CP]=3,Practices_SubPractices[Org]="Small"),SUMIFS(Practices_SubPractices[C],Practices_SubPractices[CP],"3",Practices_SubPractices[Org],"Small"),IF(AND(Practices_SubPractices[CP]=4,Practices_SubPractices[Org]="Small"),SUMIFS(Practices_SubPractices[C],Practices_SubPractices[CP],"4",Practices_SubPractices[Org],"Small"),IF(AND(Practices_SubPractices[CP]=5,Practices_SubPractices[Org]="Small"),SUMIFS(Practices_SubPractices[C],Practices_SubPractices[CP],"5",Practices_SubPractices[Org],"Small"),IF(AND(Practices_SubPractices[CP]=6,Practices_SubPractices[Org]="Small"),SUMIFS(Practices_SubPractices[C],Practices_SubPractices[CP],"6",Practices_SubPractices[Org],"Small"),IF(AND(Practices_SubPractices[CP]=7,Practices_SubPractices[Org] ="Small"),SUMIFS(Practices_SubPractices[C],Practices_SubPractices[CP],"7",Practices_SubPractices[Org],"Small"),IF(AND(Practices_SubPractices[CP]=8,Practices_SubPractices[Org] ="Small"),SUMIFS(Practices_SubPractices[C],Practices_SubPractices[CP],"8",Practices_SubPractices[Org],"Small"),IF(AND(Practices_SubPractices[CP]=9,Practices_SubPractices[Org] ="Small"),SUMIFS(Practices_SubPractices[C],Practices_SubPractices[CP],"9",Practices_SubPractices[Org],"Small"),IF(AND(Practices_SubPractices[CP]=10,Practices_SubPractices[Org] ="Small"),SUMIFS(Practices_SubPractices[C],Practices_SubPractices[CP],"10",Practices_SubPractices[Org],"Small"),IF(AND(Practices_SubPractices[CP]=1,Practices_SubPractices[Org]="Medium"),SUMIFS(Practices_SubPractices[C],Practices_SubPractices[CP],"1",Practices_SubPractices[Org],"Medium"),IF(AND(Practices_SubPractices[CP]=2,Practices_SubPractices[Org]="Medium"),SUMIFS(Practices_SubPractices[C],Practices_SubPractices[CP],"2",Practices_SubPractices[Org],"Medium"),IF(AND(Practices_SubPractices[CP]=3,Practices_SubPractices[Org]="Medium"),SUMIFS(Practices_SubPractices[C],Practices_SubPractices[CP],"3",Practices_SubPractices[Org],"Medium"),IF(AND(Practices_SubPractices[CP]=4,Practices_SubPractices[Org]="Medium"),SUMIFS(Practices_SubPractices[C],Practices_SubPractices[CP],"4",Practices_SubPractices[Org],"Medium"),IF(AND(Practices_SubPractices[CP]=5,Practices_SubPractices[Org]="Medium"),SUMIFS(Practices_SubPractices[C],Practices_SubPractices[CP],"5",Practices_SubPractices[Org],"Medium"),IF(AND(Practices_SubPractices[CP]=6,Practices_SubPractices[Org]="Medium"),SUMIFS(Practices_SubPractices[C],Practices_SubPractices[CP],"6",Practices_SubPractices[Org],"Medium"),IF(AND(Practices_SubPractices[CP]=7,Practices_SubPractices[Org] ="Medium"),SUMIFS(Practices_SubPractices[C],Practices_SubPractices[CP],"7",Practices_SubPractices[Org],"Medium"),IF(AND(Practices_SubPractices[CP]=8,Practices_SubPractices[Org] ="Medium"),SUMIFS(Practices_SubPractices[C],Practices_SubPractices[CP],"8",Practices_SubPractices[Org],"Medium"),IF(AND(Practices_SubPractices[CP]=9,Practices_SubPractices[Org] ="Medium"),SUMIFS(Practices_SubPractices[C],Practices_SubPractices[CP],"9",Practices_SubPractices[Org],"Medium"),IF(AND(Practices_SubPractices[CP]=10,Practices_SubPractices[Org] ="Medium"),SUMIFS(Practices_SubPractices[C],Practices_SubPractices[CP],"10",Practices_SubPractices[Org],"Medium"),IF(AND(Practices_SubPractices[CP]=1,Practices_SubPractices[Org]="Large"),SUMIFS(Practices_SubPractices[C],Practices_SubPractices[CP],"1",Practices_SubPractices[Org],"Large"),IF(AND(Practices_SubPractices[CP]=2,Practices_SubPractices[Org]="Large"),SUMIFS(Practices_SubPractices[C],Practices_SubPractices[CP],"2",Practices_SubPractices[Org],"Large"),IF(AND(Practices_SubPractices[CP]=3,Practices_SubPractices[Org]="Large"),SUMIFS(Practices_SubPractices[C],Practices_SubPractices[CP],"3",Practices_SubPractices[Org],"Large"),IF(AND(Practices_SubPractices[CP]=4,Practices_SubPractices[Org]="Large"),SUMIFS(Practices_SubPractices[C],Practices_SubPractices[CP],"4",Practices_SubPractices[Org],"Large"),IF(AND(Practices_SubPractices[CP]=5,Practices_SubPractices[Org]="Large"),SUMIFS(Practices_SubPractices[C],Practices_SubPractices[CP],"5",Practices_SubPractices[Org],"Large"),IF(AND(Practices_SubPractices[CP]=6,Practices_SubPractices[Org]="Large"),SUMIFS(Practices_SubPractices[C],Practices_SubPractices[CP],"6",Practices_SubPractices[Org],"Large"),IF(AND(Practices_SubPractices[CP]=7,Practices_SubPractices[Org] ="Large"),SUMIFS(Practices_SubPractices[C],Practices_SubPractices[CP],"7",Practices_SubPractices[Org],"Large"),IF(AND(Practices_SubPractices[CP]=8,Practices_SubPractices[Org] ="Large"),SUMIFS(Practices_SubPractices[C],Practices_SubPractices[CP],"8",Practices_SubPractices[Org],"Large"),IF(AND(Practices_SubPractices[CP]=9,Practices_SubPractices[Org] ="Large"),SUMIFS(Practices_SubPractices[C],Practices_SubPractices[CP],"9",Practices_SubPractices[Org],"Large"),IF(AND(Practices_SubPractices[CP]=10,Practices_SubPractices[Org] ="Large"),SUMIFS(Practices_SubPractices[C],Practices_SubPractices[CP],"10",Practices_SubPractices[Org],"Large"),"TBD"))))))))))))))))))))))))))))))</f>
        <v>7</v>
      </c>
      <c r="Q109" s="77">
        <f>IF(AND(Practices_SubPractices[CP]=1,Practices_SubPractices[Org]="Small"),SUMIFS(Practices_SubPractices[D],Practices_SubPractices[CP],"1",Practices_SubPractices[Org],"Small"),IF(AND(Practices_SubPractices[CP]=2,Practices_SubPractices[Org]="Small"),SUMIFS(Practices_SubPractices[D],Practices_SubPractices[CP],"2",Practices_SubPractices[Org],"Small"),IF(AND(Practices_SubPractices[CP]=3,Practices_SubPractices[Org]="Small"),SUMIFS(Practices_SubPractices[D],Practices_SubPractices[CP],"3",Practices_SubPractices[Org],"Small"),IF(AND(Practices_SubPractices[CP]=4,Practices_SubPractices[Org]="Small"),SUMIFS(Practices_SubPractices[D],Practices_SubPractices[CP],"4",Practices_SubPractices[Org],"Small"),IF(AND(Practices_SubPractices[CP]=5,Practices_SubPractices[Org]="Small"),SUMIFS(Practices_SubPractices[D],Practices_SubPractices[CP],"5",Practices_SubPractices[Org],"Small"),IF(AND(Practices_SubPractices[CP]=6,Practices_SubPractices[Org]="Small"),SUMIFS(Practices_SubPractices[D],Practices_SubPractices[CP],"6",Practices_SubPractices[Org],"Small"),IF(AND(Practices_SubPractices[CP]=7,Practices_SubPractices[Org] ="Small"),SUMIFS(Practices_SubPractices[D],Practices_SubPractices[CP],"7",Practices_SubPractices[Org],"Small"),IF(AND(Practices_SubPractices[CP]=8,Practices_SubPractices[Org] ="Small"),SUMIFS(Practices_SubPractices[D],Practices_SubPractices[CP],"8",Practices_SubPractices[Org],"Small"),IF(AND(Practices_SubPractices[CP]=9,Practices_SubPractices[Org] ="Small"),SUMIFS(Practices_SubPractices[D],Practices_SubPractices[CP],"9",Practices_SubPractices[Org],"Small"),IF(AND(Practices_SubPractices[CP]=10,Practices_SubPractices[Org] ="Small"),SUMIFS(Practices_SubPractices[D],Practices_SubPractices[CP],"10",Practices_SubPractices[Org],"Small"),IF(AND(Practices_SubPractices[CP]=1,Practices_SubPractices[Org]="Medium"),SUMIFS(Practices_SubPractices[D],Practices_SubPractices[CP],"1",Practices_SubPractices[Org],"Medium"),IF(AND(Practices_SubPractices[CP]=2,Practices_SubPractices[Org]="Medium"),SUMIFS(Practices_SubPractices[D],Practices_SubPractices[CP],"2",Practices_SubPractices[Org],"Medium"),IF(AND(Practices_SubPractices[CP]=3,Practices_SubPractices[Org]="Medium"),SUMIFS(Practices_SubPractices[D],Practices_SubPractices[CP],"3",Practices_SubPractices[Org],"Medium"),IF(AND(Practices_SubPractices[CP]=4,Practices_SubPractices[Org]="Medium"),SUMIFS(Practices_SubPractices[D],Practices_SubPractices[CP],"4",Practices_SubPractices[Org],"Medium"),IF(AND(Practices_SubPractices[CP]=5,Practices_SubPractices[Org]="Medium"),SUMIFS(Practices_SubPractices[D],Practices_SubPractices[CP],"5",Practices_SubPractices[Org],"Medium"),IF(AND(Practices_SubPractices[CP]=6,Practices_SubPractices[Org]="Medium"),SUMIFS(Practices_SubPractices[D],Practices_SubPractices[CP],"6",Practices_SubPractices[Org],"Medium"),IF(AND(Practices_SubPractices[CP]=7,Practices_SubPractices[Org] ="Medium"),SUMIFS(Practices_SubPractices[D],Practices_SubPractices[CP],"7",Practices_SubPractices[Org],"Medium"),IF(AND(Practices_SubPractices[CP]=8,Practices_SubPractices[Org] ="Medium"),SUMIFS(Practices_SubPractices[D],Practices_SubPractices[CP],"8",Practices_SubPractices[Org],"Medium"),IF(AND(Practices_SubPractices[CP]=9,Practices_SubPractices[Org] ="Medium"),SUMIFS(Practices_SubPractices[D],Practices_SubPractices[CP],"9",Practices_SubPractices[Org],"Medium"),IF(AND(Practices_SubPractices[CP]=10,Practices_SubPractices[Org] ="Medium"),SUMIFS(Practices_SubPractices[D],Practices_SubPractices[CP],"10",Practices_SubPractices[Org],"Medium"),IF(AND(Practices_SubPractices[CP]=1,Practices_SubPractices[Org]="Large"),SUMIFS(Practices_SubPractices[D],Practices_SubPractices[CP],"1",Practices_SubPractices[Org],"Large"),IF(AND(Practices_SubPractices[CP]=2,Practices_SubPractices[Org]="Large"),SUMIFS(Practices_SubPractices[D],Practices_SubPractices[CP],"2",Practices_SubPractices[Org],"Large"),IF(AND(Practices_SubPractices[CP]=3,Practices_SubPractices[Org]="Large"),SUMIFS(Practices_SubPractices[D],Practices_SubPractices[CP],"3",Practices_SubPractices[Org],"Large"),IF(AND(Practices_SubPractices[CP]=4,Practices_SubPractices[Org]="Large"),SUMIFS(Practices_SubPractices[D],Practices_SubPractices[CP],"4",Practices_SubPractices[Org],"Large"),IF(AND(Practices_SubPractices[CP]=5,Practices_SubPractices[Org]="Large"),SUMIFS(Practices_SubPractices[D],Practices_SubPractices[CP],"5",Practices_SubPractices[Org],"Large"),IF(AND(Practices_SubPractices[CP]=6,Practices_SubPractices[Org]="Large"),SUMIFS(Practices_SubPractices[D],Practices_SubPractices[CP],"6",Practices_SubPractices[Org],"Large"),IF(AND(Practices_SubPractices[CP]=7,Practices_SubPractices[Org] ="Large"),SUMIFS(Practices_SubPractices[D],Practices_SubPractices[CP],"7",Practices_SubPractices[Org],"Large"),IF(AND(Practices_SubPractices[CP]=8,Practices_SubPractices[Org] ="Large"),SUMIFS(Practices_SubPractices[D],Practices_SubPractices[CP],"8",Practices_SubPractices[Org],"Large"),IF(AND(Practices_SubPractices[CP]=9,Practices_SubPractices[Org] ="Large"),SUMIFS(Practices_SubPractices[D],Practices_SubPractices[CP],"9",Practices_SubPractices[Org],"Large"),IF(AND(Practices_SubPractices[CP]=10,Practices_SubPractices[Org] ="Large"),SUMIFS(Practices_SubPractices[D],Practices_SubPractices[CP],"10",Practices_SubPractices[Org],"Large"),"TBD"))))))))))))))))))))))))))))))</f>
        <v>6</v>
      </c>
      <c r="R109" s="77">
        <f>IF(AND(Practices_SubPractices[CP]=1,Practices_SubPractices[Org]="Small"),SUMIFS(Practices_SubPractices[E],Practices_SubPractices[CP],"1",Practices_SubPractices[Org],"Small"),IF(AND(Practices_SubPractices[CP]=2,Practices_SubPractices[Org]="Small"),SUMIFS(Practices_SubPractices[E],Practices_SubPractices[CP],"2",Practices_SubPractices[Org],"Small"),IF(AND(Practices_SubPractices[CP]=3,Practices_SubPractices[Org]="Small"),SUMIFS(Practices_SubPractices[E],Practices_SubPractices[CP],"3",Practices_SubPractices[Org],"Small"),IF(AND(Practices_SubPractices[CP]=4,Practices_SubPractices[Org]="Small"),SUMIFS(Practices_SubPractices[E],Practices_SubPractices[CP],"4",Practices_SubPractices[Org],"Small"),IF(AND(Practices_SubPractices[CP]=5,Practices_SubPractices[Org]="Small"),SUMIFS(Practices_SubPractices[E],Practices_SubPractices[CP],"5",Practices_SubPractices[Org],"Small"),IF(AND(Practices_SubPractices[CP]=6,Practices_SubPractices[Org]="Small"),SUMIFS(Practices_SubPractices[E],Practices_SubPractices[CP],"6",Practices_SubPractices[Org],"Small"),IF(AND(Practices_SubPractices[CP]=7,Practices_SubPractices[Org] ="Small"),SUMIFS(Practices_SubPractices[E],Practices_SubPractices[CP],"7",Practices_SubPractices[Org],"Small"),IF(AND(Practices_SubPractices[CP]=8,Practices_SubPractices[Org] ="Small"),SUMIFS(Practices_SubPractices[E],Practices_SubPractices[CP],"8",Practices_SubPractices[Org],"Small"),IF(AND(Practices_SubPractices[CP]=9,Practices_SubPractices[Org] ="Small"),SUMIFS(Practices_SubPractices[E],Practices_SubPractices[CP],"9",Practices_SubPractices[Org],"Small"),IF(AND(Practices_SubPractices[CP]=10,Practices_SubPractices[Org] ="Small"),SUMIFS(Practices_SubPractices[E],Practices_SubPractices[CP],"10",Practices_SubPractices[Org],"Small"),IF(AND(Practices_SubPractices[CP]=1,Practices_SubPractices[Org]="Medium"),SUMIFS(Practices_SubPractices[E],Practices_SubPractices[CP],"1",Practices_SubPractices[Org],"Medium"),IF(AND(Practices_SubPractices[CP]=2,Practices_SubPractices[Org]="Medium"),SUMIFS(Practices_SubPractices[E],Practices_SubPractices[CP],"2",Practices_SubPractices[Org],"Medium"),IF(AND(Practices_SubPractices[CP]=3,Practices_SubPractices[Org]="Medium"),SUMIFS(Practices_SubPractices[E],Practices_SubPractices[CP],"3",Practices_SubPractices[Org],"Medium"),IF(AND(Practices_SubPractices[CP]=4,Practices_SubPractices[Org]="Medium"),SUMIFS(Practices_SubPractices[E],Practices_SubPractices[CP],"4",Practices_SubPractices[Org],"Medium"),IF(AND(Practices_SubPractices[CP]=5,Practices_SubPractices[Org]="Medium"),SUMIFS(Practices_SubPractices[E],Practices_SubPractices[CP],"5",Practices_SubPractices[Org],"Medium"),IF(AND(Practices_SubPractices[CP]=6,Practices_SubPractices[Org]="Medium"),SUMIFS(Practices_SubPractices[E],Practices_SubPractices[CP],"6",Practices_SubPractices[Org],"Medium"),IF(AND(Practices_SubPractices[CP]=7,Practices_SubPractices[Org] ="Medium"),SUMIFS(Practices_SubPractices[E],Practices_SubPractices[CP],"7",Practices_SubPractices[Org],"Medium"),IF(AND(Practices_SubPractices[CP]=8,Practices_SubPractices[Org] ="Medium"),SUMIFS(Practices_SubPractices[E],Practices_SubPractices[CP],"8",Practices_SubPractices[Org],"Medium"),IF(AND(Practices_SubPractices[CP]=9,Practices_SubPractices[Org] ="Medium"),SUMIFS(Practices_SubPractices[E],Practices_SubPractices[CP],"9",Practices_SubPractices[Org],"Medium"),IF(AND(Practices_SubPractices[CP]=10,Practices_SubPractices[Org] ="Medium"),SUMIFS(Practices_SubPractices[E],Practices_SubPractices[CP],"10",Practices_SubPractices[Org],"Medium"),IF(AND(Practices_SubPractices[CP]=1,Practices_SubPractices[Org]="Large"),SUMIFS(Practices_SubPractices[E],Practices_SubPractices[CP],"1",Practices_SubPractices[Org],"Large"),IF(AND(Practices_SubPractices[CP]=2,Practices_SubPractices[Org]="Large"),SUMIFS(Practices_SubPractices[E],Practices_SubPractices[CP],"2",Practices_SubPractices[Org],"Large"),IF(AND(Practices_SubPractices[CP]=3,Practices_SubPractices[Org]="Large"),SUMIFS(Practices_SubPractices[E],Practices_SubPractices[CP],"3",Practices_SubPractices[Org],"Large"),IF(AND(Practices_SubPractices[CP]=4,Practices_SubPractices[Org]="Large"),SUMIFS(Practices_SubPractices[E],Practices_SubPractices[CP],"4",Practices_SubPractices[Org],"Large"),IF(AND(Practices_SubPractices[CP]=5,Practices_SubPractices[Org]="Large"),SUMIFS(Practices_SubPractices[E],Practices_SubPractices[CP],"5",Practices_SubPractices[Org],"Large"),IF(AND(Practices_SubPractices[CP]=6,Practices_SubPractices[Org]="Large"),SUMIFS(Practices_SubPractices[E],Practices_SubPractices[CP],"6",Practices_SubPractices[Org],"Large"),IF(AND(Practices_SubPractices[CP]=7,Practices_SubPractices[Org] ="Large"),SUMIFS(Practices_SubPractices[E],Practices_SubPractices[CP],"7",Practices_SubPractices[Org],"Large"),IF(AND(Practices_SubPractices[CP]=8,Practices_SubPractices[Org] ="Large"),SUMIFS(Practices_SubPractices[E],Practices_SubPractices[CP],"8",Practices_SubPractices[Org],"Large"),IF(AND(Practices_SubPractices[CP]=9,Practices_SubPractices[Org] ="Large"),SUMIFS(Practices_SubPractices[E],Practices_SubPractices[CP],"9",Practices_SubPractices[Org],"Large"),IF(AND(Practices_SubPractices[CP]=10,Practices_SubPractices[Org] ="Large"),SUMIFS(Practices_SubPractices[E],Practices_SubPractices[CP],"10",Practices_SubPractices[Org],"Large"),"TBD"))))))))))))))))))))))))))))))</f>
        <v>2</v>
      </c>
      <c r="S109" s="87" t="s">
        <v>436</v>
      </c>
    </row>
    <row r="110" spans="1:19" x14ac:dyDescent="0.35">
      <c r="A110" s="73">
        <v>100</v>
      </c>
      <c r="B110" s="73">
        <v>2</v>
      </c>
      <c r="C110" s="80" t="s">
        <v>12</v>
      </c>
      <c r="D110" s="73" t="str">
        <f>Practices_SubPractices[[#This Row],[CP]]&amp;LEFT(Practices_SubPractices[[#This Row],[Org]],1)</f>
        <v>2L</v>
      </c>
      <c r="E110" s="73" t="s">
        <v>279</v>
      </c>
      <c r="F110" s="74" t="s">
        <v>73</v>
      </c>
      <c r="G110" s="74" t="s">
        <v>79</v>
      </c>
      <c r="H110" s="74" t="s">
        <v>206</v>
      </c>
      <c r="I110" s="75">
        <v>0</v>
      </c>
      <c r="J110" s="75">
        <v>1</v>
      </c>
      <c r="K110" s="75">
        <v>0</v>
      </c>
      <c r="L110" s="75">
        <v>0</v>
      </c>
      <c r="M110" s="75">
        <v>0</v>
      </c>
      <c r="N110" s="76"/>
      <c r="O110" s="77">
        <f>IF(AND(Practices_SubPractices[CP]=1,Practices_SubPractices[Org]="Small"),SUMIFS(Practices_SubPractices[B],Practices_SubPractices[CP],"1",Practices_SubPractices[Org],"Small"),IF(AND(Practices_SubPractices[CP]=2,Practices_SubPractices[Org]="Small"),SUMIFS(Practices_SubPractices[B],Practices_SubPractices[CP],"2",Practices_SubPractices[Org],"Small"),IF(AND(Practices_SubPractices[CP]=3,Practices_SubPractices[Org]="Small"),SUMIFS(Practices_SubPractices[B],Practices_SubPractices[CP],"3",Practices_SubPractices[Org],"Small"),IF(AND(Practices_SubPractices[CP]=4,Practices_SubPractices[Org]="Small"),SUMIFS(Practices_SubPractices[B],Practices_SubPractices[CP],"4",Practices_SubPractices[Org],"Small"),IF(AND(Practices_SubPractices[CP]=5,Practices_SubPractices[Org]="Small"),SUMIFS(Practices_SubPractices[B],Practices_SubPractices[CP],"5",Practices_SubPractices[Org],"Small"),IF(AND(Practices_SubPractices[CP]=6,Practices_SubPractices[Org]="Small"),SUMIFS(Practices_SubPractices[B],Practices_SubPractices[CP],"6",Practices_SubPractices[Org],"Small"),IF(AND(Practices_SubPractices[CP]=7,Practices_SubPractices[Org] ="Small"),SUMIFS(Practices_SubPractices[B],Practices_SubPractices[CP],"7",Practices_SubPractices[Org],"Small"),IF(AND(Practices_SubPractices[CP]=8,Practices_SubPractices[Org] ="Small"),SUMIFS(Practices_SubPractices[B],Practices_SubPractices[CP],"8",Practices_SubPractices[Org],"Small"),IF(AND(Practices_SubPractices[CP]=9,Practices_SubPractices[Org] ="Small"),SUMIFS(Practices_SubPractices[B],Practices_SubPractices[CP],"9",Practices_SubPractices[Org],"Small"),IF(AND(Practices_SubPractices[CP]=10,Practices_SubPractices[Org] ="Small"),SUMIFS(Practices_SubPractices[B],Practices_SubPractices[CP],"10",Practices_SubPractices[Org],"Small"),IF(AND(Practices_SubPractices[CP]=1,Practices_SubPractices[Org]="Medium"),SUMIFS(Practices_SubPractices[B],Practices_SubPractices[CP],"1",Practices_SubPractices[Org],"Medium"),IF(AND(Practices_SubPractices[CP]=2,Practices_SubPractices[Org]="Medium"),SUMIFS(Practices_SubPractices[B],Practices_SubPractices[CP],"2",Practices_SubPractices[Org],"Medium"),IF(AND(Practices_SubPractices[CP]=3,Practices_SubPractices[Org]="Medium"),SUMIFS(Practices_SubPractices[B],Practices_SubPractices[CP],"3",Practices_SubPractices[Org],"Medium"),IF(AND(Practices_SubPractices[CP]=4,Practices_SubPractices[Org]="Medium"),SUMIFS(Practices_SubPractices[B],Practices_SubPractices[CP],"4",Practices_SubPractices[Org],"Medium"),IF(AND(Practices_SubPractices[CP]=5,Practices_SubPractices[Org]="Medium"),SUMIFS(Practices_SubPractices[B],Practices_SubPractices[CP],"5",Practices_SubPractices[Org],"Medium"),IF(AND(Practices_SubPractices[CP]=6,Practices_SubPractices[Org]="Medium"),SUMIFS(Practices_SubPractices[B],Practices_SubPractices[CP],"6",Practices_SubPractices[Org],"Medium"),IF(AND(Practices_SubPractices[CP]=7,Practices_SubPractices[Org] ="Medium"),SUMIFS(Practices_SubPractices[B],Practices_SubPractices[CP],"7",Practices_SubPractices[Org],"Medium"),IF(AND(Practices_SubPractices[CP]=8,Practices_SubPractices[Org] ="Medium"),SUMIFS(Practices_SubPractices[B],Practices_SubPractices[CP],"8",Practices_SubPractices[Org],"Medium"),IF(AND(Practices_SubPractices[CP]=9,Practices_SubPractices[Org] ="Medium"),SUMIFS(Practices_SubPractices[B],Practices_SubPractices[CP],"9",Practices_SubPractices[Org],"Medium"),IF(AND(Practices_SubPractices[CP]=10,Practices_SubPractices[Org] ="Medium"),SUMIFS(Practices_SubPractices[B],Practices_SubPractices[CP],"10",Practices_SubPractices[Org],"Medium"),IF(AND(Practices_SubPractices[CP]=1,Practices_SubPractices[Org]="Large"),SUMIFS(Practices_SubPractices[B],Practices_SubPractices[CP],"1",Practices_SubPractices[Org],"Large"),IF(AND(Practices_SubPractices[CP]=2,Practices_SubPractices[Org]="Large"),SUMIFS(Practices_SubPractices[B],Practices_SubPractices[CP],"2",Practices_SubPractices[Org],"Large"),IF(AND(Practices_SubPractices[CP]=3,Practices_SubPractices[Org]="Large"),SUMIFS(Practices_SubPractices[B],Practices_SubPractices[CP],"3",Practices_SubPractices[Org],"Large"),IF(AND(Practices_SubPractices[CP]=4,Practices_SubPractices[Org]="Large"),SUMIFS(Practices_SubPractices[B],Practices_SubPractices[CP],"4",Practices_SubPractices[Org],"Large"),IF(AND(Practices_SubPractices[CP]=5,Practices_SubPractices[Org]="Large"),SUMIFS(Practices_SubPractices[B],Practices_SubPractices[CP],"5",Practices_SubPractices[Org],"Large"),IF(AND(Practices_SubPractices[CP]=6,Practices_SubPractices[Org]="Large"),SUMIFS(Practices_SubPractices[B],Practices_SubPractices[CP],"6",Practices_SubPractices[Org],"Large"),IF(AND(Practices_SubPractices[CP]=7,Practices_SubPractices[Org] ="Large"),SUMIFS(Practices_SubPractices[B],Practices_SubPractices[CP],"7",Practices_SubPractices[Org],"Large"),IF(AND(Practices_SubPractices[CP]=8,Practices_SubPractices[Org] ="Large"),SUMIFS(Practices_SubPractices[B],Practices_SubPractices[CP],"8",Practices_SubPractices[Org],"Large"),IF(AND(Practices_SubPractices[CP]=9,Practices_SubPractices[Org] ="Large"),SUMIFS(Practices_SubPractices[B],Practices_SubPractices[CP],"9",Practices_SubPractices[Org],"Large"),IF(AND(Practices_SubPractices[CP]=10,Practices_SubPractices[Org] ="Large"),SUMIFS(Practices_SubPractices[B],Practices_SubPractices[CP],"10",Practices_SubPractices[Org],"Large"),"TBD"))))))))))))))))))))))))))))))</f>
        <v>12</v>
      </c>
      <c r="P110" s="77">
        <f>IF(AND(Practices_SubPractices[CP]=1,Practices_SubPractices[Org]="Small"),SUMIFS(Practices_SubPractices[C],Practices_SubPractices[CP],"1",Practices_SubPractices[Org],"Small"),IF(AND(Practices_SubPractices[CP]=2,Practices_SubPractices[Org]="Small"),SUMIFS(Practices_SubPractices[C],Practices_SubPractices[CP],"2",Practices_SubPractices[Org],"Small"),IF(AND(Practices_SubPractices[CP]=3,Practices_SubPractices[Org]="Small"),SUMIFS(Practices_SubPractices[C],Practices_SubPractices[CP],"3",Practices_SubPractices[Org],"Small"),IF(AND(Practices_SubPractices[CP]=4,Practices_SubPractices[Org]="Small"),SUMIFS(Practices_SubPractices[C],Practices_SubPractices[CP],"4",Practices_SubPractices[Org],"Small"),IF(AND(Practices_SubPractices[CP]=5,Practices_SubPractices[Org]="Small"),SUMIFS(Practices_SubPractices[C],Practices_SubPractices[CP],"5",Practices_SubPractices[Org],"Small"),IF(AND(Practices_SubPractices[CP]=6,Practices_SubPractices[Org]="Small"),SUMIFS(Practices_SubPractices[C],Practices_SubPractices[CP],"6",Practices_SubPractices[Org],"Small"),IF(AND(Practices_SubPractices[CP]=7,Practices_SubPractices[Org] ="Small"),SUMIFS(Practices_SubPractices[C],Practices_SubPractices[CP],"7",Practices_SubPractices[Org],"Small"),IF(AND(Practices_SubPractices[CP]=8,Practices_SubPractices[Org] ="Small"),SUMIFS(Practices_SubPractices[C],Practices_SubPractices[CP],"8",Practices_SubPractices[Org],"Small"),IF(AND(Practices_SubPractices[CP]=9,Practices_SubPractices[Org] ="Small"),SUMIFS(Practices_SubPractices[C],Practices_SubPractices[CP],"9",Practices_SubPractices[Org],"Small"),IF(AND(Practices_SubPractices[CP]=10,Practices_SubPractices[Org] ="Small"),SUMIFS(Practices_SubPractices[C],Practices_SubPractices[CP],"10",Practices_SubPractices[Org],"Small"),IF(AND(Practices_SubPractices[CP]=1,Practices_SubPractices[Org]="Medium"),SUMIFS(Practices_SubPractices[C],Practices_SubPractices[CP],"1",Practices_SubPractices[Org],"Medium"),IF(AND(Practices_SubPractices[CP]=2,Practices_SubPractices[Org]="Medium"),SUMIFS(Practices_SubPractices[C],Practices_SubPractices[CP],"2",Practices_SubPractices[Org],"Medium"),IF(AND(Practices_SubPractices[CP]=3,Practices_SubPractices[Org]="Medium"),SUMIFS(Practices_SubPractices[C],Practices_SubPractices[CP],"3",Practices_SubPractices[Org],"Medium"),IF(AND(Practices_SubPractices[CP]=4,Practices_SubPractices[Org]="Medium"),SUMIFS(Practices_SubPractices[C],Practices_SubPractices[CP],"4",Practices_SubPractices[Org],"Medium"),IF(AND(Practices_SubPractices[CP]=5,Practices_SubPractices[Org]="Medium"),SUMIFS(Practices_SubPractices[C],Practices_SubPractices[CP],"5",Practices_SubPractices[Org],"Medium"),IF(AND(Practices_SubPractices[CP]=6,Practices_SubPractices[Org]="Medium"),SUMIFS(Practices_SubPractices[C],Practices_SubPractices[CP],"6",Practices_SubPractices[Org],"Medium"),IF(AND(Practices_SubPractices[CP]=7,Practices_SubPractices[Org] ="Medium"),SUMIFS(Practices_SubPractices[C],Practices_SubPractices[CP],"7",Practices_SubPractices[Org],"Medium"),IF(AND(Practices_SubPractices[CP]=8,Practices_SubPractices[Org] ="Medium"),SUMIFS(Practices_SubPractices[C],Practices_SubPractices[CP],"8",Practices_SubPractices[Org],"Medium"),IF(AND(Practices_SubPractices[CP]=9,Practices_SubPractices[Org] ="Medium"),SUMIFS(Practices_SubPractices[C],Practices_SubPractices[CP],"9",Practices_SubPractices[Org],"Medium"),IF(AND(Practices_SubPractices[CP]=10,Practices_SubPractices[Org] ="Medium"),SUMIFS(Practices_SubPractices[C],Practices_SubPractices[CP],"10",Practices_SubPractices[Org],"Medium"),IF(AND(Practices_SubPractices[CP]=1,Practices_SubPractices[Org]="Large"),SUMIFS(Practices_SubPractices[C],Practices_SubPractices[CP],"1",Practices_SubPractices[Org],"Large"),IF(AND(Practices_SubPractices[CP]=2,Practices_SubPractices[Org]="Large"),SUMIFS(Practices_SubPractices[C],Practices_SubPractices[CP],"2",Practices_SubPractices[Org],"Large"),IF(AND(Practices_SubPractices[CP]=3,Practices_SubPractices[Org]="Large"),SUMIFS(Practices_SubPractices[C],Practices_SubPractices[CP],"3",Practices_SubPractices[Org],"Large"),IF(AND(Practices_SubPractices[CP]=4,Practices_SubPractices[Org]="Large"),SUMIFS(Practices_SubPractices[C],Practices_SubPractices[CP],"4",Practices_SubPractices[Org],"Large"),IF(AND(Practices_SubPractices[CP]=5,Practices_SubPractices[Org]="Large"),SUMIFS(Practices_SubPractices[C],Practices_SubPractices[CP],"5",Practices_SubPractices[Org],"Large"),IF(AND(Practices_SubPractices[CP]=6,Practices_SubPractices[Org]="Large"),SUMIFS(Practices_SubPractices[C],Practices_SubPractices[CP],"6",Practices_SubPractices[Org],"Large"),IF(AND(Practices_SubPractices[CP]=7,Practices_SubPractices[Org] ="Large"),SUMIFS(Practices_SubPractices[C],Practices_SubPractices[CP],"7",Practices_SubPractices[Org],"Large"),IF(AND(Practices_SubPractices[CP]=8,Practices_SubPractices[Org] ="Large"),SUMIFS(Practices_SubPractices[C],Practices_SubPractices[CP],"8",Practices_SubPractices[Org],"Large"),IF(AND(Practices_SubPractices[CP]=9,Practices_SubPractices[Org] ="Large"),SUMIFS(Practices_SubPractices[C],Practices_SubPractices[CP],"9",Practices_SubPractices[Org],"Large"),IF(AND(Practices_SubPractices[CP]=10,Practices_SubPractices[Org] ="Large"),SUMIFS(Practices_SubPractices[C],Practices_SubPractices[CP],"10",Practices_SubPractices[Org],"Large"),"TBD"))))))))))))))))))))))))))))))</f>
        <v>7</v>
      </c>
      <c r="Q110" s="77">
        <f>IF(AND(Practices_SubPractices[CP]=1,Practices_SubPractices[Org]="Small"),SUMIFS(Practices_SubPractices[D],Practices_SubPractices[CP],"1",Practices_SubPractices[Org],"Small"),IF(AND(Practices_SubPractices[CP]=2,Practices_SubPractices[Org]="Small"),SUMIFS(Practices_SubPractices[D],Practices_SubPractices[CP],"2",Practices_SubPractices[Org],"Small"),IF(AND(Practices_SubPractices[CP]=3,Practices_SubPractices[Org]="Small"),SUMIFS(Practices_SubPractices[D],Practices_SubPractices[CP],"3",Practices_SubPractices[Org],"Small"),IF(AND(Practices_SubPractices[CP]=4,Practices_SubPractices[Org]="Small"),SUMIFS(Practices_SubPractices[D],Practices_SubPractices[CP],"4",Practices_SubPractices[Org],"Small"),IF(AND(Practices_SubPractices[CP]=5,Practices_SubPractices[Org]="Small"),SUMIFS(Practices_SubPractices[D],Practices_SubPractices[CP],"5",Practices_SubPractices[Org],"Small"),IF(AND(Practices_SubPractices[CP]=6,Practices_SubPractices[Org]="Small"),SUMIFS(Practices_SubPractices[D],Practices_SubPractices[CP],"6",Practices_SubPractices[Org],"Small"),IF(AND(Practices_SubPractices[CP]=7,Practices_SubPractices[Org] ="Small"),SUMIFS(Practices_SubPractices[D],Practices_SubPractices[CP],"7",Practices_SubPractices[Org],"Small"),IF(AND(Practices_SubPractices[CP]=8,Practices_SubPractices[Org] ="Small"),SUMIFS(Practices_SubPractices[D],Practices_SubPractices[CP],"8",Practices_SubPractices[Org],"Small"),IF(AND(Practices_SubPractices[CP]=9,Practices_SubPractices[Org] ="Small"),SUMIFS(Practices_SubPractices[D],Practices_SubPractices[CP],"9",Practices_SubPractices[Org],"Small"),IF(AND(Practices_SubPractices[CP]=10,Practices_SubPractices[Org] ="Small"),SUMIFS(Practices_SubPractices[D],Practices_SubPractices[CP],"10",Practices_SubPractices[Org],"Small"),IF(AND(Practices_SubPractices[CP]=1,Practices_SubPractices[Org]="Medium"),SUMIFS(Practices_SubPractices[D],Practices_SubPractices[CP],"1",Practices_SubPractices[Org],"Medium"),IF(AND(Practices_SubPractices[CP]=2,Practices_SubPractices[Org]="Medium"),SUMIFS(Practices_SubPractices[D],Practices_SubPractices[CP],"2",Practices_SubPractices[Org],"Medium"),IF(AND(Practices_SubPractices[CP]=3,Practices_SubPractices[Org]="Medium"),SUMIFS(Practices_SubPractices[D],Practices_SubPractices[CP],"3",Practices_SubPractices[Org],"Medium"),IF(AND(Practices_SubPractices[CP]=4,Practices_SubPractices[Org]="Medium"),SUMIFS(Practices_SubPractices[D],Practices_SubPractices[CP],"4",Practices_SubPractices[Org],"Medium"),IF(AND(Practices_SubPractices[CP]=5,Practices_SubPractices[Org]="Medium"),SUMIFS(Practices_SubPractices[D],Practices_SubPractices[CP],"5",Practices_SubPractices[Org],"Medium"),IF(AND(Practices_SubPractices[CP]=6,Practices_SubPractices[Org]="Medium"),SUMIFS(Practices_SubPractices[D],Practices_SubPractices[CP],"6",Practices_SubPractices[Org],"Medium"),IF(AND(Practices_SubPractices[CP]=7,Practices_SubPractices[Org] ="Medium"),SUMIFS(Practices_SubPractices[D],Practices_SubPractices[CP],"7",Practices_SubPractices[Org],"Medium"),IF(AND(Practices_SubPractices[CP]=8,Practices_SubPractices[Org] ="Medium"),SUMIFS(Practices_SubPractices[D],Practices_SubPractices[CP],"8",Practices_SubPractices[Org],"Medium"),IF(AND(Practices_SubPractices[CP]=9,Practices_SubPractices[Org] ="Medium"),SUMIFS(Practices_SubPractices[D],Practices_SubPractices[CP],"9",Practices_SubPractices[Org],"Medium"),IF(AND(Practices_SubPractices[CP]=10,Practices_SubPractices[Org] ="Medium"),SUMIFS(Practices_SubPractices[D],Practices_SubPractices[CP],"10",Practices_SubPractices[Org],"Medium"),IF(AND(Practices_SubPractices[CP]=1,Practices_SubPractices[Org]="Large"),SUMIFS(Practices_SubPractices[D],Practices_SubPractices[CP],"1",Practices_SubPractices[Org],"Large"),IF(AND(Practices_SubPractices[CP]=2,Practices_SubPractices[Org]="Large"),SUMIFS(Practices_SubPractices[D],Practices_SubPractices[CP],"2",Practices_SubPractices[Org],"Large"),IF(AND(Practices_SubPractices[CP]=3,Practices_SubPractices[Org]="Large"),SUMIFS(Practices_SubPractices[D],Practices_SubPractices[CP],"3",Practices_SubPractices[Org],"Large"),IF(AND(Practices_SubPractices[CP]=4,Practices_SubPractices[Org]="Large"),SUMIFS(Practices_SubPractices[D],Practices_SubPractices[CP],"4",Practices_SubPractices[Org],"Large"),IF(AND(Practices_SubPractices[CP]=5,Practices_SubPractices[Org]="Large"),SUMIFS(Practices_SubPractices[D],Practices_SubPractices[CP],"5",Practices_SubPractices[Org],"Large"),IF(AND(Practices_SubPractices[CP]=6,Practices_SubPractices[Org]="Large"),SUMIFS(Practices_SubPractices[D],Practices_SubPractices[CP],"6",Practices_SubPractices[Org],"Large"),IF(AND(Practices_SubPractices[CP]=7,Practices_SubPractices[Org] ="Large"),SUMIFS(Practices_SubPractices[D],Practices_SubPractices[CP],"7",Practices_SubPractices[Org],"Large"),IF(AND(Practices_SubPractices[CP]=8,Practices_SubPractices[Org] ="Large"),SUMIFS(Practices_SubPractices[D],Practices_SubPractices[CP],"8",Practices_SubPractices[Org],"Large"),IF(AND(Practices_SubPractices[CP]=9,Practices_SubPractices[Org] ="Large"),SUMIFS(Practices_SubPractices[D],Practices_SubPractices[CP],"9",Practices_SubPractices[Org],"Large"),IF(AND(Practices_SubPractices[CP]=10,Practices_SubPractices[Org] ="Large"),SUMIFS(Practices_SubPractices[D],Practices_SubPractices[CP],"10",Practices_SubPractices[Org],"Large"),"TBD"))))))))))))))))))))))))))))))</f>
        <v>6</v>
      </c>
      <c r="R110" s="77">
        <f>IF(AND(Practices_SubPractices[CP]=1,Practices_SubPractices[Org]="Small"),SUMIFS(Practices_SubPractices[E],Practices_SubPractices[CP],"1",Practices_SubPractices[Org],"Small"),IF(AND(Practices_SubPractices[CP]=2,Practices_SubPractices[Org]="Small"),SUMIFS(Practices_SubPractices[E],Practices_SubPractices[CP],"2",Practices_SubPractices[Org],"Small"),IF(AND(Practices_SubPractices[CP]=3,Practices_SubPractices[Org]="Small"),SUMIFS(Practices_SubPractices[E],Practices_SubPractices[CP],"3",Practices_SubPractices[Org],"Small"),IF(AND(Practices_SubPractices[CP]=4,Practices_SubPractices[Org]="Small"),SUMIFS(Practices_SubPractices[E],Practices_SubPractices[CP],"4",Practices_SubPractices[Org],"Small"),IF(AND(Practices_SubPractices[CP]=5,Practices_SubPractices[Org]="Small"),SUMIFS(Practices_SubPractices[E],Practices_SubPractices[CP],"5",Practices_SubPractices[Org],"Small"),IF(AND(Practices_SubPractices[CP]=6,Practices_SubPractices[Org]="Small"),SUMIFS(Practices_SubPractices[E],Practices_SubPractices[CP],"6",Practices_SubPractices[Org],"Small"),IF(AND(Practices_SubPractices[CP]=7,Practices_SubPractices[Org] ="Small"),SUMIFS(Practices_SubPractices[E],Practices_SubPractices[CP],"7",Practices_SubPractices[Org],"Small"),IF(AND(Practices_SubPractices[CP]=8,Practices_SubPractices[Org] ="Small"),SUMIFS(Practices_SubPractices[E],Practices_SubPractices[CP],"8",Practices_SubPractices[Org],"Small"),IF(AND(Practices_SubPractices[CP]=9,Practices_SubPractices[Org] ="Small"),SUMIFS(Practices_SubPractices[E],Practices_SubPractices[CP],"9",Practices_SubPractices[Org],"Small"),IF(AND(Practices_SubPractices[CP]=10,Practices_SubPractices[Org] ="Small"),SUMIFS(Practices_SubPractices[E],Practices_SubPractices[CP],"10",Practices_SubPractices[Org],"Small"),IF(AND(Practices_SubPractices[CP]=1,Practices_SubPractices[Org]="Medium"),SUMIFS(Practices_SubPractices[E],Practices_SubPractices[CP],"1",Practices_SubPractices[Org],"Medium"),IF(AND(Practices_SubPractices[CP]=2,Practices_SubPractices[Org]="Medium"),SUMIFS(Practices_SubPractices[E],Practices_SubPractices[CP],"2",Practices_SubPractices[Org],"Medium"),IF(AND(Practices_SubPractices[CP]=3,Practices_SubPractices[Org]="Medium"),SUMIFS(Practices_SubPractices[E],Practices_SubPractices[CP],"3",Practices_SubPractices[Org],"Medium"),IF(AND(Practices_SubPractices[CP]=4,Practices_SubPractices[Org]="Medium"),SUMIFS(Practices_SubPractices[E],Practices_SubPractices[CP],"4",Practices_SubPractices[Org],"Medium"),IF(AND(Practices_SubPractices[CP]=5,Practices_SubPractices[Org]="Medium"),SUMIFS(Practices_SubPractices[E],Practices_SubPractices[CP],"5",Practices_SubPractices[Org],"Medium"),IF(AND(Practices_SubPractices[CP]=6,Practices_SubPractices[Org]="Medium"),SUMIFS(Practices_SubPractices[E],Practices_SubPractices[CP],"6",Practices_SubPractices[Org],"Medium"),IF(AND(Practices_SubPractices[CP]=7,Practices_SubPractices[Org] ="Medium"),SUMIFS(Practices_SubPractices[E],Practices_SubPractices[CP],"7",Practices_SubPractices[Org],"Medium"),IF(AND(Practices_SubPractices[CP]=8,Practices_SubPractices[Org] ="Medium"),SUMIFS(Practices_SubPractices[E],Practices_SubPractices[CP],"8",Practices_SubPractices[Org],"Medium"),IF(AND(Practices_SubPractices[CP]=9,Practices_SubPractices[Org] ="Medium"),SUMIFS(Practices_SubPractices[E],Practices_SubPractices[CP],"9",Practices_SubPractices[Org],"Medium"),IF(AND(Practices_SubPractices[CP]=10,Practices_SubPractices[Org] ="Medium"),SUMIFS(Practices_SubPractices[E],Practices_SubPractices[CP],"10",Practices_SubPractices[Org],"Medium"),IF(AND(Practices_SubPractices[CP]=1,Practices_SubPractices[Org]="Large"),SUMIFS(Practices_SubPractices[E],Practices_SubPractices[CP],"1",Practices_SubPractices[Org],"Large"),IF(AND(Practices_SubPractices[CP]=2,Practices_SubPractices[Org]="Large"),SUMIFS(Practices_SubPractices[E],Practices_SubPractices[CP],"2",Practices_SubPractices[Org],"Large"),IF(AND(Practices_SubPractices[CP]=3,Practices_SubPractices[Org]="Large"),SUMIFS(Practices_SubPractices[E],Practices_SubPractices[CP],"3",Practices_SubPractices[Org],"Large"),IF(AND(Practices_SubPractices[CP]=4,Practices_SubPractices[Org]="Large"),SUMIFS(Practices_SubPractices[E],Practices_SubPractices[CP],"4",Practices_SubPractices[Org],"Large"),IF(AND(Practices_SubPractices[CP]=5,Practices_SubPractices[Org]="Large"),SUMIFS(Practices_SubPractices[E],Practices_SubPractices[CP],"5",Practices_SubPractices[Org],"Large"),IF(AND(Practices_SubPractices[CP]=6,Practices_SubPractices[Org]="Large"),SUMIFS(Practices_SubPractices[E],Practices_SubPractices[CP],"6",Practices_SubPractices[Org],"Large"),IF(AND(Practices_SubPractices[CP]=7,Practices_SubPractices[Org] ="Large"),SUMIFS(Practices_SubPractices[E],Practices_SubPractices[CP],"7",Practices_SubPractices[Org],"Large"),IF(AND(Practices_SubPractices[CP]=8,Practices_SubPractices[Org] ="Large"),SUMIFS(Practices_SubPractices[E],Practices_SubPractices[CP],"8",Practices_SubPractices[Org],"Large"),IF(AND(Practices_SubPractices[CP]=9,Practices_SubPractices[Org] ="Large"),SUMIFS(Practices_SubPractices[E],Practices_SubPractices[CP],"9",Practices_SubPractices[Org],"Large"),IF(AND(Practices_SubPractices[CP]=10,Practices_SubPractices[Org] ="Large"),SUMIFS(Practices_SubPractices[E],Practices_SubPractices[CP],"10",Practices_SubPractices[Org],"Large"),"TBD"))))))))))))))))))))))))))))))</f>
        <v>2</v>
      </c>
      <c r="S110" s="87" t="s">
        <v>420</v>
      </c>
    </row>
    <row r="111" spans="1:19" x14ac:dyDescent="0.35">
      <c r="A111" s="73">
        <v>101</v>
      </c>
      <c r="B111" s="73">
        <v>3</v>
      </c>
      <c r="C111" s="80" t="s">
        <v>12</v>
      </c>
      <c r="D111" s="73" t="str">
        <f>Practices_SubPractices[[#This Row],[CP]]&amp;LEFT(Practices_SubPractices[[#This Row],[Org]],1)</f>
        <v>3L</v>
      </c>
      <c r="E111" s="73" t="s">
        <v>265</v>
      </c>
      <c r="F111" s="74" t="s">
        <v>87</v>
      </c>
      <c r="G111" s="74" t="s">
        <v>90</v>
      </c>
      <c r="H111" s="74" t="s">
        <v>211</v>
      </c>
      <c r="I111" s="75">
        <v>0</v>
      </c>
      <c r="J111" s="75">
        <v>1</v>
      </c>
      <c r="K111" s="75">
        <v>0</v>
      </c>
      <c r="L111" s="75">
        <v>1</v>
      </c>
      <c r="M111" s="75">
        <v>0</v>
      </c>
      <c r="N111" s="76"/>
      <c r="O111" s="77">
        <f>IF(AND(Practices_SubPractices[CP]=1,Practices_SubPractices[Org]="Small"),SUMIFS(Practices_SubPractices[B],Practices_SubPractices[CP],"1",Practices_SubPractices[Org],"Small"),IF(AND(Practices_SubPractices[CP]=2,Practices_SubPractices[Org]="Small"),SUMIFS(Practices_SubPractices[B],Practices_SubPractices[CP],"2",Practices_SubPractices[Org],"Small"),IF(AND(Practices_SubPractices[CP]=3,Practices_SubPractices[Org]="Small"),SUMIFS(Practices_SubPractices[B],Practices_SubPractices[CP],"3",Practices_SubPractices[Org],"Small"),IF(AND(Practices_SubPractices[CP]=4,Practices_SubPractices[Org]="Small"),SUMIFS(Practices_SubPractices[B],Practices_SubPractices[CP],"4",Practices_SubPractices[Org],"Small"),IF(AND(Practices_SubPractices[CP]=5,Practices_SubPractices[Org]="Small"),SUMIFS(Practices_SubPractices[B],Practices_SubPractices[CP],"5",Practices_SubPractices[Org],"Small"),IF(AND(Practices_SubPractices[CP]=6,Practices_SubPractices[Org]="Small"),SUMIFS(Practices_SubPractices[B],Practices_SubPractices[CP],"6",Practices_SubPractices[Org],"Small"),IF(AND(Practices_SubPractices[CP]=7,Practices_SubPractices[Org] ="Small"),SUMIFS(Practices_SubPractices[B],Practices_SubPractices[CP],"7",Practices_SubPractices[Org],"Small"),IF(AND(Practices_SubPractices[CP]=8,Practices_SubPractices[Org] ="Small"),SUMIFS(Practices_SubPractices[B],Practices_SubPractices[CP],"8",Practices_SubPractices[Org],"Small"),IF(AND(Practices_SubPractices[CP]=9,Practices_SubPractices[Org] ="Small"),SUMIFS(Practices_SubPractices[B],Practices_SubPractices[CP],"9",Practices_SubPractices[Org],"Small"),IF(AND(Practices_SubPractices[CP]=10,Practices_SubPractices[Org] ="Small"),SUMIFS(Practices_SubPractices[B],Practices_SubPractices[CP],"10",Practices_SubPractices[Org],"Small"),IF(AND(Practices_SubPractices[CP]=1,Practices_SubPractices[Org]="Medium"),SUMIFS(Practices_SubPractices[B],Practices_SubPractices[CP],"1",Practices_SubPractices[Org],"Medium"),IF(AND(Practices_SubPractices[CP]=2,Practices_SubPractices[Org]="Medium"),SUMIFS(Practices_SubPractices[B],Practices_SubPractices[CP],"2",Practices_SubPractices[Org],"Medium"),IF(AND(Practices_SubPractices[CP]=3,Practices_SubPractices[Org]="Medium"),SUMIFS(Practices_SubPractices[B],Practices_SubPractices[CP],"3",Practices_SubPractices[Org],"Medium"),IF(AND(Practices_SubPractices[CP]=4,Practices_SubPractices[Org]="Medium"),SUMIFS(Practices_SubPractices[B],Practices_SubPractices[CP],"4",Practices_SubPractices[Org],"Medium"),IF(AND(Practices_SubPractices[CP]=5,Practices_SubPractices[Org]="Medium"),SUMIFS(Practices_SubPractices[B],Practices_SubPractices[CP],"5",Practices_SubPractices[Org],"Medium"),IF(AND(Practices_SubPractices[CP]=6,Practices_SubPractices[Org]="Medium"),SUMIFS(Practices_SubPractices[B],Practices_SubPractices[CP],"6",Practices_SubPractices[Org],"Medium"),IF(AND(Practices_SubPractices[CP]=7,Practices_SubPractices[Org] ="Medium"),SUMIFS(Practices_SubPractices[B],Practices_SubPractices[CP],"7",Practices_SubPractices[Org],"Medium"),IF(AND(Practices_SubPractices[CP]=8,Practices_SubPractices[Org] ="Medium"),SUMIFS(Practices_SubPractices[B],Practices_SubPractices[CP],"8",Practices_SubPractices[Org],"Medium"),IF(AND(Practices_SubPractices[CP]=9,Practices_SubPractices[Org] ="Medium"),SUMIFS(Practices_SubPractices[B],Practices_SubPractices[CP],"9",Practices_SubPractices[Org],"Medium"),IF(AND(Practices_SubPractices[CP]=10,Practices_SubPractices[Org] ="Medium"),SUMIFS(Practices_SubPractices[B],Practices_SubPractices[CP],"10",Practices_SubPractices[Org],"Medium"),IF(AND(Practices_SubPractices[CP]=1,Practices_SubPractices[Org]="Large"),SUMIFS(Practices_SubPractices[B],Practices_SubPractices[CP],"1",Practices_SubPractices[Org],"Large"),IF(AND(Practices_SubPractices[CP]=2,Practices_SubPractices[Org]="Large"),SUMIFS(Practices_SubPractices[B],Practices_SubPractices[CP],"2",Practices_SubPractices[Org],"Large"),IF(AND(Practices_SubPractices[CP]=3,Practices_SubPractices[Org]="Large"),SUMIFS(Practices_SubPractices[B],Practices_SubPractices[CP],"3",Practices_SubPractices[Org],"Large"),IF(AND(Practices_SubPractices[CP]=4,Practices_SubPractices[Org]="Large"),SUMIFS(Practices_SubPractices[B],Practices_SubPractices[CP],"4",Practices_SubPractices[Org],"Large"),IF(AND(Practices_SubPractices[CP]=5,Practices_SubPractices[Org]="Large"),SUMIFS(Practices_SubPractices[B],Practices_SubPractices[CP],"5",Practices_SubPractices[Org],"Large"),IF(AND(Practices_SubPractices[CP]=6,Practices_SubPractices[Org]="Large"),SUMIFS(Practices_SubPractices[B],Practices_SubPractices[CP],"6",Practices_SubPractices[Org],"Large"),IF(AND(Practices_SubPractices[CP]=7,Practices_SubPractices[Org] ="Large"),SUMIFS(Practices_SubPractices[B],Practices_SubPractices[CP],"7",Practices_SubPractices[Org],"Large"),IF(AND(Practices_SubPractices[CP]=8,Practices_SubPractices[Org] ="Large"),SUMIFS(Practices_SubPractices[B],Practices_SubPractices[CP],"8",Practices_SubPractices[Org],"Large"),IF(AND(Practices_SubPractices[CP]=9,Practices_SubPractices[Org] ="Large"),SUMIFS(Practices_SubPractices[B],Practices_SubPractices[CP],"9",Practices_SubPractices[Org],"Large"),IF(AND(Practices_SubPractices[CP]=10,Practices_SubPractices[Org] ="Large"),SUMIFS(Practices_SubPractices[B],Practices_SubPractices[CP],"10",Practices_SubPractices[Org],"Large"),"TBD"))))))))))))))))))))))))))))))</f>
        <v>12</v>
      </c>
      <c r="P111" s="77">
        <f>IF(AND(Practices_SubPractices[CP]=1,Practices_SubPractices[Org]="Small"),SUMIFS(Practices_SubPractices[C],Practices_SubPractices[CP],"1",Practices_SubPractices[Org],"Small"),IF(AND(Practices_SubPractices[CP]=2,Practices_SubPractices[Org]="Small"),SUMIFS(Practices_SubPractices[C],Practices_SubPractices[CP],"2",Practices_SubPractices[Org],"Small"),IF(AND(Practices_SubPractices[CP]=3,Practices_SubPractices[Org]="Small"),SUMIFS(Practices_SubPractices[C],Practices_SubPractices[CP],"3",Practices_SubPractices[Org],"Small"),IF(AND(Practices_SubPractices[CP]=4,Practices_SubPractices[Org]="Small"),SUMIFS(Practices_SubPractices[C],Practices_SubPractices[CP],"4",Practices_SubPractices[Org],"Small"),IF(AND(Practices_SubPractices[CP]=5,Practices_SubPractices[Org]="Small"),SUMIFS(Practices_SubPractices[C],Practices_SubPractices[CP],"5",Practices_SubPractices[Org],"Small"),IF(AND(Practices_SubPractices[CP]=6,Practices_SubPractices[Org]="Small"),SUMIFS(Practices_SubPractices[C],Practices_SubPractices[CP],"6",Practices_SubPractices[Org],"Small"),IF(AND(Practices_SubPractices[CP]=7,Practices_SubPractices[Org] ="Small"),SUMIFS(Practices_SubPractices[C],Practices_SubPractices[CP],"7",Practices_SubPractices[Org],"Small"),IF(AND(Practices_SubPractices[CP]=8,Practices_SubPractices[Org] ="Small"),SUMIFS(Practices_SubPractices[C],Practices_SubPractices[CP],"8",Practices_SubPractices[Org],"Small"),IF(AND(Practices_SubPractices[CP]=9,Practices_SubPractices[Org] ="Small"),SUMIFS(Practices_SubPractices[C],Practices_SubPractices[CP],"9",Practices_SubPractices[Org],"Small"),IF(AND(Practices_SubPractices[CP]=10,Practices_SubPractices[Org] ="Small"),SUMIFS(Practices_SubPractices[C],Practices_SubPractices[CP],"10",Practices_SubPractices[Org],"Small"),IF(AND(Practices_SubPractices[CP]=1,Practices_SubPractices[Org]="Medium"),SUMIFS(Practices_SubPractices[C],Practices_SubPractices[CP],"1",Practices_SubPractices[Org],"Medium"),IF(AND(Practices_SubPractices[CP]=2,Practices_SubPractices[Org]="Medium"),SUMIFS(Practices_SubPractices[C],Practices_SubPractices[CP],"2",Practices_SubPractices[Org],"Medium"),IF(AND(Practices_SubPractices[CP]=3,Practices_SubPractices[Org]="Medium"),SUMIFS(Practices_SubPractices[C],Practices_SubPractices[CP],"3",Practices_SubPractices[Org],"Medium"),IF(AND(Practices_SubPractices[CP]=4,Practices_SubPractices[Org]="Medium"),SUMIFS(Practices_SubPractices[C],Practices_SubPractices[CP],"4",Practices_SubPractices[Org],"Medium"),IF(AND(Practices_SubPractices[CP]=5,Practices_SubPractices[Org]="Medium"),SUMIFS(Practices_SubPractices[C],Practices_SubPractices[CP],"5",Practices_SubPractices[Org],"Medium"),IF(AND(Practices_SubPractices[CP]=6,Practices_SubPractices[Org]="Medium"),SUMIFS(Practices_SubPractices[C],Practices_SubPractices[CP],"6",Practices_SubPractices[Org],"Medium"),IF(AND(Practices_SubPractices[CP]=7,Practices_SubPractices[Org] ="Medium"),SUMIFS(Practices_SubPractices[C],Practices_SubPractices[CP],"7",Practices_SubPractices[Org],"Medium"),IF(AND(Practices_SubPractices[CP]=8,Practices_SubPractices[Org] ="Medium"),SUMIFS(Practices_SubPractices[C],Practices_SubPractices[CP],"8",Practices_SubPractices[Org],"Medium"),IF(AND(Practices_SubPractices[CP]=9,Practices_SubPractices[Org] ="Medium"),SUMIFS(Practices_SubPractices[C],Practices_SubPractices[CP],"9",Practices_SubPractices[Org],"Medium"),IF(AND(Practices_SubPractices[CP]=10,Practices_SubPractices[Org] ="Medium"),SUMIFS(Practices_SubPractices[C],Practices_SubPractices[CP],"10",Practices_SubPractices[Org],"Medium"),IF(AND(Practices_SubPractices[CP]=1,Practices_SubPractices[Org]="Large"),SUMIFS(Practices_SubPractices[C],Practices_SubPractices[CP],"1",Practices_SubPractices[Org],"Large"),IF(AND(Practices_SubPractices[CP]=2,Practices_SubPractices[Org]="Large"),SUMIFS(Practices_SubPractices[C],Practices_SubPractices[CP],"2",Practices_SubPractices[Org],"Large"),IF(AND(Practices_SubPractices[CP]=3,Practices_SubPractices[Org]="Large"),SUMIFS(Practices_SubPractices[C],Practices_SubPractices[CP],"3",Practices_SubPractices[Org],"Large"),IF(AND(Practices_SubPractices[CP]=4,Practices_SubPractices[Org]="Large"),SUMIFS(Practices_SubPractices[C],Practices_SubPractices[CP],"4",Practices_SubPractices[Org],"Large"),IF(AND(Practices_SubPractices[CP]=5,Practices_SubPractices[Org]="Large"),SUMIFS(Practices_SubPractices[C],Practices_SubPractices[CP],"5",Practices_SubPractices[Org],"Large"),IF(AND(Practices_SubPractices[CP]=6,Practices_SubPractices[Org]="Large"),SUMIFS(Practices_SubPractices[C],Practices_SubPractices[CP],"6",Practices_SubPractices[Org],"Large"),IF(AND(Practices_SubPractices[CP]=7,Practices_SubPractices[Org] ="Large"),SUMIFS(Practices_SubPractices[C],Practices_SubPractices[CP],"7",Practices_SubPractices[Org],"Large"),IF(AND(Practices_SubPractices[CP]=8,Practices_SubPractices[Org] ="Large"),SUMIFS(Practices_SubPractices[C],Practices_SubPractices[CP],"8",Practices_SubPractices[Org],"Large"),IF(AND(Practices_SubPractices[CP]=9,Practices_SubPractices[Org] ="Large"),SUMIFS(Practices_SubPractices[C],Practices_SubPractices[CP],"9",Practices_SubPractices[Org],"Large"),IF(AND(Practices_SubPractices[CP]=10,Practices_SubPractices[Org] ="Large"),SUMIFS(Practices_SubPractices[C],Practices_SubPractices[CP],"10",Practices_SubPractices[Org],"Large"),"TBD"))))))))))))))))))))))))))))))</f>
        <v>6</v>
      </c>
      <c r="Q111" s="77">
        <f>IF(AND(Practices_SubPractices[CP]=1,Practices_SubPractices[Org]="Small"),SUMIFS(Practices_SubPractices[D],Practices_SubPractices[CP],"1",Practices_SubPractices[Org],"Small"),IF(AND(Practices_SubPractices[CP]=2,Practices_SubPractices[Org]="Small"),SUMIFS(Practices_SubPractices[D],Practices_SubPractices[CP],"2",Practices_SubPractices[Org],"Small"),IF(AND(Practices_SubPractices[CP]=3,Practices_SubPractices[Org]="Small"),SUMIFS(Practices_SubPractices[D],Practices_SubPractices[CP],"3",Practices_SubPractices[Org],"Small"),IF(AND(Practices_SubPractices[CP]=4,Practices_SubPractices[Org]="Small"),SUMIFS(Practices_SubPractices[D],Practices_SubPractices[CP],"4",Practices_SubPractices[Org],"Small"),IF(AND(Practices_SubPractices[CP]=5,Practices_SubPractices[Org]="Small"),SUMIFS(Practices_SubPractices[D],Practices_SubPractices[CP],"5",Practices_SubPractices[Org],"Small"),IF(AND(Practices_SubPractices[CP]=6,Practices_SubPractices[Org]="Small"),SUMIFS(Practices_SubPractices[D],Practices_SubPractices[CP],"6",Practices_SubPractices[Org],"Small"),IF(AND(Practices_SubPractices[CP]=7,Practices_SubPractices[Org] ="Small"),SUMIFS(Practices_SubPractices[D],Practices_SubPractices[CP],"7",Practices_SubPractices[Org],"Small"),IF(AND(Practices_SubPractices[CP]=8,Practices_SubPractices[Org] ="Small"),SUMIFS(Practices_SubPractices[D],Practices_SubPractices[CP],"8",Practices_SubPractices[Org],"Small"),IF(AND(Practices_SubPractices[CP]=9,Practices_SubPractices[Org] ="Small"),SUMIFS(Practices_SubPractices[D],Practices_SubPractices[CP],"9",Practices_SubPractices[Org],"Small"),IF(AND(Practices_SubPractices[CP]=10,Practices_SubPractices[Org] ="Small"),SUMIFS(Practices_SubPractices[D],Practices_SubPractices[CP],"10",Practices_SubPractices[Org],"Small"),IF(AND(Practices_SubPractices[CP]=1,Practices_SubPractices[Org]="Medium"),SUMIFS(Practices_SubPractices[D],Practices_SubPractices[CP],"1",Practices_SubPractices[Org],"Medium"),IF(AND(Practices_SubPractices[CP]=2,Practices_SubPractices[Org]="Medium"),SUMIFS(Practices_SubPractices[D],Practices_SubPractices[CP],"2",Practices_SubPractices[Org],"Medium"),IF(AND(Practices_SubPractices[CP]=3,Practices_SubPractices[Org]="Medium"),SUMIFS(Practices_SubPractices[D],Practices_SubPractices[CP],"3",Practices_SubPractices[Org],"Medium"),IF(AND(Practices_SubPractices[CP]=4,Practices_SubPractices[Org]="Medium"),SUMIFS(Practices_SubPractices[D],Practices_SubPractices[CP],"4",Practices_SubPractices[Org],"Medium"),IF(AND(Practices_SubPractices[CP]=5,Practices_SubPractices[Org]="Medium"),SUMIFS(Practices_SubPractices[D],Practices_SubPractices[CP],"5",Practices_SubPractices[Org],"Medium"),IF(AND(Practices_SubPractices[CP]=6,Practices_SubPractices[Org]="Medium"),SUMIFS(Practices_SubPractices[D],Practices_SubPractices[CP],"6",Practices_SubPractices[Org],"Medium"),IF(AND(Practices_SubPractices[CP]=7,Practices_SubPractices[Org] ="Medium"),SUMIFS(Practices_SubPractices[D],Practices_SubPractices[CP],"7",Practices_SubPractices[Org],"Medium"),IF(AND(Practices_SubPractices[CP]=8,Practices_SubPractices[Org] ="Medium"),SUMIFS(Practices_SubPractices[D],Practices_SubPractices[CP],"8",Practices_SubPractices[Org],"Medium"),IF(AND(Practices_SubPractices[CP]=9,Practices_SubPractices[Org] ="Medium"),SUMIFS(Practices_SubPractices[D],Practices_SubPractices[CP],"9",Practices_SubPractices[Org],"Medium"),IF(AND(Practices_SubPractices[CP]=10,Practices_SubPractices[Org] ="Medium"),SUMIFS(Practices_SubPractices[D],Practices_SubPractices[CP],"10",Practices_SubPractices[Org],"Medium"),IF(AND(Practices_SubPractices[CP]=1,Practices_SubPractices[Org]="Large"),SUMIFS(Practices_SubPractices[D],Practices_SubPractices[CP],"1",Practices_SubPractices[Org],"Large"),IF(AND(Practices_SubPractices[CP]=2,Practices_SubPractices[Org]="Large"),SUMIFS(Practices_SubPractices[D],Practices_SubPractices[CP],"2",Practices_SubPractices[Org],"Large"),IF(AND(Practices_SubPractices[CP]=3,Practices_SubPractices[Org]="Large"),SUMIFS(Practices_SubPractices[D],Practices_SubPractices[CP],"3",Practices_SubPractices[Org],"Large"),IF(AND(Practices_SubPractices[CP]=4,Practices_SubPractices[Org]="Large"),SUMIFS(Practices_SubPractices[D],Practices_SubPractices[CP],"4",Practices_SubPractices[Org],"Large"),IF(AND(Practices_SubPractices[CP]=5,Practices_SubPractices[Org]="Large"),SUMIFS(Practices_SubPractices[D],Practices_SubPractices[CP],"5",Practices_SubPractices[Org],"Large"),IF(AND(Practices_SubPractices[CP]=6,Practices_SubPractices[Org]="Large"),SUMIFS(Practices_SubPractices[D],Practices_SubPractices[CP],"6",Practices_SubPractices[Org],"Large"),IF(AND(Practices_SubPractices[CP]=7,Practices_SubPractices[Org] ="Large"),SUMIFS(Practices_SubPractices[D],Practices_SubPractices[CP],"7",Practices_SubPractices[Org],"Large"),IF(AND(Practices_SubPractices[CP]=8,Practices_SubPractices[Org] ="Large"),SUMIFS(Practices_SubPractices[D],Practices_SubPractices[CP],"8",Practices_SubPractices[Org],"Large"),IF(AND(Practices_SubPractices[CP]=9,Practices_SubPractices[Org] ="Large"),SUMIFS(Practices_SubPractices[D],Practices_SubPractices[CP],"9",Practices_SubPractices[Org],"Large"),IF(AND(Practices_SubPractices[CP]=10,Practices_SubPractices[Org] ="Large"),SUMIFS(Practices_SubPractices[D],Practices_SubPractices[CP],"10",Practices_SubPractices[Org],"Large"),"TBD"))))))))))))))))))))))))))))))</f>
        <v>11</v>
      </c>
      <c r="R111" s="77">
        <f>IF(AND(Practices_SubPractices[CP]=1,Practices_SubPractices[Org]="Small"),SUMIFS(Practices_SubPractices[E],Practices_SubPractices[CP],"1",Practices_SubPractices[Org],"Small"),IF(AND(Practices_SubPractices[CP]=2,Practices_SubPractices[Org]="Small"),SUMIFS(Practices_SubPractices[E],Practices_SubPractices[CP],"2",Practices_SubPractices[Org],"Small"),IF(AND(Practices_SubPractices[CP]=3,Practices_SubPractices[Org]="Small"),SUMIFS(Practices_SubPractices[E],Practices_SubPractices[CP],"3",Practices_SubPractices[Org],"Small"),IF(AND(Practices_SubPractices[CP]=4,Practices_SubPractices[Org]="Small"),SUMIFS(Practices_SubPractices[E],Practices_SubPractices[CP],"4",Practices_SubPractices[Org],"Small"),IF(AND(Practices_SubPractices[CP]=5,Practices_SubPractices[Org]="Small"),SUMIFS(Practices_SubPractices[E],Practices_SubPractices[CP],"5",Practices_SubPractices[Org],"Small"),IF(AND(Practices_SubPractices[CP]=6,Practices_SubPractices[Org]="Small"),SUMIFS(Practices_SubPractices[E],Practices_SubPractices[CP],"6",Practices_SubPractices[Org],"Small"),IF(AND(Practices_SubPractices[CP]=7,Practices_SubPractices[Org] ="Small"),SUMIFS(Practices_SubPractices[E],Practices_SubPractices[CP],"7",Practices_SubPractices[Org],"Small"),IF(AND(Practices_SubPractices[CP]=8,Practices_SubPractices[Org] ="Small"),SUMIFS(Practices_SubPractices[E],Practices_SubPractices[CP],"8",Practices_SubPractices[Org],"Small"),IF(AND(Practices_SubPractices[CP]=9,Practices_SubPractices[Org] ="Small"),SUMIFS(Practices_SubPractices[E],Practices_SubPractices[CP],"9",Practices_SubPractices[Org],"Small"),IF(AND(Practices_SubPractices[CP]=10,Practices_SubPractices[Org] ="Small"),SUMIFS(Practices_SubPractices[E],Practices_SubPractices[CP],"10",Practices_SubPractices[Org],"Small"),IF(AND(Practices_SubPractices[CP]=1,Practices_SubPractices[Org]="Medium"),SUMIFS(Practices_SubPractices[E],Practices_SubPractices[CP],"1",Practices_SubPractices[Org],"Medium"),IF(AND(Practices_SubPractices[CP]=2,Practices_SubPractices[Org]="Medium"),SUMIFS(Practices_SubPractices[E],Practices_SubPractices[CP],"2",Practices_SubPractices[Org],"Medium"),IF(AND(Practices_SubPractices[CP]=3,Practices_SubPractices[Org]="Medium"),SUMIFS(Practices_SubPractices[E],Practices_SubPractices[CP],"3",Practices_SubPractices[Org],"Medium"),IF(AND(Practices_SubPractices[CP]=4,Practices_SubPractices[Org]="Medium"),SUMIFS(Practices_SubPractices[E],Practices_SubPractices[CP],"4",Practices_SubPractices[Org],"Medium"),IF(AND(Practices_SubPractices[CP]=5,Practices_SubPractices[Org]="Medium"),SUMIFS(Practices_SubPractices[E],Practices_SubPractices[CP],"5",Practices_SubPractices[Org],"Medium"),IF(AND(Practices_SubPractices[CP]=6,Practices_SubPractices[Org]="Medium"),SUMIFS(Practices_SubPractices[E],Practices_SubPractices[CP],"6",Practices_SubPractices[Org],"Medium"),IF(AND(Practices_SubPractices[CP]=7,Practices_SubPractices[Org] ="Medium"),SUMIFS(Practices_SubPractices[E],Practices_SubPractices[CP],"7",Practices_SubPractices[Org],"Medium"),IF(AND(Practices_SubPractices[CP]=8,Practices_SubPractices[Org] ="Medium"),SUMIFS(Practices_SubPractices[E],Practices_SubPractices[CP],"8",Practices_SubPractices[Org],"Medium"),IF(AND(Practices_SubPractices[CP]=9,Practices_SubPractices[Org] ="Medium"),SUMIFS(Practices_SubPractices[E],Practices_SubPractices[CP],"9",Practices_SubPractices[Org],"Medium"),IF(AND(Practices_SubPractices[CP]=10,Practices_SubPractices[Org] ="Medium"),SUMIFS(Practices_SubPractices[E],Practices_SubPractices[CP],"10",Practices_SubPractices[Org],"Medium"),IF(AND(Practices_SubPractices[CP]=1,Practices_SubPractices[Org]="Large"),SUMIFS(Practices_SubPractices[E],Practices_SubPractices[CP],"1",Practices_SubPractices[Org],"Large"),IF(AND(Practices_SubPractices[CP]=2,Practices_SubPractices[Org]="Large"),SUMIFS(Practices_SubPractices[E],Practices_SubPractices[CP],"2",Practices_SubPractices[Org],"Large"),IF(AND(Practices_SubPractices[CP]=3,Practices_SubPractices[Org]="Large"),SUMIFS(Practices_SubPractices[E],Practices_SubPractices[CP],"3",Practices_SubPractices[Org],"Large"),IF(AND(Practices_SubPractices[CP]=4,Practices_SubPractices[Org]="Large"),SUMIFS(Practices_SubPractices[E],Practices_SubPractices[CP],"4",Practices_SubPractices[Org],"Large"),IF(AND(Practices_SubPractices[CP]=5,Practices_SubPractices[Org]="Large"),SUMIFS(Practices_SubPractices[E],Practices_SubPractices[CP],"5",Practices_SubPractices[Org],"Large"),IF(AND(Practices_SubPractices[CP]=6,Practices_SubPractices[Org]="Large"),SUMIFS(Practices_SubPractices[E],Practices_SubPractices[CP],"6",Practices_SubPractices[Org],"Large"),IF(AND(Practices_SubPractices[CP]=7,Practices_SubPractices[Org] ="Large"),SUMIFS(Practices_SubPractices[E],Practices_SubPractices[CP],"7",Practices_SubPractices[Org],"Large"),IF(AND(Practices_SubPractices[CP]=8,Practices_SubPractices[Org] ="Large"),SUMIFS(Practices_SubPractices[E],Practices_SubPractices[CP],"8",Practices_SubPractices[Org],"Large"),IF(AND(Practices_SubPractices[CP]=9,Practices_SubPractices[Org] ="Large"),SUMIFS(Practices_SubPractices[E],Practices_SubPractices[CP],"9",Practices_SubPractices[Org],"Large"),IF(AND(Practices_SubPractices[CP]=10,Practices_SubPractices[Org] ="Large"),SUMIFS(Practices_SubPractices[E],Practices_SubPractices[CP],"10",Practices_SubPractices[Org],"Large"),"TBD"))))))))))))))))))))))))))))))</f>
        <v>8</v>
      </c>
      <c r="S111" s="87" t="s">
        <v>437</v>
      </c>
    </row>
    <row r="112" spans="1:19" x14ac:dyDescent="0.35">
      <c r="A112" s="73">
        <v>102</v>
      </c>
      <c r="B112" s="73">
        <v>3</v>
      </c>
      <c r="C112" s="80" t="s">
        <v>12</v>
      </c>
      <c r="D112" s="73" t="str">
        <f>Practices_SubPractices[[#This Row],[CP]]&amp;LEFT(Practices_SubPractices[[#This Row],[Org]],1)</f>
        <v>3L</v>
      </c>
      <c r="E112" s="73" t="s">
        <v>266</v>
      </c>
      <c r="F112" s="74" t="s">
        <v>88</v>
      </c>
      <c r="G112" s="74" t="s">
        <v>213</v>
      </c>
      <c r="H112" s="74" t="s">
        <v>215</v>
      </c>
      <c r="I112" s="75">
        <v>0</v>
      </c>
      <c r="J112" s="75">
        <v>2</v>
      </c>
      <c r="K112" s="75">
        <v>0</v>
      </c>
      <c r="L112" s="75">
        <v>1</v>
      </c>
      <c r="M112" s="75">
        <v>1</v>
      </c>
      <c r="N112" s="76"/>
      <c r="O112" s="77">
        <f>IF(AND(Practices_SubPractices[CP]=1,Practices_SubPractices[Org]="Small"),SUMIFS(Practices_SubPractices[B],Practices_SubPractices[CP],"1",Practices_SubPractices[Org],"Small"),IF(AND(Practices_SubPractices[CP]=2,Practices_SubPractices[Org]="Small"),SUMIFS(Practices_SubPractices[B],Practices_SubPractices[CP],"2",Practices_SubPractices[Org],"Small"),IF(AND(Practices_SubPractices[CP]=3,Practices_SubPractices[Org]="Small"),SUMIFS(Practices_SubPractices[B],Practices_SubPractices[CP],"3",Practices_SubPractices[Org],"Small"),IF(AND(Practices_SubPractices[CP]=4,Practices_SubPractices[Org]="Small"),SUMIFS(Practices_SubPractices[B],Practices_SubPractices[CP],"4",Practices_SubPractices[Org],"Small"),IF(AND(Practices_SubPractices[CP]=5,Practices_SubPractices[Org]="Small"),SUMIFS(Practices_SubPractices[B],Practices_SubPractices[CP],"5",Practices_SubPractices[Org],"Small"),IF(AND(Practices_SubPractices[CP]=6,Practices_SubPractices[Org]="Small"),SUMIFS(Practices_SubPractices[B],Practices_SubPractices[CP],"6",Practices_SubPractices[Org],"Small"),IF(AND(Practices_SubPractices[CP]=7,Practices_SubPractices[Org] ="Small"),SUMIFS(Practices_SubPractices[B],Practices_SubPractices[CP],"7",Practices_SubPractices[Org],"Small"),IF(AND(Practices_SubPractices[CP]=8,Practices_SubPractices[Org] ="Small"),SUMIFS(Practices_SubPractices[B],Practices_SubPractices[CP],"8",Practices_SubPractices[Org],"Small"),IF(AND(Practices_SubPractices[CP]=9,Practices_SubPractices[Org] ="Small"),SUMIFS(Practices_SubPractices[B],Practices_SubPractices[CP],"9",Practices_SubPractices[Org],"Small"),IF(AND(Practices_SubPractices[CP]=10,Practices_SubPractices[Org] ="Small"),SUMIFS(Practices_SubPractices[B],Practices_SubPractices[CP],"10",Practices_SubPractices[Org],"Small"),IF(AND(Practices_SubPractices[CP]=1,Practices_SubPractices[Org]="Medium"),SUMIFS(Practices_SubPractices[B],Practices_SubPractices[CP],"1",Practices_SubPractices[Org],"Medium"),IF(AND(Practices_SubPractices[CP]=2,Practices_SubPractices[Org]="Medium"),SUMIFS(Practices_SubPractices[B],Practices_SubPractices[CP],"2",Practices_SubPractices[Org],"Medium"),IF(AND(Practices_SubPractices[CP]=3,Practices_SubPractices[Org]="Medium"),SUMIFS(Practices_SubPractices[B],Practices_SubPractices[CP],"3",Practices_SubPractices[Org],"Medium"),IF(AND(Practices_SubPractices[CP]=4,Practices_SubPractices[Org]="Medium"),SUMIFS(Practices_SubPractices[B],Practices_SubPractices[CP],"4",Practices_SubPractices[Org],"Medium"),IF(AND(Practices_SubPractices[CP]=5,Practices_SubPractices[Org]="Medium"),SUMIFS(Practices_SubPractices[B],Practices_SubPractices[CP],"5",Practices_SubPractices[Org],"Medium"),IF(AND(Practices_SubPractices[CP]=6,Practices_SubPractices[Org]="Medium"),SUMIFS(Practices_SubPractices[B],Practices_SubPractices[CP],"6",Practices_SubPractices[Org],"Medium"),IF(AND(Practices_SubPractices[CP]=7,Practices_SubPractices[Org] ="Medium"),SUMIFS(Practices_SubPractices[B],Practices_SubPractices[CP],"7",Practices_SubPractices[Org],"Medium"),IF(AND(Practices_SubPractices[CP]=8,Practices_SubPractices[Org] ="Medium"),SUMIFS(Practices_SubPractices[B],Practices_SubPractices[CP],"8",Practices_SubPractices[Org],"Medium"),IF(AND(Practices_SubPractices[CP]=9,Practices_SubPractices[Org] ="Medium"),SUMIFS(Practices_SubPractices[B],Practices_SubPractices[CP],"9",Practices_SubPractices[Org],"Medium"),IF(AND(Practices_SubPractices[CP]=10,Practices_SubPractices[Org] ="Medium"),SUMIFS(Practices_SubPractices[B],Practices_SubPractices[CP],"10",Practices_SubPractices[Org],"Medium"),IF(AND(Practices_SubPractices[CP]=1,Practices_SubPractices[Org]="Large"),SUMIFS(Practices_SubPractices[B],Practices_SubPractices[CP],"1",Practices_SubPractices[Org],"Large"),IF(AND(Practices_SubPractices[CP]=2,Practices_SubPractices[Org]="Large"),SUMIFS(Practices_SubPractices[B],Practices_SubPractices[CP],"2",Practices_SubPractices[Org],"Large"),IF(AND(Practices_SubPractices[CP]=3,Practices_SubPractices[Org]="Large"),SUMIFS(Practices_SubPractices[B],Practices_SubPractices[CP],"3",Practices_SubPractices[Org],"Large"),IF(AND(Practices_SubPractices[CP]=4,Practices_SubPractices[Org]="Large"),SUMIFS(Practices_SubPractices[B],Practices_SubPractices[CP],"4",Practices_SubPractices[Org],"Large"),IF(AND(Practices_SubPractices[CP]=5,Practices_SubPractices[Org]="Large"),SUMIFS(Practices_SubPractices[B],Practices_SubPractices[CP],"5",Practices_SubPractices[Org],"Large"),IF(AND(Practices_SubPractices[CP]=6,Practices_SubPractices[Org]="Large"),SUMIFS(Practices_SubPractices[B],Practices_SubPractices[CP],"6",Practices_SubPractices[Org],"Large"),IF(AND(Practices_SubPractices[CP]=7,Practices_SubPractices[Org] ="Large"),SUMIFS(Practices_SubPractices[B],Practices_SubPractices[CP],"7",Practices_SubPractices[Org],"Large"),IF(AND(Practices_SubPractices[CP]=8,Practices_SubPractices[Org] ="Large"),SUMIFS(Practices_SubPractices[B],Practices_SubPractices[CP],"8",Practices_SubPractices[Org],"Large"),IF(AND(Practices_SubPractices[CP]=9,Practices_SubPractices[Org] ="Large"),SUMIFS(Practices_SubPractices[B],Practices_SubPractices[CP],"9",Practices_SubPractices[Org],"Large"),IF(AND(Practices_SubPractices[CP]=10,Practices_SubPractices[Org] ="Large"),SUMIFS(Practices_SubPractices[B],Practices_SubPractices[CP],"10",Practices_SubPractices[Org],"Large"),"TBD"))))))))))))))))))))))))))))))</f>
        <v>12</v>
      </c>
      <c r="P112" s="77">
        <f>IF(AND(Practices_SubPractices[CP]=1,Practices_SubPractices[Org]="Small"),SUMIFS(Practices_SubPractices[C],Practices_SubPractices[CP],"1",Practices_SubPractices[Org],"Small"),IF(AND(Practices_SubPractices[CP]=2,Practices_SubPractices[Org]="Small"),SUMIFS(Practices_SubPractices[C],Practices_SubPractices[CP],"2",Practices_SubPractices[Org],"Small"),IF(AND(Practices_SubPractices[CP]=3,Practices_SubPractices[Org]="Small"),SUMIFS(Practices_SubPractices[C],Practices_SubPractices[CP],"3",Practices_SubPractices[Org],"Small"),IF(AND(Practices_SubPractices[CP]=4,Practices_SubPractices[Org]="Small"),SUMIFS(Practices_SubPractices[C],Practices_SubPractices[CP],"4",Practices_SubPractices[Org],"Small"),IF(AND(Practices_SubPractices[CP]=5,Practices_SubPractices[Org]="Small"),SUMIFS(Practices_SubPractices[C],Practices_SubPractices[CP],"5",Practices_SubPractices[Org],"Small"),IF(AND(Practices_SubPractices[CP]=6,Practices_SubPractices[Org]="Small"),SUMIFS(Practices_SubPractices[C],Practices_SubPractices[CP],"6",Practices_SubPractices[Org],"Small"),IF(AND(Practices_SubPractices[CP]=7,Practices_SubPractices[Org] ="Small"),SUMIFS(Practices_SubPractices[C],Practices_SubPractices[CP],"7",Practices_SubPractices[Org],"Small"),IF(AND(Practices_SubPractices[CP]=8,Practices_SubPractices[Org] ="Small"),SUMIFS(Practices_SubPractices[C],Practices_SubPractices[CP],"8",Practices_SubPractices[Org],"Small"),IF(AND(Practices_SubPractices[CP]=9,Practices_SubPractices[Org] ="Small"),SUMIFS(Practices_SubPractices[C],Practices_SubPractices[CP],"9",Practices_SubPractices[Org],"Small"),IF(AND(Practices_SubPractices[CP]=10,Practices_SubPractices[Org] ="Small"),SUMIFS(Practices_SubPractices[C],Practices_SubPractices[CP],"10",Practices_SubPractices[Org],"Small"),IF(AND(Practices_SubPractices[CP]=1,Practices_SubPractices[Org]="Medium"),SUMIFS(Practices_SubPractices[C],Practices_SubPractices[CP],"1",Practices_SubPractices[Org],"Medium"),IF(AND(Practices_SubPractices[CP]=2,Practices_SubPractices[Org]="Medium"),SUMIFS(Practices_SubPractices[C],Practices_SubPractices[CP],"2",Practices_SubPractices[Org],"Medium"),IF(AND(Practices_SubPractices[CP]=3,Practices_SubPractices[Org]="Medium"),SUMIFS(Practices_SubPractices[C],Practices_SubPractices[CP],"3",Practices_SubPractices[Org],"Medium"),IF(AND(Practices_SubPractices[CP]=4,Practices_SubPractices[Org]="Medium"),SUMIFS(Practices_SubPractices[C],Practices_SubPractices[CP],"4",Practices_SubPractices[Org],"Medium"),IF(AND(Practices_SubPractices[CP]=5,Practices_SubPractices[Org]="Medium"),SUMIFS(Practices_SubPractices[C],Practices_SubPractices[CP],"5",Practices_SubPractices[Org],"Medium"),IF(AND(Practices_SubPractices[CP]=6,Practices_SubPractices[Org]="Medium"),SUMIFS(Practices_SubPractices[C],Practices_SubPractices[CP],"6",Practices_SubPractices[Org],"Medium"),IF(AND(Practices_SubPractices[CP]=7,Practices_SubPractices[Org] ="Medium"),SUMIFS(Practices_SubPractices[C],Practices_SubPractices[CP],"7",Practices_SubPractices[Org],"Medium"),IF(AND(Practices_SubPractices[CP]=8,Practices_SubPractices[Org] ="Medium"),SUMIFS(Practices_SubPractices[C],Practices_SubPractices[CP],"8",Practices_SubPractices[Org],"Medium"),IF(AND(Practices_SubPractices[CP]=9,Practices_SubPractices[Org] ="Medium"),SUMIFS(Practices_SubPractices[C],Practices_SubPractices[CP],"9",Practices_SubPractices[Org],"Medium"),IF(AND(Practices_SubPractices[CP]=10,Practices_SubPractices[Org] ="Medium"),SUMIFS(Practices_SubPractices[C],Practices_SubPractices[CP],"10",Practices_SubPractices[Org],"Medium"),IF(AND(Practices_SubPractices[CP]=1,Practices_SubPractices[Org]="Large"),SUMIFS(Practices_SubPractices[C],Practices_SubPractices[CP],"1",Practices_SubPractices[Org],"Large"),IF(AND(Practices_SubPractices[CP]=2,Practices_SubPractices[Org]="Large"),SUMIFS(Practices_SubPractices[C],Practices_SubPractices[CP],"2",Practices_SubPractices[Org],"Large"),IF(AND(Practices_SubPractices[CP]=3,Practices_SubPractices[Org]="Large"),SUMIFS(Practices_SubPractices[C],Practices_SubPractices[CP],"3",Practices_SubPractices[Org],"Large"),IF(AND(Practices_SubPractices[CP]=4,Practices_SubPractices[Org]="Large"),SUMIFS(Practices_SubPractices[C],Practices_SubPractices[CP],"4",Practices_SubPractices[Org],"Large"),IF(AND(Practices_SubPractices[CP]=5,Practices_SubPractices[Org]="Large"),SUMIFS(Practices_SubPractices[C],Practices_SubPractices[CP],"5",Practices_SubPractices[Org],"Large"),IF(AND(Practices_SubPractices[CP]=6,Practices_SubPractices[Org]="Large"),SUMIFS(Practices_SubPractices[C],Practices_SubPractices[CP],"6",Practices_SubPractices[Org],"Large"),IF(AND(Practices_SubPractices[CP]=7,Practices_SubPractices[Org] ="Large"),SUMIFS(Practices_SubPractices[C],Practices_SubPractices[CP],"7",Practices_SubPractices[Org],"Large"),IF(AND(Practices_SubPractices[CP]=8,Practices_SubPractices[Org] ="Large"),SUMIFS(Practices_SubPractices[C],Practices_SubPractices[CP],"8",Practices_SubPractices[Org],"Large"),IF(AND(Practices_SubPractices[CP]=9,Practices_SubPractices[Org] ="Large"),SUMIFS(Practices_SubPractices[C],Practices_SubPractices[CP],"9",Practices_SubPractices[Org],"Large"),IF(AND(Practices_SubPractices[CP]=10,Practices_SubPractices[Org] ="Large"),SUMIFS(Practices_SubPractices[C],Practices_SubPractices[CP],"10",Practices_SubPractices[Org],"Large"),"TBD"))))))))))))))))))))))))))))))</f>
        <v>6</v>
      </c>
      <c r="Q112" s="77">
        <f>IF(AND(Practices_SubPractices[CP]=1,Practices_SubPractices[Org]="Small"),SUMIFS(Practices_SubPractices[D],Practices_SubPractices[CP],"1",Practices_SubPractices[Org],"Small"),IF(AND(Practices_SubPractices[CP]=2,Practices_SubPractices[Org]="Small"),SUMIFS(Practices_SubPractices[D],Practices_SubPractices[CP],"2",Practices_SubPractices[Org],"Small"),IF(AND(Practices_SubPractices[CP]=3,Practices_SubPractices[Org]="Small"),SUMIFS(Practices_SubPractices[D],Practices_SubPractices[CP],"3",Practices_SubPractices[Org],"Small"),IF(AND(Practices_SubPractices[CP]=4,Practices_SubPractices[Org]="Small"),SUMIFS(Practices_SubPractices[D],Practices_SubPractices[CP],"4",Practices_SubPractices[Org],"Small"),IF(AND(Practices_SubPractices[CP]=5,Practices_SubPractices[Org]="Small"),SUMIFS(Practices_SubPractices[D],Practices_SubPractices[CP],"5",Practices_SubPractices[Org],"Small"),IF(AND(Practices_SubPractices[CP]=6,Practices_SubPractices[Org]="Small"),SUMIFS(Practices_SubPractices[D],Practices_SubPractices[CP],"6",Practices_SubPractices[Org],"Small"),IF(AND(Practices_SubPractices[CP]=7,Practices_SubPractices[Org] ="Small"),SUMIFS(Practices_SubPractices[D],Practices_SubPractices[CP],"7",Practices_SubPractices[Org],"Small"),IF(AND(Practices_SubPractices[CP]=8,Practices_SubPractices[Org] ="Small"),SUMIFS(Practices_SubPractices[D],Practices_SubPractices[CP],"8",Practices_SubPractices[Org],"Small"),IF(AND(Practices_SubPractices[CP]=9,Practices_SubPractices[Org] ="Small"),SUMIFS(Practices_SubPractices[D],Practices_SubPractices[CP],"9",Practices_SubPractices[Org],"Small"),IF(AND(Practices_SubPractices[CP]=10,Practices_SubPractices[Org] ="Small"),SUMIFS(Practices_SubPractices[D],Practices_SubPractices[CP],"10",Practices_SubPractices[Org],"Small"),IF(AND(Practices_SubPractices[CP]=1,Practices_SubPractices[Org]="Medium"),SUMIFS(Practices_SubPractices[D],Practices_SubPractices[CP],"1",Practices_SubPractices[Org],"Medium"),IF(AND(Practices_SubPractices[CP]=2,Practices_SubPractices[Org]="Medium"),SUMIFS(Practices_SubPractices[D],Practices_SubPractices[CP],"2",Practices_SubPractices[Org],"Medium"),IF(AND(Practices_SubPractices[CP]=3,Practices_SubPractices[Org]="Medium"),SUMIFS(Practices_SubPractices[D],Practices_SubPractices[CP],"3",Practices_SubPractices[Org],"Medium"),IF(AND(Practices_SubPractices[CP]=4,Practices_SubPractices[Org]="Medium"),SUMIFS(Practices_SubPractices[D],Practices_SubPractices[CP],"4",Practices_SubPractices[Org],"Medium"),IF(AND(Practices_SubPractices[CP]=5,Practices_SubPractices[Org]="Medium"),SUMIFS(Practices_SubPractices[D],Practices_SubPractices[CP],"5",Practices_SubPractices[Org],"Medium"),IF(AND(Practices_SubPractices[CP]=6,Practices_SubPractices[Org]="Medium"),SUMIFS(Practices_SubPractices[D],Practices_SubPractices[CP],"6",Practices_SubPractices[Org],"Medium"),IF(AND(Practices_SubPractices[CP]=7,Practices_SubPractices[Org] ="Medium"),SUMIFS(Practices_SubPractices[D],Practices_SubPractices[CP],"7",Practices_SubPractices[Org],"Medium"),IF(AND(Practices_SubPractices[CP]=8,Practices_SubPractices[Org] ="Medium"),SUMIFS(Practices_SubPractices[D],Practices_SubPractices[CP],"8",Practices_SubPractices[Org],"Medium"),IF(AND(Practices_SubPractices[CP]=9,Practices_SubPractices[Org] ="Medium"),SUMIFS(Practices_SubPractices[D],Practices_SubPractices[CP],"9",Practices_SubPractices[Org],"Medium"),IF(AND(Practices_SubPractices[CP]=10,Practices_SubPractices[Org] ="Medium"),SUMIFS(Practices_SubPractices[D],Practices_SubPractices[CP],"10",Practices_SubPractices[Org],"Medium"),IF(AND(Practices_SubPractices[CP]=1,Practices_SubPractices[Org]="Large"),SUMIFS(Practices_SubPractices[D],Practices_SubPractices[CP],"1",Practices_SubPractices[Org],"Large"),IF(AND(Practices_SubPractices[CP]=2,Practices_SubPractices[Org]="Large"),SUMIFS(Practices_SubPractices[D],Practices_SubPractices[CP],"2",Practices_SubPractices[Org],"Large"),IF(AND(Practices_SubPractices[CP]=3,Practices_SubPractices[Org]="Large"),SUMIFS(Practices_SubPractices[D],Practices_SubPractices[CP],"3",Practices_SubPractices[Org],"Large"),IF(AND(Practices_SubPractices[CP]=4,Practices_SubPractices[Org]="Large"),SUMIFS(Practices_SubPractices[D],Practices_SubPractices[CP],"4",Practices_SubPractices[Org],"Large"),IF(AND(Practices_SubPractices[CP]=5,Practices_SubPractices[Org]="Large"),SUMIFS(Practices_SubPractices[D],Practices_SubPractices[CP],"5",Practices_SubPractices[Org],"Large"),IF(AND(Practices_SubPractices[CP]=6,Practices_SubPractices[Org]="Large"),SUMIFS(Practices_SubPractices[D],Practices_SubPractices[CP],"6",Practices_SubPractices[Org],"Large"),IF(AND(Practices_SubPractices[CP]=7,Practices_SubPractices[Org] ="Large"),SUMIFS(Practices_SubPractices[D],Practices_SubPractices[CP],"7",Practices_SubPractices[Org],"Large"),IF(AND(Practices_SubPractices[CP]=8,Practices_SubPractices[Org] ="Large"),SUMIFS(Practices_SubPractices[D],Practices_SubPractices[CP],"8",Practices_SubPractices[Org],"Large"),IF(AND(Practices_SubPractices[CP]=9,Practices_SubPractices[Org] ="Large"),SUMIFS(Practices_SubPractices[D],Practices_SubPractices[CP],"9",Practices_SubPractices[Org],"Large"),IF(AND(Practices_SubPractices[CP]=10,Practices_SubPractices[Org] ="Large"),SUMIFS(Practices_SubPractices[D],Practices_SubPractices[CP],"10",Practices_SubPractices[Org],"Large"),"TBD"))))))))))))))))))))))))))))))</f>
        <v>11</v>
      </c>
      <c r="R112" s="77">
        <f>IF(AND(Practices_SubPractices[CP]=1,Practices_SubPractices[Org]="Small"),SUMIFS(Practices_SubPractices[E],Practices_SubPractices[CP],"1",Practices_SubPractices[Org],"Small"),IF(AND(Practices_SubPractices[CP]=2,Practices_SubPractices[Org]="Small"),SUMIFS(Practices_SubPractices[E],Practices_SubPractices[CP],"2",Practices_SubPractices[Org],"Small"),IF(AND(Practices_SubPractices[CP]=3,Practices_SubPractices[Org]="Small"),SUMIFS(Practices_SubPractices[E],Practices_SubPractices[CP],"3",Practices_SubPractices[Org],"Small"),IF(AND(Practices_SubPractices[CP]=4,Practices_SubPractices[Org]="Small"),SUMIFS(Practices_SubPractices[E],Practices_SubPractices[CP],"4",Practices_SubPractices[Org],"Small"),IF(AND(Practices_SubPractices[CP]=5,Practices_SubPractices[Org]="Small"),SUMIFS(Practices_SubPractices[E],Practices_SubPractices[CP],"5",Practices_SubPractices[Org],"Small"),IF(AND(Practices_SubPractices[CP]=6,Practices_SubPractices[Org]="Small"),SUMIFS(Practices_SubPractices[E],Practices_SubPractices[CP],"6",Practices_SubPractices[Org],"Small"),IF(AND(Practices_SubPractices[CP]=7,Practices_SubPractices[Org] ="Small"),SUMIFS(Practices_SubPractices[E],Practices_SubPractices[CP],"7",Practices_SubPractices[Org],"Small"),IF(AND(Practices_SubPractices[CP]=8,Practices_SubPractices[Org] ="Small"),SUMIFS(Practices_SubPractices[E],Practices_SubPractices[CP],"8",Practices_SubPractices[Org],"Small"),IF(AND(Practices_SubPractices[CP]=9,Practices_SubPractices[Org] ="Small"),SUMIFS(Practices_SubPractices[E],Practices_SubPractices[CP],"9",Practices_SubPractices[Org],"Small"),IF(AND(Practices_SubPractices[CP]=10,Practices_SubPractices[Org] ="Small"),SUMIFS(Practices_SubPractices[E],Practices_SubPractices[CP],"10",Practices_SubPractices[Org],"Small"),IF(AND(Practices_SubPractices[CP]=1,Practices_SubPractices[Org]="Medium"),SUMIFS(Practices_SubPractices[E],Practices_SubPractices[CP],"1",Practices_SubPractices[Org],"Medium"),IF(AND(Practices_SubPractices[CP]=2,Practices_SubPractices[Org]="Medium"),SUMIFS(Practices_SubPractices[E],Practices_SubPractices[CP],"2",Practices_SubPractices[Org],"Medium"),IF(AND(Practices_SubPractices[CP]=3,Practices_SubPractices[Org]="Medium"),SUMIFS(Practices_SubPractices[E],Practices_SubPractices[CP],"3",Practices_SubPractices[Org],"Medium"),IF(AND(Practices_SubPractices[CP]=4,Practices_SubPractices[Org]="Medium"),SUMIFS(Practices_SubPractices[E],Practices_SubPractices[CP],"4",Practices_SubPractices[Org],"Medium"),IF(AND(Practices_SubPractices[CP]=5,Practices_SubPractices[Org]="Medium"),SUMIFS(Practices_SubPractices[E],Practices_SubPractices[CP],"5",Practices_SubPractices[Org],"Medium"),IF(AND(Practices_SubPractices[CP]=6,Practices_SubPractices[Org]="Medium"),SUMIFS(Practices_SubPractices[E],Practices_SubPractices[CP],"6",Practices_SubPractices[Org],"Medium"),IF(AND(Practices_SubPractices[CP]=7,Practices_SubPractices[Org] ="Medium"),SUMIFS(Practices_SubPractices[E],Practices_SubPractices[CP],"7",Practices_SubPractices[Org],"Medium"),IF(AND(Practices_SubPractices[CP]=8,Practices_SubPractices[Org] ="Medium"),SUMIFS(Practices_SubPractices[E],Practices_SubPractices[CP],"8",Practices_SubPractices[Org],"Medium"),IF(AND(Practices_SubPractices[CP]=9,Practices_SubPractices[Org] ="Medium"),SUMIFS(Practices_SubPractices[E],Practices_SubPractices[CP],"9",Practices_SubPractices[Org],"Medium"),IF(AND(Practices_SubPractices[CP]=10,Practices_SubPractices[Org] ="Medium"),SUMIFS(Practices_SubPractices[E],Practices_SubPractices[CP],"10",Practices_SubPractices[Org],"Medium"),IF(AND(Practices_SubPractices[CP]=1,Practices_SubPractices[Org]="Large"),SUMIFS(Practices_SubPractices[E],Practices_SubPractices[CP],"1",Practices_SubPractices[Org],"Large"),IF(AND(Practices_SubPractices[CP]=2,Practices_SubPractices[Org]="Large"),SUMIFS(Practices_SubPractices[E],Practices_SubPractices[CP],"2",Practices_SubPractices[Org],"Large"),IF(AND(Practices_SubPractices[CP]=3,Practices_SubPractices[Org]="Large"),SUMIFS(Practices_SubPractices[E],Practices_SubPractices[CP],"3",Practices_SubPractices[Org],"Large"),IF(AND(Practices_SubPractices[CP]=4,Practices_SubPractices[Org]="Large"),SUMIFS(Practices_SubPractices[E],Practices_SubPractices[CP],"4",Practices_SubPractices[Org],"Large"),IF(AND(Practices_SubPractices[CP]=5,Practices_SubPractices[Org]="Large"),SUMIFS(Practices_SubPractices[E],Practices_SubPractices[CP],"5",Practices_SubPractices[Org],"Large"),IF(AND(Practices_SubPractices[CP]=6,Practices_SubPractices[Org]="Large"),SUMIFS(Practices_SubPractices[E],Practices_SubPractices[CP],"6",Practices_SubPractices[Org],"Large"),IF(AND(Practices_SubPractices[CP]=7,Practices_SubPractices[Org] ="Large"),SUMIFS(Practices_SubPractices[E],Practices_SubPractices[CP],"7",Practices_SubPractices[Org],"Large"),IF(AND(Practices_SubPractices[CP]=8,Practices_SubPractices[Org] ="Large"),SUMIFS(Practices_SubPractices[E],Practices_SubPractices[CP],"8",Practices_SubPractices[Org],"Large"),IF(AND(Practices_SubPractices[CP]=9,Practices_SubPractices[Org] ="Large"),SUMIFS(Practices_SubPractices[E],Practices_SubPractices[CP],"9",Practices_SubPractices[Org],"Large"),IF(AND(Practices_SubPractices[CP]=10,Practices_SubPractices[Org] ="Large"),SUMIFS(Practices_SubPractices[E],Practices_SubPractices[CP],"10",Practices_SubPractices[Org],"Large"),"TBD"))))))))))))))))))))))))))))))</f>
        <v>8</v>
      </c>
      <c r="S112" s="87" t="s">
        <v>438</v>
      </c>
    </row>
    <row r="113" spans="1:19" x14ac:dyDescent="0.35">
      <c r="A113" s="73">
        <v>103</v>
      </c>
      <c r="B113" s="73">
        <v>3</v>
      </c>
      <c r="C113" s="80" t="s">
        <v>12</v>
      </c>
      <c r="D113" s="73" t="str">
        <f>Practices_SubPractices[[#This Row],[CP]]&amp;LEFT(Practices_SubPractices[[#This Row],[Org]],1)</f>
        <v>3L</v>
      </c>
      <c r="E113" s="73" t="s">
        <v>267</v>
      </c>
      <c r="F113" s="74" t="s">
        <v>89</v>
      </c>
      <c r="G113" s="74" t="s">
        <v>214</v>
      </c>
      <c r="H113" s="74" t="s">
        <v>216</v>
      </c>
      <c r="I113" s="75">
        <v>0</v>
      </c>
      <c r="J113" s="75">
        <v>1</v>
      </c>
      <c r="K113" s="75">
        <v>0</v>
      </c>
      <c r="L113" s="75">
        <v>1</v>
      </c>
      <c r="M113" s="75">
        <v>1</v>
      </c>
      <c r="N113" s="76"/>
      <c r="O113" s="77">
        <f>IF(AND(Practices_SubPractices[CP]=1,Practices_SubPractices[Org]="Small"),SUMIFS(Practices_SubPractices[B],Practices_SubPractices[CP],"1",Practices_SubPractices[Org],"Small"),IF(AND(Practices_SubPractices[CP]=2,Practices_SubPractices[Org]="Small"),SUMIFS(Practices_SubPractices[B],Practices_SubPractices[CP],"2",Practices_SubPractices[Org],"Small"),IF(AND(Practices_SubPractices[CP]=3,Practices_SubPractices[Org]="Small"),SUMIFS(Practices_SubPractices[B],Practices_SubPractices[CP],"3",Practices_SubPractices[Org],"Small"),IF(AND(Practices_SubPractices[CP]=4,Practices_SubPractices[Org]="Small"),SUMIFS(Practices_SubPractices[B],Practices_SubPractices[CP],"4",Practices_SubPractices[Org],"Small"),IF(AND(Practices_SubPractices[CP]=5,Practices_SubPractices[Org]="Small"),SUMIFS(Practices_SubPractices[B],Practices_SubPractices[CP],"5",Practices_SubPractices[Org],"Small"),IF(AND(Practices_SubPractices[CP]=6,Practices_SubPractices[Org]="Small"),SUMIFS(Practices_SubPractices[B],Practices_SubPractices[CP],"6",Practices_SubPractices[Org],"Small"),IF(AND(Practices_SubPractices[CP]=7,Practices_SubPractices[Org] ="Small"),SUMIFS(Practices_SubPractices[B],Practices_SubPractices[CP],"7",Practices_SubPractices[Org],"Small"),IF(AND(Practices_SubPractices[CP]=8,Practices_SubPractices[Org] ="Small"),SUMIFS(Practices_SubPractices[B],Practices_SubPractices[CP],"8",Practices_SubPractices[Org],"Small"),IF(AND(Practices_SubPractices[CP]=9,Practices_SubPractices[Org] ="Small"),SUMIFS(Practices_SubPractices[B],Practices_SubPractices[CP],"9",Practices_SubPractices[Org],"Small"),IF(AND(Practices_SubPractices[CP]=10,Practices_SubPractices[Org] ="Small"),SUMIFS(Practices_SubPractices[B],Practices_SubPractices[CP],"10",Practices_SubPractices[Org],"Small"),IF(AND(Practices_SubPractices[CP]=1,Practices_SubPractices[Org]="Medium"),SUMIFS(Practices_SubPractices[B],Practices_SubPractices[CP],"1",Practices_SubPractices[Org],"Medium"),IF(AND(Practices_SubPractices[CP]=2,Practices_SubPractices[Org]="Medium"),SUMIFS(Practices_SubPractices[B],Practices_SubPractices[CP],"2",Practices_SubPractices[Org],"Medium"),IF(AND(Practices_SubPractices[CP]=3,Practices_SubPractices[Org]="Medium"),SUMIFS(Practices_SubPractices[B],Practices_SubPractices[CP],"3",Practices_SubPractices[Org],"Medium"),IF(AND(Practices_SubPractices[CP]=4,Practices_SubPractices[Org]="Medium"),SUMIFS(Practices_SubPractices[B],Practices_SubPractices[CP],"4",Practices_SubPractices[Org],"Medium"),IF(AND(Practices_SubPractices[CP]=5,Practices_SubPractices[Org]="Medium"),SUMIFS(Practices_SubPractices[B],Practices_SubPractices[CP],"5",Practices_SubPractices[Org],"Medium"),IF(AND(Practices_SubPractices[CP]=6,Practices_SubPractices[Org]="Medium"),SUMIFS(Practices_SubPractices[B],Practices_SubPractices[CP],"6",Practices_SubPractices[Org],"Medium"),IF(AND(Practices_SubPractices[CP]=7,Practices_SubPractices[Org] ="Medium"),SUMIFS(Practices_SubPractices[B],Practices_SubPractices[CP],"7",Practices_SubPractices[Org],"Medium"),IF(AND(Practices_SubPractices[CP]=8,Practices_SubPractices[Org] ="Medium"),SUMIFS(Practices_SubPractices[B],Practices_SubPractices[CP],"8",Practices_SubPractices[Org],"Medium"),IF(AND(Practices_SubPractices[CP]=9,Practices_SubPractices[Org] ="Medium"),SUMIFS(Practices_SubPractices[B],Practices_SubPractices[CP],"9",Practices_SubPractices[Org],"Medium"),IF(AND(Practices_SubPractices[CP]=10,Practices_SubPractices[Org] ="Medium"),SUMIFS(Practices_SubPractices[B],Practices_SubPractices[CP],"10",Practices_SubPractices[Org],"Medium"),IF(AND(Practices_SubPractices[CP]=1,Practices_SubPractices[Org]="Large"),SUMIFS(Practices_SubPractices[B],Practices_SubPractices[CP],"1",Practices_SubPractices[Org],"Large"),IF(AND(Practices_SubPractices[CP]=2,Practices_SubPractices[Org]="Large"),SUMIFS(Practices_SubPractices[B],Practices_SubPractices[CP],"2",Practices_SubPractices[Org],"Large"),IF(AND(Practices_SubPractices[CP]=3,Practices_SubPractices[Org]="Large"),SUMIFS(Practices_SubPractices[B],Practices_SubPractices[CP],"3",Practices_SubPractices[Org],"Large"),IF(AND(Practices_SubPractices[CP]=4,Practices_SubPractices[Org]="Large"),SUMIFS(Practices_SubPractices[B],Practices_SubPractices[CP],"4",Practices_SubPractices[Org],"Large"),IF(AND(Practices_SubPractices[CP]=5,Practices_SubPractices[Org]="Large"),SUMIFS(Practices_SubPractices[B],Practices_SubPractices[CP],"5",Practices_SubPractices[Org],"Large"),IF(AND(Practices_SubPractices[CP]=6,Practices_SubPractices[Org]="Large"),SUMIFS(Practices_SubPractices[B],Practices_SubPractices[CP],"6",Practices_SubPractices[Org],"Large"),IF(AND(Practices_SubPractices[CP]=7,Practices_SubPractices[Org] ="Large"),SUMIFS(Practices_SubPractices[B],Practices_SubPractices[CP],"7",Practices_SubPractices[Org],"Large"),IF(AND(Practices_SubPractices[CP]=8,Practices_SubPractices[Org] ="Large"),SUMIFS(Practices_SubPractices[B],Practices_SubPractices[CP],"8",Practices_SubPractices[Org],"Large"),IF(AND(Practices_SubPractices[CP]=9,Practices_SubPractices[Org] ="Large"),SUMIFS(Practices_SubPractices[B],Practices_SubPractices[CP],"9",Practices_SubPractices[Org],"Large"),IF(AND(Practices_SubPractices[CP]=10,Practices_SubPractices[Org] ="Large"),SUMIFS(Practices_SubPractices[B],Practices_SubPractices[CP],"10",Practices_SubPractices[Org],"Large"),"TBD"))))))))))))))))))))))))))))))</f>
        <v>12</v>
      </c>
      <c r="P113" s="77">
        <f>IF(AND(Practices_SubPractices[CP]=1,Practices_SubPractices[Org]="Small"),SUMIFS(Practices_SubPractices[C],Practices_SubPractices[CP],"1",Practices_SubPractices[Org],"Small"),IF(AND(Practices_SubPractices[CP]=2,Practices_SubPractices[Org]="Small"),SUMIFS(Practices_SubPractices[C],Practices_SubPractices[CP],"2",Practices_SubPractices[Org],"Small"),IF(AND(Practices_SubPractices[CP]=3,Practices_SubPractices[Org]="Small"),SUMIFS(Practices_SubPractices[C],Practices_SubPractices[CP],"3",Practices_SubPractices[Org],"Small"),IF(AND(Practices_SubPractices[CP]=4,Practices_SubPractices[Org]="Small"),SUMIFS(Practices_SubPractices[C],Practices_SubPractices[CP],"4",Practices_SubPractices[Org],"Small"),IF(AND(Practices_SubPractices[CP]=5,Practices_SubPractices[Org]="Small"),SUMIFS(Practices_SubPractices[C],Practices_SubPractices[CP],"5",Practices_SubPractices[Org],"Small"),IF(AND(Practices_SubPractices[CP]=6,Practices_SubPractices[Org]="Small"),SUMIFS(Practices_SubPractices[C],Practices_SubPractices[CP],"6",Practices_SubPractices[Org],"Small"),IF(AND(Practices_SubPractices[CP]=7,Practices_SubPractices[Org] ="Small"),SUMIFS(Practices_SubPractices[C],Practices_SubPractices[CP],"7",Practices_SubPractices[Org],"Small"),IF(AND(Practices_SubPractices[CP]=8,Practices_SubPractices[Org] ="Small"),SUMIFS(Practices_SubPractices[C],Practices_SubPractices[CP],"8",Practices_SubPractices[Org],"Small"),IF(AND(Practices_SubPractices[CP]=9,Practices_SubPractices[Org] ="Small"),SUMIFS(Practices_SubPractices[C],Practices_SubPractices[CP],"9",Practices_SubPractices[Org],"Small"),IF(AND(Practices_SubPractices[CP]=10,Practices_SubPractices[Org] ="Small"),SUMIFS(Practices_SubPractices[C],Practices_SubPractices[CP],"10",Practices_SubPractices[Org],"Small"),IF(AND(Practices_SubPractices[CP]=1,Practices_SubPractices[Org]="Medium"),SUMIFS(Practices_SubPractices[C],Practices_SubPractices[CP],"1",Practices_SubPractices[Org],"Medium"),IF(AND(Practices_SubPractices[CP]=2,Practices_SubPractices[Org]="Medium"),SUMIFS(Practices_SubPractices[C],Practices_SubPractices[CP],"2",Practices_SubPractices[Org],"Medium"),IF(AND(Practices_SubPractices[CP]=3,Practices_SubPractices[Org]="Medium"),SUMIFS(Practices_SubPractices[C],Practices_SubPractices[CP],"3",Practices_SubPractices[Org],"Medium"),IF(AND(Practices_SubPractices[CP]=4,Practices_SubPractices[Org]="Medium"),SUMIFS(Practices_SubPractices[C],Practices_SubPractices[CP],"4",Practices_SubPractices[Org],"Medium"),IF(AND(Practices_SubPractices[CP]=5,Practices_SubPractices[Org]="Medium"),SUMIFS(Practices_SubPractices[C],Practices_SubPractices[CP],"5",Practices_SubPractices[Org],"Medium"),IF(AND(Practices_SubPractices[CP]=6,Practices_SubPractices[Org]="Medium"),SUMIFS(Practices_SubPractices[C],Practices_SubPractices[CP],"6",Practices_SubPractices[Org],"Medium"),IF(AND(Practices_SubPractices[CP]=7,Practices_SubPractices[Org] ="Medium"),SUMIFS(Practices_SubPractices[C],Practices_SubPractices[CP],"7",Practices_SubPractices[Org],"Medium"),IF(AND(Practices_SubPractices[CP]=8,Practices_SubPractices[Org] ="Medium"),SUMIFS(Practices_SubPractices[C],Practices_SubPractices[CP],"8",Practices_SubPractices[Org],"Medium"),IF(AND(Practices_SubPractices[CP]=9,Practices_SubPractices[Org] ="Medium"),SUMIFS(Practices_SubPractices[C],Practices_SubPractices[CP],"9",Practices_SubPractices[Org],"Medium"),IF(AND(Practices_SubPractices[CP]=10,Practices_SubPractices[Org] ="Medium"),SUMIFS(Practices_SubPractices[C],Practices_SubPractices[CP],"10",Practices_SubPractices[Org],"Medium"),IF(AND(Practices_SubPractices[CP]=1,Practices_SubPractices[Org]="Large"),SUMIFS(Practices_SubPractices[C],Practices_SubPractices[CP],"1",Practices_SubPractices[Org],"Large"),IF(AND(Practices_SubPractices[CP]=2,Practices_SubPractices[Org]="Large"),SUMIFS(Practices_SubPractices[C],Practices_SubPractices[CP],"2",Practices_SubPractices[Org],"Large"),IF(AND(Practices_SubPractices[CP]=3,Practices_SubPractices[Org]="Large"),SUMIFS(Practices_SubPractices[C],Practices_SubPractices[CP],"3",Practices_SubPractices[Org],"Large"),IF(AND(Practices_SubPractices[CP]=4,Practices_SubPractices[Org]="Large"),SUMIFS(Practices_SubPractices[C],Practices_SubPractices[CP],"4",Practices_SubPractices[Org],"Large"),IF(AND(Practices_SubPractices[CP]=5,Practices_SubPractices[Org]="Large"),SUMIFS(Practices_SubPractices[C],Practices_SubPractices[CP],"5",Practices_SubPractices[Org],"Large"),IF(AND(Practices_SubPractices[CP]=6,Practices_SubPractices[Org]="Large"),SUMIFS(Practices_SubPractices[C],Practices_SubPractices[CP],"6",Practices_SubPractices[Org],"Large"),IF(AND(Practices_SubPractices[CP]=7,Practices_SubPractices[Org] ="Large"),SUMIFS(Practices_SubPractices[C],Practices_SubPractices[CP],"7",Practices_SubPractices[Org],"Large"),IF(AND(Practices_SubPractices[CP]=8,Practices_SubPractices[Org] ="Large"),SUMIFS(Practices_SubPractices[C],Practices_SubPractices[CP],"8",Practices_SubPractices[Org],"Large"),IF(AND(Practices_SubPractices[CP]=9,Practices_SubPractices[Org] ="Large"),SUMIFS(Practices_SubPractices[C],Practices_SubPractices[CP],"9",Practices_SubPractices[Org],"Large"),IF(AND(Practices_SubPractices[CP]=10,Practices_SubPractices[Org] ="Large"),SUMIFS(Practices_SubPractices[C],Practices_SubPractices[CP],"10",Practices_SubPractices[Org],"Large"),"TBD"))))))))))))))))))))))))))))))</f>
        <v>6</v>
      </c>
      <c r="Q113" s="77">
        <f>IF(AND(Practices_SubPractices[CP]=1,Practices_SubPractices[Org]="Small"),SUMIFS(Practices_SubPractices[D],Practices_SubPractices[CP],"1",Practices_SubPractices[Org],"Small"),IF(AND(Practices_SubPractices[CP]=2,Practices_SubPractices[Org]="Small"),SUMIFS(Practices_SubPractices[D],Practices_SubPractices[CP],"2",Practices_SubPractices[Org],"Small"),IF(AND(Practices_SubPractices[CP]=3,Practices_SubPractices[Org]="Small"),SUMIFS(Practices_SubPractices[D],Practices_SubPractices[CP],"3",Practices_SubPractices[Org],"Small"),IF(AND(Practices_SubPractices[CP]=4,Practices_SubPractices[Org]="Small"),SUMIFS(Practices_SubPractices[D],Practices_SubPractices[CP],"4",Practices_SubPractices[Org],"Small"),IF(AND(Practices_SubPractices[CP]=5,Practices_SubPractices[Org]="Small"),SUMIFS(Practices_SubPractices[D],Practices_SubPractices[CP],"5",Practices_SubPractices[Org],"Small"),IF(AND(Practices_SubPractices[CP]=6,Practices_SubPractices[Org]="Small"),SUMIFS(Practices_SubPractices[D],Practices_SubPractices[CP],"6",Practices_SubPractices[Org],"Small"),IF(AND(Practices_SubPractices[CP]=7,Practices_SubPractices[Org] ="Small"),SUMIFS(Practices_SubPractices[D],Practices_SubPractices[CP],"7",Practices_SubPractices[Org],"Small"),IF(AND(Practices_SubPractices[CP]=8,Practices_SubPractices[Org] ="Small"),SUMIFS(Practices_SubPractices[D],Practices_SubPractices[CP],"8",Practices_SubPractices[Org],"Small"),IF(AND(Practices_SubPractices[CP]=9,Practices_SubPractices[Org] ="Small"),SUMIFS(Practices_SubPractices[D],Practices_SubPractices[CP],"9",Practices_SubPractices[Org],"Small"),IF(AND(Practices_SubPractices[CP]=10,Practices_SubPractices[Org] ="Small"),SUMIFS(Practices_SubPractices[D],Practices_SubPractices[CP],"10",Practices_SubPractices[Org],"Small"),IF(AND(Practices_SubPractices[CP]=1,Practices_SubPractices[Org]="Medium"),SUMIFS(Practices_SubPractices[D],Practices_SubPractices[CP],"1",Practices_SubPractices[Org],"Medium"),IF(AND(Practices_SubPractices[CP]=2,Practices_SubPractices[Org]="Medium"),SUMIFS(Practices_SubPractices[D],Practices_SubPractices[CP],"2",Practices_SubPractices[Org],"Medium"),IF(AND(Practices_SubPractices[CP]=3,Practices_SubPractices[Org]="Medium"),SUMIFS(Practices_SubPractices[D],Practices_SubPractices[CP],"3",Practices_SubPractices[Org],"Medium"),IF(AND(Practices_SubPractices[CP]=4,Practices_SubPractices[Org]="Medium"),SUMIFS(Practices_SubPractices[D],Practices_SubPractices[CP],"4",Practices_SubPractices[Org],"Medium"),IF(AND(Practices_SubPractices[CP]=5,Practices_SubPractices[Org]="Medium"),SUMIFS(Practices_SubPractices[D],Practices_SubPractices[CP],"5",Practices_SubPractices[Org],"Medium"),IF(AND(Practices_SubPractices[CP]=6,Practices_SubPractices[Org]="Medium"),SUMIFS(Practices_SubPractices[D],Practices_SubPractices[CP],"6",Practices_SubPractices[Org],"Medium"),IF(AND(Practices_SubPractices[CP]=7,Practices_SubPractices[Org] ="Medium"),SUMIFS(Practices_SubPractices[D],Practices_SubPractices[CP],"7",Practices_SubPractices[Org],"Medium"),IF(AND(Practices_SubPractices[CP]=8,Practices_SubPractices[Org] ="Medium"),SUMIFS(Practices_SubPractices[D],Practices_SubPractices[CP],"8",Practices_SubPractices[Org],"Medium"),IF(AND(Practices_SubPractices[CP]=9,Practices_SubPractices[Org] ="Medium"),SUMIFS(Practices_SubPractices[D],Practices_SubPractices[CP],"9",Practices_SubPractices[Org],"Medium"),IF(AND(Practices_SubPractices[CP]=10,Practices_SubPractices[Org] ="Medium"),SUMIFS(Practices_SubPractices[D],Practices_SubPractices[CP],"10",Practices_SubPractices[Org],"Medium"),IF(AND(Practices_SubPractices[CP]=1,Practices_SubPractices[Org]="Large"),SUMIFS(Practices_SubPractices[D],Practices_SubPractices[CP],"1",Practices_SubPractices[Org],"Large"),IF(AND(Practices_SubPractices[CP]=2,Practices_SubPractices[Org]="Large"),SUMIFS(Practices_SubPractices[D],Practices_SubPractices[CP],"2",Practices_SubPractices[Org],"Large"),IF(AND(Practices_SubPractices[CP]=3,Practices_SubPractices[Org]="Large"),SUMIFS(Practices_SubPractices[D],Practices_SubPractices[CP],"3",Practices_SubPractices[Org],"Large"),IF(AND(Practices_SubPractices[CP]=4,Practices_SubPractices[Org]="Large"),SUMIFS(Practices_SubPractices[D],Practices_SubPractices[CP],"4",Practices_SubPractices[Org],"Large"),IF(AND(Practices_SubPractices[CP]=5,Practices_SubPractices[Org]="Large"),SUMIFS(Practices_SubPractices[D],Practices_SubPractices[CP],"5",Practices_SubPractices[Org],"Large"),IF(AND(Practices_SubPractices[CP]=6,Practices_SubPractices[Org]="Large"),SUMIFS(Practices_SubPractices[D],Practices_SubPractices[CP],"6",Practices_SubPractices[Org],"Large"),IF(AND(Practices_SubPractices[CP]=7,Practices_SubPractices[Org] ="Large"),SUMIFS(Practices_SubPractices[D],Practices_SubPractices[CP],"7",Practices_SubPractices[Org],"Large"),IF(AND(Practices_SubPractices[CP]=8,Practices_SubPractices[Org] ="Large"),SUMIFS(Practices_SubPractices[D],Practices_SubPractices[CP],"8",Practices_SubPractices[Org],"Large"),IF(AND(Practices_SubPractices[CP]=9,Practices_SubPractices[Org] ="Large"),SUMIFS(Practices_SubPractices[D],Practices_SubPractices[CP],"9",Practices_SubPractices[Org],"Large"),IF(AND(Practices_SubPractices[CP]=10,Practices_SubPractices[Org] ="Large"),SUMIFS(Practices_SubPractices[D],Practices_SubPractices[CP],"10",Practices_SubPractices[Org],"Large"),"TBD"))))))))))))))))))))))))))))))</f>
        <v>11</v>
      </c>
      <c r="R113" s="77">
        <f>IF(AND(Practices_SubPractices[CP]=1,Practices_SubPractices[Org]="Small"),SUMIFS(Practices_SubPractices[E],Practices_SubPractices[CP],"1",Practices_SubPractices[Org],"Small"),IF(AND(Practices_SubPractices[CP]=2,Practices_SubPractices[Org]="Small"),SUMIFS(Practices_SubPractices[E],Practices_SubPractices[CP],"2",Practices_SubPractices[Org],"Small"),IF(AND(Practices_SubPractices[CP]=3,Practices_SubPractices[Org]="Small"),SUMIFS(Practices_SubPractices[E],Practices_SubPractices[CP],"3",Practices_SubPractices[Org],"Small"),IF(AND(Practices_SubPractices[CP]=4,Practices_SubPractices[Org]="Small"),SUMIFS(Practices_SubPractices[E],Practices_SubPractices[CP],"4",Practices_SubPractices[Org],"Small"),IF(AND(Practices_SubPractices[CP]=5,Practices_SubPractices[Org]="Small"),SUMIFS(Practices_SubPractices[E],Practices_SubPractices[CP],"5",Practices_SubPractices[Org],"Small"),IF(AND(Practices_SubPractices[CP]=6,Practices_SubPractices[Org]="Small"),SUMIFS(Practices_SubPractices[E],Practices_SubPractices[CP],"6",Practices_SubPractices[Org],"Small"),IF(AND(Practices_SubPractices[CP]=7,Practices_SubPractices[Org] ="Small"),SUMIFS(Practices_SubPractices[E],Practices_SubPractices[CP],"7",Practices_SubPractices[Org],"Small"),IF(AND(Practices_SubPractices[CP]=8,Practices_SubPractices[Org] ="Small"),SUMIFS(Practices_SubPractices[E],Practices_SubPractices[CP],"8",Practices_SubPractices[Org],"Small"),IF(AND(Practices_SubPractices[CP]=9,Practices_SubPractices[Org] ="Small"),SUMIFS(Practices_SubPractices[E],Practices_SubPractices[CP],"9",Practices_SubPractices[Org],"Small"),IF(AND(Practices_SubPractices[CP]=10,Practices_SubPractices[Org] ="Small"),SUMIFS(Practices_SubPractices[E],Practices_SubPractices[CP],"10",Practices_SubPractices[Org],"Small"),IF(AND(Practices_SubPractices[CP]=1,Practices_SubPractices[Org]="Medium"),SUMIFS(Practices_SubPractices[E],Practices_SubPractices[CP],"1",Practices_SubPractices[Org],"Medium"),IF(AND(Practices_SubPractices[CP]=2,Practices_SubPractices[Org]="Medium"),SUMIFS(Practices_SubPractices[E],Practices_SubPractices[CP],"2",Practices_SubPractices[Org],"Medium"),IF(AND(Practices_SubPractices[CP]=3,Practices_SubPractices[Org]="Medium"),SUMIFS(Practices_SubPractices[E],Practices_SubPractices[CP],"3",Practices_SubPractices[Org],"Medium"),IF(AND(Practices_SubPractices[CP]=4,Practices_SubPractices[Org]="Medium"),SUMIFS(Practices_SubPractices[E],Practices_SubPractices[CP],"4",Practices_SubPractices[Org],"Medium"),IF(AND(Practices_SubPractices[CP]=5,Practices_SubPractices[Org]="Medium"),SUMIFS(Practices_SubPractices[E],Practices_SubPractices[CP],"5",Practices_SubPractices[Org],"Medium"),IF(AND(Practices_SubPractices[CP]=6,Practices_SubPractices[Org]="Medium"),SUMIFS(Practices_SubPractices[E],Practices_SubPractices[CP],"6",Practices_SubPractices[Org],"Medium"),IF(AND(Practices_SubPractices[CP]=7,Practices_SubPractices[Org] ="Medium"),SUMIFS(Practices_SubPractices[E],Practices_SubPractices[CP],"7",Practices_SubPractices[Org],"Medium"),IF(AND(Practices_SubPractices[CP]=8,Practices_SubPractices[Org] ="Medium"),SUMIFS(Practices_SubPractices[E],Practices_SubPractices[CP],"8",Practices_SubPractices[Org],"Medium"),IF(AND(Practices_SubPractices[CP]=9,Practices_SubPractices[Org] ="Medium"),SUMIFS(Practices_SubPractices[E],Practices_SubPractices[CP],"9",Practices_SubPractices[Org],"Medium"),IF(AND(Practices_SubPractices[CP]=10,Practices_SubPractices[Org] ="Medium"),SUMIFS(Practices_SubPractices[E],Practices_SubPractices[CP],"10",Practices_SubPractices[Org],"Medium"),IF(AND(Practices_SubPractices[CP]=1,Practices_SubPractices[Org]="Large"),SUMIFS(Practices_SubPractices[E],Practices_SubPractices[CP],"1",Practices_SubPractices[Org],"Large"),IF(AND(Practices_SubPractices[CP]=2,Practices_SubPractices[Org]="Large"),SUMIFS(Practices_SubPractices[E],Practices_SubPractices[CP],"2",Practices_SubPractices[Org],"Large"),IF(AND(Practices_SubPractices[CP]=3,Practices_SubPractices[Org]="Large"),SUMIFS(Practices_SubPractices[E],Practices_SubPractices[CP],"3",Practices_SubPractices[Org],"Large"),IF(AND(Practices_SubPractices[CP]=4,Practices_SubPractices[Org]="Large"),SUMIFS(Practices_SubPractices[E],Practices_SubPractices[CP],"4",Practices_SubPractices[Org],"Large"),IF(AND(Practices_SubPractices[CP]=5,Practices_SubPractices[Org]="Large"),SUMIFS(Practices_SubPractices[E],Practices_SubPractices[CP],"5",Practices_SubPractices[Org],"Large"),IF(AND(Practices_SubPractices[CP]=6,Practices_SubPractices[Org]="Large"),SUMIFS(Practices_SubPractices[E],Practices_SubPractices[CP],"6",Practices_SubPractices[Org],"Large"),IF(AND(Practices_SubPractices[CP]=7,Practices_SubPractices[Org] ="Large"),SUMIFS(Practices_SubPractices[E],Practices_SubPractices[CP],"7",Practices_SubPractices[Org],"Large"),IF(AND(Practices_SubPractices[CP]=8,Practices_SubPractices[Org] ="Large"),SUMIFS(Practices_SubPractices[E],Practices_SubPractices[CP],"8",Practices_SubPractices[Org],"Large"),IF(AND(Practices_SubPractices[CP]=9,Practices_SubPractices[Org] ="Large"),SUMIFS(Practices_SubPractices[E],Practices_SubPractices[CP],"9",Practices_SubPractices[Org],"Large"),IF(AND(Practices_SubPractices[CP]=10,Practices_SubPractices[Org] ="Large"),SUMIFS(Practices_SubPractices[E],Practices_SubPractices[CP],"10",Practices_SubPractices[Org],"Large"),"TBD"))))))))))))))))))))))))))))))</f>
        <v>8</v>
      </c>
      <c r="S113" s="87" t="s">
        <v>410</v>
      </c>
    </row>
    <row r="114" spans="1:19" x14ac:dyDescent="0.35">
      <c r="A114" s="73">
        <v>104</v>
      </c>
      <c r="B114" s="73">
        <v>3</v>
      </c>
      <c r="C114" s="80" t="s">
        <v>12</v>
      </c>
      <c r="D114" s="73" t="str">
        <f>Practices_SubPractices[[#This Row],[CP]]&amp;LEFT(Practices_SubPractices[[#This Row],[Org]],1)</f>
        <v>3L</v>
      </c>
      <c r="E114" s="73" t="s">
        <v>268</v>
      </c>
      <c r="F114" s="74" t="s">
        <v>218</v>
      </c>
      <c r="G114" s="74" t="s">
        <v>91</v>
      </c>
      <c r="H114" s="74" t="s">
        <v>217</v>
      </c>
      <c r="I114" s="75">
        <v>0</v>
      </c>
      <c r="J114" s="75">
        <v>2</v>
      </c>
      <c r="K114" s="75">
        <v>0</v>
      </c>
      <c r="L114" s="75">
        <v>1</v>
      </c>
      <c r="M114" s="75">
        <v>1</v>
      </c>
      <c r="N114" s="76"/>
      <c r="O114" s="77">
        <f>IF(AND(Practices_SubPractices[CP]=1,Practices_SubPractices[Org]="Small"),SUMIFS(Practices_SubPractices[B],Practices_SubPractices[CP],"1",Practices_SubPractices[Org],"Small"),IF(AND(Practices_SubPractices[CP]=2,Practices_SubPractices[Org]="Small"),SUMIFS(Practices_SubPractices[B],Practices_SubPractices[CP],"2",Practices_SubPractices[Org],"Small"),IF(AND(Practices_SubPractices[CP]=3,Practices_SubPractices[Org]="Small"),SUMIFS(Practices_SubPractices[B],Practices_SubPractices[CP],"3",Practices_SubPractices[Org],"Small"),IF(AND(Practices_SubPractices[CP]=4,Practices_SubPractices[Org]="Small"),SUMIFS(Practices_SubPractices[B],Practices_SubPractices[CP],"4",Practices_SubPractices[Org],"Small"),IF(AND(Practices_SubPractices[CP]=5,Practices_SubPractices[Org]="Small"),SUMIFS(Practices_SubPractices[B],Practices_SubPractices[CP],"5",Practices_SubPractices[Org],"Small"),IF(AND(Practices_SubPractices[CP]=6,Practices_SubPractices[Org]="Small"),SUMIFS(Practices_SubPractices[B],Practices_SubPractices[CP],"6",Practices_SubPractices[Org],"Small"),IF(AND(Practices_SubPractices[CP]=7,Practices_SubPractices[Org] ="Small"),SUMIFS(Practices_SubPractices[B],Practices_SubPractices[CP],"7",Practices_SubPractices[Org],"Small"),IF(AND(Practices_SubPractices[CP]=8,Practices_SubPractices[Org] ="Small"),SUMIFS(Practices_SubPractices[B],Practices_SubPractices[CP],"8",Practices_SubPractices[Org],"Small"),IF(AND(Practices_SubPractices[CP]=9,Practices_SubPractices[Org] ="Small"),SUMIFS(Practices_SubPractices[B],Practices_SubPractices[CP],"9",Practices_SubPractices[Org],"Small"),IF(AND(Practices_SubPractices[CP]=10,Practices_SubPractices[Org] ="Small"),SUMIFS(Practices_SubPractices[B],Practices_SubPractices[CP],"10",Practices_SubPractices[Org],"Small"),IF(AND(Practices_SubPractices[CP]=1,Practices_SubPractices[Org]="Medium"),SUMIFS(Practices_SubPractices[B],Practices_SubPractices[CP],"1",Practices_SubPractices[Org],"Medium"),IF(AND(Practices_SubPractices[CP]=2,Practices_SubPractices[Org]="Medium"),SUMIFS(Practices_SubPractices[B],Practices_SubPractices[CP],"2",Practices_SubPractices[Org],"Medium"),IF(AND(Practices_SubPractices[CP]=3,Practices_SubPractices[Org]="Medium"),SUMIFS(Practices_SubPractices[B],Practices_SubPractices[CP],"3",Practices_SubPractices[Org],"Medium"),IF(AND(Practices_SubPractices[CP]=4,Practices_SubPractices[Org]="Medium"),SUMIFS(Practices_SubPractices[B],Practices_SubPractices[CP],"4",Practices_SubPractices[Org],"Medium"),IF(AND(Practices_SubPractices[CP]=5,Practices_SubPractices[Org]="Medium"),SUMIFS(Practices_SubPractices[B],Practices_SubPractices[CP],"5",Practices_SubPractices[Org],"Medium"),IF(AND(Practices_SubPractices[CP]=6,Practices_SubPractices[Org]="Medium"),SUMIFS(Practices_SubPractices[B],Practices_SubPractices[CP],"6",Practices_SubPractices[Org],"Medium"),IF(AND(Practices_SubPractices[CP]=7,Practices_SubPractices[Org] ="Medium"),SUMIFS(Practices_SubPractices[B],Practices_SubPractices[CP],"7",Practices_SubPractices[Org],"Medium"),IF(AND(Practices_SubPractices[CP]=8,Practices_SubPractices[Org] ="Medium"),SUMIFS(Practices_SubPractices[B],Practices_SubPractices[CP],"8",Practices_SubPractices[Org],"Medium"),IF(AND(Practices_SubPractices[CP]=9,Practices_SubPractices[Org] ="Medium"),SUMIFS(Practices_SubPractices[B],Practices_SubPractices[CP],"9",Practices_SubPractices[Org],"Medium"),IF(AND(Practices_SubPractices[CP]=10,Practices_SubPractices[Org] ="Medium"),SUMIFS(Practices_SubPractices[B],Practices_SubPractices[CP],"10",Practices_SubPractices[Org],"Medium"),IF(AND(Practices_SubPractices[CP]=1,Practices_SubPractices[Org]="Large"),SUMIFS(Practices_SubPractices[B],Practices_SubPractices[CP],"1",Practices_SubPractices[Org],"Large"),IF(AND(Practices_SubPractices[CP]=2,Practices_SubPractices[Org]="Large"),SUMIFS(Practices_SubPractices[B],Practices_SubPractices[CP],"2",Practices_SubPractices[Org],"Large"),IF(AND(Practices_SubPractices[CP]=3,Practices_SubPractices[Org]="Large"),SUMIFS(Practices_SubPractices[B],Practices_SubPractices[CP],"3",Practices_SubPractices[Org],"Large"),IF(AND(Practices_SubPractices[CP]=4,Practices_SubPractices[Org]="Large"),SUMIFS(Practices_SubPractices[B],Practices_SubPractices[CP],"4",Practices_SubPractices[Org],"Large"),IF(AND(Practices_SubPractices[CP]=5,Practices_SubPractices[Org]="Large"),SUMIFS(Practices_SubPractices[B],Practices_SubPractices[CP],"5",Practices_SubPractices[Org],"Large"),IF(AND(Practices_SubPractices[CP]=6,Practices_SubPractices[Org]="Large"),SUMIFS(Practices_SubPractices[B],Practices_SubPractices[CP],"6",Practices_SubPractices[Org],"Large"),IF(AND(Practices_SubPractices[CP]=7,Practices_SubPractices[Org] ="Large"),SUMIFS(Practices_SubPractices[B],Practices_SubPractices[CP],"7",Practices_SubPractices[Org],"Large"),IF(AND(Practices_SubPractices[CP]=8,Practices_SubPractices[Org] ="Large"),SUMIFS(Practices_SubPractices[B],Practices_SubPractices[CP],"8",Practices_SubPractices[Org],"Large"),IF(AND(Practices_SubPractices[CP]=9,Practices_SubPractices[Org] ="Large"),SUMIFS(Practices_SubPractices[B],Practices_SubPractices[CP],"9",Practices_SubPractices[Org],"Large"),IF(AND(Practices_SubPractices[CP]=10,Practices_SubPractices[Org] ="Large"),SUMIFS(Practices_SubPractices[B],Practices_SubPractices[CP],"10",Practices_SubPractices[Org],"Large"),"TBD"))))))))))))))))))))))))))))))</f>
        <v>12</v>
      </c>
      <c r="P114" s="77">
        <f>IF(AND(Practices_SubPractices[CP]=1,Practices_SubPractices[Org]="Small"),SUMIFS(Practices_SubPractices[C],Practices_SubPractices[CP],"1",Practices_SubPractices[Org],"Small"),IF(AND(Practices_SubPractices[CP]=2,Practices_SubPractices[Org]="Small"),SUMIFS(Practices_SubPractices[C],Practices_SubPractices[CP],"2",Practices_SubPractices[Org],"Small"),IF(AND(Practices_SubPractices[CP]=3,Practices_SubPractices[Org]="Small"),SUMIFS(Practices_SubPractices[C],Practices_SubPractices[CP],"3",Practices_SubPractices[Org],"Small"),IF(AND(Practices_SubPractices[CP]=4,Practices_SubPractices[Org]="Small"),SUMIFS(Practices_SubPractices[C],Practices_SubPractices[CP],"4",Practices_SubPractices[Org],"Small"),IF(AND(Practices_SubPractices[CP]=5,Practices_SubPractices[Org]="Small"),SUMIFS(Practices_SubPractices[C],Practices_SubPractices[CP],"5",Practices_SubPractices[Org],"Small"),IF(AND(Practices_SubPractices[CP]=6,Practices_SubPractices[Org]="Small"),SUMIFS(Practices_SubPractices[C],Practices_SubPractices[CP],"6",Practices_SubPractices[Org],"Small"),IF(AND(Practices_SubPractices[CP]=7,Practices_SubPractices[Org] ="Small"),SUMIFS(Practices_SubPractices[C],Practices_SubPractices[CP],"7",Practices_SubPractices[Org],"Small"),IF(AND(Practices_SubPractices[CP]=8,Practices_SubPractices[Org] ="Small"),SUMIFS(Practices_SubPractices[C],Practices_SubPractices[CP],"8",Practices_SubPractices[Org],"Small"),IF(AND(Practices_SubPractices[CP]=9,Practices_SubPractices[Org] ="Small"),SUMIFS(Practices_SubPractices[C],Practices_SubPractices[CP],"9",Practices_SubPractices[Org],"Small"),IF(AND(Practices_SubPractices[CP]=10,Practices_SubPractices[Org] ="Small"),SUMIFS(Practices_SubPractices[C],Practices_SubPractices[CP],"10",Practices_SubPractices[Org],"Small"),IF(AND(Practices_SubPractices[CP]=1,Practices_SubPractices[Org]="Medium"),SUMIFS(Practices_SubPractices[C],Practices_SubPractices[CP],"1",Practices_SubPractices[Org],"Medium"),IF(AND(Practices_SubPractices[CP]=2,Practices_SubPractices[Org]="Medium"),SUMIFS(Practices_SubPractices[C],Practices_SubPractices[CP],"2",Practices_SubPractices[Org],"Medium"),IF(AND(Practices_SubPractices[CP]=3,Practices_SubPractices[Org]="Medium"),SUMIFS(Practices_SubPractices[C],Practices_SubPractices[CP],"3",Practices_SubPractices[Org],"Medium"),IF(AND(Practices_SubPractices[CP]=4,Practices_SubPractices[Org]="Medium"),SUMIFS(Practices_SubPractices[C],Practices_SubPractices[CP],"4",Practices_SubPractices[Org],"Medium"),IF(AND(Practices_SubPractices[CP]=5,Practices_SubPractices[Org]="Medium"),SUMIFS(Practices_SubPractices[C],Practices_SubPractices[CP],"5",Practices_SubPractices[Org],"Medium"),IF(AND(Practices_SubPractices[CP]=6,Practices_SubPractices[Org]="Medium"),SUMIFS(Practices_SubPractices[C],Practices_SubPractices[CP],"6",Practices_SubPractices[Org],"Medium"),IF(AND(Practices_SubPractices[CP]=7,Practices_SubPractices[Org] ="Medium"),SUMIFS(Practices_SubPractices[C],Practices_SubPractices[CP],"7",Practices_SubPractices[Org],"Medium"),IF(AND(Practices_SubPractices[CP]=8,Practices_SubPractices[Org] ="Medium"),SUMIFS(Practices_SubPractices[C],Practices_SubPractices[CP],"8",Practices_SubPractices[Org],"Medium"),IF(AND(Practices_SubPractices[CP]=9,Practices_SubPractices[Org] ="Medium"),SUMIFS(Practices_SubPractices[C],Practices_SubPractices[CP],"9",Practices_SubPractices[Org],"Medium"),IF(AND(Practices_SubPractices[CP]=10,Practices_SubPractices[Org] ="Medium"),SUMIFS(Practices_SubPractices[C],Practices_SubPractices[CP],"10",Practices_SubPractices[Org],"Medium"),IF(AND(Practices_SubPractices[CP]=1,Practices_SubPractices[Org]="Large"),SUMIFS(Practices_SubPractices[C],Practices_SubPractices[CP],"1",Practices_SubPractices[Org],"Large"),IF(AND(Practices_SubPractices[CP]=2,Practices_SubPractices[Org]="Large"),SUMIFS(Practices_SubPractices[C],Practices_SubPractices[CP],"2",Practices_SubPractices[Org],"Large"),IF(AND(Practices_SubPractices[CP]=3,Practices_SubPractices[Org]="Large"),SUMIFS(Practices_SubPractices[C],Practices_SubPractices[CP],"3",Practices_SubPractices[Org],"Large"),IF(AND(Practices_SubPractices[CP]=4,Practices_SubPractices[Org]="Large"),SUMIFS(Practices_SubPractices[C],Practices_SubPractices[CP],"4",Practices_SubPractices[Org],"Large"),IF(AND(Practices_SubPractices[CP]=5,Practices_SubPractices[Org]="Large"),SUMIFS(Practices_SubPractices[C],Practices_SubPractices[CP],"5",Practices_SubPractices[Org],"Large"),IF(AND(Practices_SubPractices[CP]=6,Practices_SubPractices[Org]="Large"),SUMIFS(Practices_SubPractices[C],Practices_SubPractices[CP],"6",Practices_SubPractices[Org],"Large"),IF(AND(Practices_SubPractices[CP]=7,Practices_SubPractices[Org] ="Large"),SUMIFS(Practices_SubPractices[C],Practices_SubPractices[CP],"7",Practices_SubPractices[Org],"Large"),IF(AND(Practices_SubPractices[CP]=8,Practices_SubPractices[Org] ="Large"),SUMIFS(Practices_SubPractices[C],Practices_SubPractices[CP],"8",Practices_SubPractices[Org],"Large"),IF(AND(Practices_SubPractices[CP]=9,Practices_SubPractices[Org] ="Large"),SUMIFS(Practices_SubPractices[C],Practices_SubPractices[CP],"9",Practices_SubPractices[Org],"Large"),IF(AND(Practices_SubPractices[CP]=10,Practices_SubPractices[Org] ="Large"),SUMIFS(Practices_SubPractices[C],Practices_SubPractices[CP],"10",Practices_SubPractices[Org],"Large"),"TBD"))))))))))))))))))))))))))))))</f>
        <v>6</v>
      </c>
      <c r="Q114" s="77">
        <f>IF(AND(Practices_SubPractices[CP]=1,Practices_SubPractices[Org]="Small"),SUMIFS(Practices_SubPractices[D],Practices_SubPractices[CP],"1",Practices_SubPractices[Org],"Small"),IF(AND(Practices_SubPractices[CP]=2,Practices_SubPractices[Org]="Small"),SUMIFS(Practices_SubPractices[D],Practices_SubPractices[CP],"2",Practices_SubPractices[Org],"Small"),IF(AND(Practices_SubPractices[CP]=3,Practices_SubPractices[Org]="Small"),SUMIFS(Practices_SubPractices[D],Practices_SubPractices[CP],"3",Practices_SubPractices[Org],"Small"),IF(AND(Practices_SubPractices[CP]=4,Practices_SubPractices[Org]="Small"),SUMIFS(Practices_SubPractices[D],Practices_SubPractices[CP],"4",Practices_SubPractices[Org],"Small"),IF(AND(Practices_SubPractices[CP]=5,Practices_SubPractices[Org]="Small"),SUMIFS(Practices_SubPractices[D],Practices_SubPractices[CP],"5",Practices_SubPractices[Org],"Small"),IF(AND(Practices_SubPractices[CP]=6,Practices_SubPractices[Org]="Small"),SUMIFS(Practices_SubPractices[D],Practices_SubPractices[CP],"6",Practices_SubPractices[Org],"Small"),IF(AND(Practices_SubPractices[CP]=7,Practices_SubPractices[Org] ="Small"),SUMIFS(Practices_SubPractices[D],Practices_SubPractices[CP],"7",Practices_SubPractices[Org],"Small"),IF(AND(Practices_SubPractices[CP]=8,Practices_SubPractices[Org] ="Small"),SUMIFS(Practices_SubPractices[D],Practices_SubPractices[CP],"8",Practices_SubPractices[Org],"Small"),IF(AND(Practices_SubPractices[CP]=9,Practices_SubPractices[Org] ="Small"),SUMIFS(Practices_SubPractices[D],Practices_SubPractices[CP],"9",Practices_SubPractices[Org],"Small"),IF(AND(Practices_SubPractices[CP]=10,Practices_SubPractices[Org] ="Small"),SUMIFS(Practices_SubPractices[D],Practices_SubPractices[CP],"10",Practices_SubPractices[Org],"Small"),IF(AND(Practices_SubPractices[CP]=1,Practices_SubPractices[Org]="Medium"),SUMIFS(Practices_SubPractices[D],Practices_SubPractices[CP],"1",Practices_SubPractices[Org],"Medium"),IF(AND(Practices_SubPractices[CP]=2,Practices_SubPractices[Org]="Medium"),SUMIFS(Practices_SubPractices[D],Practices_SubPractices[CP],"2",Practices_SubPractices[Org],"Medium"),IF(AND(Practices_SubPractices[CP]=3,Practices_SubPractices[Org]="Medium"),SUMIFS(Practices_SubPractices[D],Practices_SubPractices[CP],"3",Practices_SubPractices[Org],"Medium"),IF(AND(Practices_SubPractices[CP]=4,Practices_SubPractices[Org]="Medium"),SUMIFS(Practices_SubPractices[D],Practices_SubPractices[CP],"4",Practices_SubPractices[Org],"Medium"),IF(AND(Practices_SubPractices[CP]=5,Practices_SubPractices[Org]="Medium"),SUMIFS(Practices_SubPractices[D],Practices_SubPractices[CP],"5",Practices_SubPractices[Org],"Medium"),IF(AND(Practices_SubPractices[CP]=6,Practices_SubPractices[Org]="Medium"),SUMIFS(Practices_SubPractices[D],Practices_SubPractices[CP],"6",Practices_SubPractices[Org],"Medium"),IF(AND(Practices_SubPractices[CP]=7,Practices_SubPractices[Org] ="Medium"),SUMIFS(Practices_SubPractices[D],Practices_SubPractices[CP],"7",Practices_SubPractices[Org],"Medium"),IF(AND(Practices_SubPractices[CP]=8,Practices_SubPractices[Org] ="Medium"),SUMIFS(Practices_SubPractices[D],Practices_SubPractices[CP],"8",Practices_SubPractices[Org],"Medium"),IF(AND(Practices_SubPractices[CP]=9,Practices_SubPractices[Org] ="Medium"),SUMIFS(Practices_SubPractices[D],Practices_SubPractices[CP],"9",Practices_SubPractices[Org],"Medium"),IF(AND(Practices_SubPractices[CP]=10,Practices_SubPractices[Org] ="Medium"),SUMIFS(Practices_SubPractices[D],Practices_SubPractices[CP],"10",Practices_SubPractices[Org],"Medium"),IF(AND(Practices_SubPractices[CP]=1,Practices_SubPractices[Org]="Large"),SUMIFS(Practices_SubPractices[D],Practices_SubPractices[CP],"1",Practices_SubPractices[Org],"Large"),IF(AND(Practices_SubPractices[CP]=2,Practices_SubPractices[Org]="Large"),SUMIFS(Practices_SubPractices[D],Practices_SubPractices[CP],"2",Practices_SubPractices[Org],"Large"),IF(AND(Practices_SubPractices[CP]=3,Practices_SubPractices[Org]="Large"),SUMIFS(Practices_SubPractices[D],Practices_SubPractices[CP],"3",Practices_SubPractices[Org],"Large"),IF(AND(Practices_SubPractices[CP]=4,Practices_SubPractices[Org]="Large"),SUMIFS(Practices_SubPractices[D],Practices_SubPractices[CP],"4",Practices_SubPractices[Org],"Large"),IF(AND(Practices_SubPractices[CP]=5,Practices_SubPractices[Org]="Large"),SUMIFS(Practices_SubPractices[D],Practices_SubPractices[CP],"5",Practices_SubPractices[Org],"Large"),IF(AND(Practices_SubPractices[CP]=6,Practices_SubPractices[Org]="Large"),SUMIFS(Practices_SubPractices[D],Practices_SubPractices[CP],"6",Practices_SubPractices[Org],"Large"),IF(AND(Practices_SubPractices[CP]=7,Practices_SubPractices[Org] ="Large"),SUMIFS(Practices_SubPractices[D],Practices_SubPractices[CP],"7",Practices_SubPractices[Org],"Large"),IF(AND(Practices_SubPractices[CP]=8,Practices_SubPractices[Org] ="Large"),SUMIFS(Practices_SubPractices[D],Practices_SubPractices[CP],"8",Practices_SubPractices[Org],"Large"),IF(AND(Practices_SubPractices[CP]=9,Practices_SubPractices[Org] ="Large"),SUMIFS(Practices_SubPractices[D],Practices_SubPractices[CP],"9",Practices_SubPractices[Org],"Large"),IF(AND(Practices_SubPractices[CP]=10,Practices_SubPractices[Org] ="Large"),SUMIFS(Practices_SubPractices[D],Practices_SubPractices[CP],"10",Practices_SubPractices[Org],"Large"),"TBD"))))))))))))))))))))))))))))))</f>
        <v>11</v>
      </c>
      <c r="R114" s="77">
        <f>IF(AND(Practices_SubPractices[CP]=1,Practices_SubPractices[Org]="Small"),SUMIFS(Practices_SubPractices[E],Practices_SubPractices[CP],"1",Practices_SubPractices[Org],"Small"),IF(AND(Practices_SubPractices[CP]=2,Practices_SubPractices[Org]="Small"),SUMIFS(Practices_SubPractices[E],Practices_SubPractices[CP],"2",Practices_SubPractices[Org],"Small"),IF(AND(Practices_SubPractices[CP]=3,Practices_SubPractices[Org]="Small"),SUMIFS(Practices_SubPractices[E],Practices_SubPractices[CP],"3",Practices_SubPractices[Org],"Small"),IF(AND(Practices_SubPractices[CP]=4,Practices_SubPractices[Org]="Small"),SUMIFS(Practices_SubPractices[E],Practices_SubPractices[CP],"4",Practices_SubPractices[Org],"Small"),IF(AND(Practices_SubPractices[CP]=5,Practices_SubPractices[Org]="Small"),SUMIFS(Practices_SubPractices[E],Practices_SubPractices[CP],"5",Practices_SubPractices[Org],"Small"),IF(AND(Practices_SubPractices[CP]=6,Practices_SubPractices[Org]="Small"),SUMIFS(Practices_SubPractices[E],Practices_SubPractices[CP],"6",Practices_SubPractices[Org],"Small"),IF(AND(Practices_SubPractices[CP]=7,Practices_SubPractices[Org] ="Small"),SUMIFS(Practices_SubPractices[E],Practices_SubPractices[CP],"7",Practices_SubPractices[Org],"Small"),IF(AND(Practices_SubPractices[CP]=8,Practices_SubPractices[Org] ="Small"),SUMIFS(Practices_SubPractices[E],Practices_SubPractices[CP],"8",Practices_SubPractices[Org],"Small"),IF(AND(Practices_SubPractices[CP]=9,Practices_SubPractices[Org] ="Small"),SUMIFS(Practices_SubPractices[E],Practices_SubPractices[CP],"9",Practices_SubPractices[Org],"Small"),IF(AND(Practices_SubPractices[CP]=10,Practices_SubPractices[Org] ="Small"),SUMIFS(Practices_SubPractices[E],Practices_SubPractices[CP],"10",Practices_SubPractices[Org],"Small"),IF(AND(Practices_SubPractices[CP]=1,Practices_SubPractices[Org]="Medium"),SUMIFS(Practices_SubPractices[E],Practices_SubPractices[CP],"1",Practices_SubPractices[Org],"Medium"),IF(AND(Practices_SubPractices[CP]=2,Practices_SubPractices[Org]="Medium"),SUMIFS(Practices_SubPractices[E],Practices_SubPractices[CP],"2",Practices_SubPractices[Org],"Medium"),IF(AND(Practices_SubPractices[CP]=3,Practices_SubPractices[Org]="Medium"),SUMIFS(Practices_SubPractices[E],Practices_SubPractices[CP],"3",Practices_SubPractices[Org],"Medium"),IF(AND(Practices_SubPractices[CP]=4,Practices_SubPractices[Org]="Medium"),SUMIFS(Practices_SubPractices[E],Practices_SubPractices[CP],"4",Practices_SubPractices[Org],"Medium"),IF(AND(Practices_SubPractices[CP]=5,Practices_SubPractices[Org]="Medium"),SUMIFS(Practices_SubPractices[E],Practices_SubPractices[CP],"5",Practices_SubPractices[Org],"Medium"),IF(AND(Practices_SubPractices[CP]=6,Practices_SubPractices[Org]="Medium"),SUMIFS(Practices_SubPractices[E],Practices_SubPractices[CP],"6",Practices_SubPractices[Org],"Medium"),IF(AND(Practices_SubPractices[CP]=7,Practices_SubPractices[Org] ="Medium"),SUMIFS(Practices_SubPractices[E],Practices_SubPractices[CP],"7",Practices_SubPractices[Org],"Medium"),IF(AND(Practices_SubPractices[CP]=8,Practices_SubPractices[Org] ="Medium"),SUMIFS(Practices_SubPractices[E],Practices_SubPractices[CP],"8",Practices_SubPractices[Org],"Medium"),IF(AND(Practices_SubPractices[CP]=9,Practices_SubPractices[Org] ="Medium"),SUMIFS(Practices_SubPractices[E],Practices_SubPractices[CP],"9",Practices_SubPractices[Org],"Medium"),IF(AND(Practices_SubPractices[CP]=10,Practices_SubPractices[Org] ="Medium"),SUMIFS(Practices_SubPractices[E],Practices_SubPractices[CP],"10",Practices_SubPractices[Org],"Medium"),IF(AND(Practices_SubPractices[CP]=1,Practices_SubPractices[Org]="Large"),SUMIFS(Practices_SubPractices[E],Practices_SubPractices[CP],"1",Practices_SubPractices[Org],"Large"),IF(AND(Practices_SubPractices[CP]=2,Practices_SubPractices[Org]="Large"),SUMIFS(Practices_SubPractices[E],Practices_SubPractices[CP],"2",Practices_SubPractices[Org],"Large"),IF(AND(Practices_SubPractices[CP]=3,Practices_SubPractices[Org]="Large"),SUMIFS(Practices_SubPractices[E],Practices_SubPractices[CP],"3",Practices_SubPractices[Org],"Large"),IF(AND(Practices_SubPractices[CP]=4,Practices_SubPractices[Org]="Large"),SUMIFS(Practices_SubPractices[E],Practices_SubPractices[CP],"4",Practices_SubPractices[Org],"Large"),IF(AND(Practices_SubPractices[CP]=5,Practices_SubPractices[Org]="Large"),SUMIFS(Practices_SubPractices[E],Practices_SubPractices[CP],"5",Practices_SubPractices[Org],"Large"),IF(AND(Practices_SubPractices[CP]=6,Practices_SubPractices[Org]="Large"),SUMIFS(Practices_SubPractices[E],Practices_SubPractices[CP],"6",Practices_SubPractices[Org],"Large"),IF(AND(Practices_SubPractices[CP]=7,Practices_SubPractices[Org] ="Large"),SUMIFS(Practices_SubPractices[E],Practices_SubPractices[CP],"7",Practices_SubPractices[Org],"Large"),IF(AND(Practices_SubPractices[CP]=8,Practices_SubPractices[Org] ="Large"),SUMIFS(Practices_SubPractices[E],Practices_SubPractices[CP],"8",Practices_SubPractices[Org],"Large"),IF(AND(Practices_SubPractices[CP]=9,Practices_SubPractices[Org] ="Large"),SUMIFS(Practices_SubPractices[E],Practices_SubPractices[CP],"9",Practices_SubPractices[Org],"Large"),IF(AND(Practices_SubPractices[CP]=10,Practices_SubPractices[Org] ="Large"),SUMIFS(Practices_SubPractices[E],Practices_SubPractices[CP],"10",Practices_SubPractices[Org],"Large"),"TBD"))))))))))))))))))))))))))))))</f>
        <v>8</v>
      </c>
      <c r="S114" s="87" t="s">
        <v>406</v>
      </c>
    </row>
    <row r="115" spans="1:19" x14ac:dyDescent="0.35">
      <c r="A115" s="73">
        <v>105</v>
      </c>
      <c r="B115" s="73">
        <v>4</v>
      </c>
      <c r="C115" s="80" t="s">
        <v>12</v>
      </c>
      <c r="D115" s="73" t="str">
        <f>Practices_SubPractices[[#This Row],[CP]]&amp;LEFT(Practices_SubPractices[[#This Row],[Org]],1)</f>
        <v>4L</v>
      </c>
      <c r="E115" s="73" t="s">
        <v>265</v>
      </c>
      <c r="F115" s="74" t="s">
        <v>102</v>
      </c>
      <c r="G115" s="74" t="s">
        <v>104</v>
      </c>
      <c r="H115" s="74" t="s">
        <v>224</v>
      </c>
      <c r="I115" s="75">
        <v>0</v>
      </c>
      <c r="J115" s="75">
        <v>1</v>
      </c>
      <c r="K115" s="75">
        <v>2</v>
      </c>
      <c r="L115" s="75">
        <v>2</v>
      </c>
      <c r="M115" s="75">
        <v>0</v>
      </c>
      <c r="N115" s="76"/>
      <c r="O115" s="77">
        <f>IF(AND(Practices_SubPractices[CP]=1,Practices_SubPractices[Org]="Small"),SUMIFS(Practices_SubPractices[B],Practices_SubPractices[CP],"1",Practices_SubPractices[Org],"Small"),IF(AND(Practices_SubPractices[CP]=2,Practices_SubPractices[Org]="Small"),SUMIFS(Practices_SubPractices[B],Practices_SubPractices[CP],"2",Practices_SubPractices[Org],"Small"),IF(AND(Practices_SubPractices[CP]=3,Practices_SubPractices[Org]="Small"),SUMIFS(Practices_SubPractices[B],Practices_SubPractices[CP],"3",Practices_SubPractices[Org],"Small"),IF(AND(Practices_SubPractices[CP]=4,Practices_SubPractices[Org]="Small"),SUMIFS(Practices_SubPractices[B],Practices_SubPractices[CP],"4",Practices_SubPractices[Org],"Small"),IF(AND(Practices_SubPractices[CP]=5,Practices_SubPractices[Org]="Small"),SUMIFS(Practices_SubPractices[B],Practices_SubPractices[CP],"5",Practices_SubPractices[Org],"Small"),IF(AND(Practices_SubPractices[CP]=6,Practices_SubPractices[Org]="Small"),SUMIFS(Practices_SubPractices[B],Practices_SubPractices[CP],"6",Practices_SubPractices[Org],"Small"),IF(AND(Practices_SubPractices[CP]=7,Practices_SubPractices[Org] ="Small"),SUMIFS(Practices_SubPractices[B],Practices_SubPractices[CP],"7",Practices_SubPractices[Org],"Small"),IF(AND(Practices_SubPractices[CP]=8,Practices_SubPractices[Org] ="Small"),SUMIFS(Practices_SubPractices[B],Practices_SubPractices[CP],"8",Practices_SubPractices[Org],"Small"),IF(AND(Practices_SubPractices[CP]=9,Practices_SubPractices[Org] ="Small"),SUMIFS(Practices_SubPractices[B],Practices_SubPractices[CP],"9",Practices_SubPractices[Org],"Small"),IF(AND(Practices_SubPractices[CP]=10,Practices_SubPractices[Org] ="Small"),SUMIFS(Practices_SubPractices[B],Practices_SubPractices[CP],"10",Practices_SubPractices[Org],"Small"),IF(AND(Practices_SubPractices[CP]=1,Practices_SubPractices[Org]="Medium"),SUMIFS(Practices_SubPractices[B],Practices_SubPractices[CP],"1",Practices_SubPractices[Org],"Medium"),IF(AND(Practices_SubPractices[CP]=2,Practices_SubPractices[Org]="Medium"),SUMIFS(Practices_SubPractices[B],Practices_SubPractices[CP],"2",Practices_SubPractices[Org],"Medium"),IF(AND(Practices_SubPractices[CP]=3,Practices_SubPractices[Org]="Medium"),SUMIFS(Practices_SubPractices[B],Practices_SubPractices[CP],"3",Practices_SubPractices[Org],"Medium"),IF(AND(Practices_SubPractices[CP]=4,Practices_SubPractices[Org]="Medium"),SUMIFS(Practices_SubPractices[B],Practices_SubPractices[CP],"4",Practices_SubPractices[Org],"Medium"),IF(AND(Practices_SubPractices[CP]=5,Practices_SubPractices[Org]="Medium"),SUMIFS(Practices_SubPractices[B],Practices_SubPractices[CP],"5",Practices_SubPractices[Org],"Medium"),IF(AND(Practices_SubPractices[CP]=6,Practices_SubPractices[Org]="Medium"),SUMIFS(Practices_SubPractices[B],Practices_SubPractices[CP],"6",Practices_SubPractices[Org],"Medium"),IF(AND(Practices_SubPractices[CP]=7,Practices_SubPractices[Org] ="Medium"),SUMIFS(Practices_SubPractices[B],Practices_SubPractices[CP],"7",Practices_SubPractices[Org],"Medium"),IF(AND(Practices_SubPractices[CP]=8,Practices_SubPractices[Org] ="Medium"),SUMIFS(Practices_SubPractices[B],Practices_SubPractices[CP],"8",Practices_SubPractices[Org],"Medium"),IF(AND(Practices_SubPractices[CP]=9,Practices_SubPractices[Org] ="Medium"),SUMIFS(Practices_SubPractices[B],Practices_SubPractices[CP],"9",Practices_SubPractices[Org],"Medium"),IF(AND(Practices_SubPractices[CP]=10,Practices_SubPractices[Org] ="Medium"),SUMIFS(Practices_SubPractices[B],Practices_SubPractices[CP],"10",Practices_SubPractices[Org],"Medium"),IF(AND(Practices_SubPractices[CP]=1,Practices_SubPractices[Org]="Large"),SUMIFS(Practices_SubPractices[B],Practices_SubPractices[CP],"1",Practices_SubPractices[Org],"Large"),IF(AND(Practices_SubPractices[CP]=2,Practices_SubPractices[Org]="Large"),SUMIFS(Practices_SubPractices[B],Practices_SubPractices[CP],"2",Practices_SubPractices[Org],"Large"),IF(AND(Practices_SubPractices[CP]=3,Practices_SubPractices[Org]="Large"),SUMIFS(Practices_SubPractices[B],Practices_SubPractices[CP],"3",Practices_SubPractices[Org],"Large"),IF(AND(Practices_SubPractices[CP]=4,Practices_SubPractices[Org]="Large"),SUMIFS(Practices_SubPractices[B],Practices_SubPractices[CP],"4",Practices_SubPractices[Org],"Large"),IF(AND(Practices_SubPractices[CP]=5,Practices_SubPractices[Org]="Large"),SUMIFS(Practices_SubPractices[B],Practices_SubPractices[CP],"5",Practices_SubPractices[Org],"Large"),IF(AND(Practices_SubPractices[CP]=6,Practices_SubPractices[Org]="Large"),SUMIFS(Practices_SubPractices[B],Practices_SubPractices[CP],"6",Practices_SubPractices[Org],"Large"),IF(AND(Practices_SubPractices[CP]=7,Practices_SubPractices[Org] ="Large"),SUMIFS(Practices_SubPractices[B],Practices_SubPractices[CP],"7",Practices_SubPractices[Org],"Large"),IF(AND(Practices_SubPractices[CP]=8,Practices_SubPractices[Org] ="Large"),SUMIFS(Practices_SubPractices[B],Practices_SubPractices[CP],"8",Practices_SubPractices[Org],"Large"),IF(AND(Practices_SubPractices[CP]=9,Practices_SubPractices[Org] ="Large"),SUMIFS(Practices_SubPractices[B],Practices_SubPractices[CP],"9",Practices_SubPractices[Org],"Large"),IF(AND(Practices_SubPractices[CP]=10,Practices_SubPractices[Org] ="Large"),SUMIFS(Practices_SubPractices[B],Practices_SubPractices[CP],"10",Practices_SubPractices[Org],"Large"),"TBD"))))))))))))))))))))))))))))))</f>
        <v>4</v>
      </c>
      <c r="P115" s="77">
        <f>IF(AND(Practices_SubPractices[CP]=1,Practices_SubPractices[Org]="Small"),SUMIFS(Practices_SubPractices[C],Practices_SubPractices[CP],"1",Practices_SubPractices[Org],"Small"),IF(AND(Practices_SubPractices[CP]=2,Practices_SubPractices[Org]="Small"),SUMIFS(Practices_SubPractices[C],Practices_SubPractices[CP],"2",Practices_SubPractices[Org],"Small"),IF(AND(Practices_SubPractices[CP]=3,Practices_SubPractices[Org]="Small"),SUMIFS(Practices_SubPractices[C],Practices_SubPractices[CP],"3",Practices_SubPractices[Org],"Small"),IF(AND(Practices_SubPractices[CP]=4,Practices_SubPractices[Org]="Small"),SUMIFS(Practices_SubPractices[C],Practices_SubPractices[CP],"4",Practices_SubPractices[Org],"Small"),IF(AND(Practices_SubPractices[CP]=5,Practices_SubPractices[Org]="Small"),SUMIFS(Practices_SubPractices[C],Practices_SubPractices[CP],"5",Practices_SubPractices[Org],"Small"),IF(AND(Practices_SubPractices[CP]=6,Practices_SubPractices[Org]="Small"),SUMIFS(Practices_SubPractices[C],Practices_SubPractices[CP],"6",Practices_SubPractices[Org],"Small"),IF(AND(Practices_SubPractices[CP]=7,Practices_SubPractices[Org] ="Small"),SUMIFS(Practices_SubPractices[C],Practices_SubPractices[CP],"7",Practices_SubPractices[Org],"Small"),IF(AND(Practices_SubPractices[CP]=8,Practices_SubPractices[Org] ="Small"),SUMIFS(Practices_SubPractices[C],Practices_SubPractices[CP],"8",Practices_SubPractices[Org],"Small"),IF(AND(Practices_SubPractices[CP]=9,Practices_SubPractices[Org] ="Small"),SUMIFS(Practices_SubPractices[C],Practices_SubPractices[CP],"9",Practices_SubPractices[Org],"Small"),IF(AND(Practices_SubPractices[CP]=10,Practices_SubPractices[Org] ="Small"),SUMIFS(Practices_SubPractices[C],Practices_SubPractices[CP],"10",Practices_SubPractices[Org],"Small"),IF(AND(Practices_SubPractices[CP]=1,Practices_SubPractices[Org]="Medium"),SUMIFS(Practices_SubPractices[C],Practices_SubPractices[CP],"1",Practices_SubPractices[Org],"Medium"),IF(AND(Practices_SubPractices[CP]=2,Practices_SubPractices[Org]="Medium"),SUMIFS(Practices_SubPractices[C],Practices_SubPractices[CP],"2",Practices_SubPractices[Org],"Medium"),IF(AND(Practices_SubPractices[CP]=3,Practices_SubPractices[Org]="Medium"),SUMIFS(Practices_SubPractices[C],Practices_SubPractices[CP],"3",Practices_SubPractices[Org],"Medium"),IF(AND(Practices_SubPractices[CP]=4,Practices_SubPractices[Org]="Medium"),SUMIFS(Practices_SubPractices[C],Practices_SubPractices[CP],"4",Practices_SubPractices[Org],"Medium"),IF(AND(Practices_SubPractices[CP]=5,Practices_SubPractices[Org]="Medium"),SUMIFS(Practices_SubPractices[C],Practices_SubPractices[CP],"5",Practices_SubPractices[Org],"Medium"),IF(AND(Practices_SubPractices[CP]=6,Practices_SubPractices[Org]="Medium"),SUMIFS(Practices_SubPractices[C],Practices_SubPractices[CP],"6",Practices_SubPractices[Org],"Medium"),IF(AND(Practices_SubPractices[CP]=7,Practices_SubPractices[Org] ="Medium"),SUMIFS(Practices_SubPractices[C],Practices_SubPractices[CP],"7",Practices_SubPractices[Org],"Medium"),IF(AND(Practices_SubPractices[CP]=8,Practices_SubPractices[Org] ="Medium"),SUMIFS(Practices_SubPractices[C],Practices_SubPractices[CP],"8",Practices_SubPractices[Org],"Medium"),IF(AND(Practices_SubPractices[CP]=9,Practices_SubPractices[Org] ="Medium"),SUMIFS(Practices_SubPractices[C],Practices_SubPractices[CP],"9",Practices_SubPractices[Org],"Medium"),IF(AND(Practices_SubPractices[CP]=10,Practices_SubPractices[Org] ="Medium"),SUMIFS(Practices_SubPractices[C],Practices_SubPractices[CP],"10",Practices_SubPractices[Org],"Medium"),IF(AND(Practices_SubPractices[CP]=1,Practices_SubPractices[Org]="Large"),SUMIFS(Practices_SubPractices[C],Practices_SubPractices[CP],"1",Practices_SubPractices[Org],"Large"),IF(AND(Practices_SubPractices[CP]=2,Practices_SubPractices[Org]="Large"),SUMIFS(Practices_SubPractices[C],Practices_SubPractices[CP],"2",Practices_SubPractices[Org],"Large"),IF(AND(Practices_SubPractices[CP]=3,Practices_SubPractices[Org]="Large"),SUMIFS(Practices_SubPractices[C],Practices_SubPractices[CP],"3",Practices_SubPractices[Org],"Large"),IF(AND(Practices_SubPractices[CP]=4,Practices_SubPractices[Org]="Large"),SUMIFS(Practices_SubPractices[C],Practices_SubPractices[CP],"4",Practices_SubPractices[Org],"Large"),IF(AND(Practices_SubPractices[CP]=5,Practices_SubPractices[Org]="Large"),SUMIFS(Practices_SubPractices[C],Practices_SubPractices[CP],"5",Practices_SubPractices[Org],"Large"),IF(AND(Practices_SubPractices[CP]=6,Practices_SubPractices[Org]="Large"),SUMIFS(Practices_SubPractices[C],Practices_SubPractices[CP],"6",Practices_SubPractices[Org],"Large"),IF(AND(Practices_SubPractices[CP]=7,Practices_SubPractices[Org] ="Large"),SUMIFS(Practices_SubPractices[C],Practices_SubPractices[CP],"7",Practices_SubPractices[Org],"Large"),IF(AND(Practices_SubPractices[CP]=8,Practices_SubPractices[Org] ="Large"),SUMIFS(Practices_SubPractices[C],Practices_SubPractices[CP],"8",Practices_SubPractices[Org],"Large"),IF(AND(Practices_SubPractices[CP]=9,Practices_SubPractices[Org] ="Large"),SUMIFS(Practices_SubPractices[C],Practices_SubPractices[CP],"9",Practices_SubPractices[Org],"Large"),IF(AND(Practices_SubPractices[CP]=10,Practices_SubPractices[Org] ="Large"),SUMIFS(Practices_SubPractices[C],Practices_SubPractices[CP],"10",Practices_SubPractices[Org],"Large"),"TBD"))))))))))))))))))))))))))))))</f>
        <v>12</v>
      </c>
      <c r="Q115" s="77">
        <f>IF(AND(Practices_SubPractices[CP]=1,Practices_SubPractices[Org]="Small"),SUMIFS(Practices_SubPractices[D],Practices_SubPractices[CP],"1",Practices_SubPractices[Org],"Small"),IF(AND(Practices_SubPractices[CP]=2,Practices_SubPractices[Org]="Small"),SUMIFS(Practices_SubPractices[D],Practices_SubPractices[CP],"2",Practices_SubPractices[Org],"Small"),IF(AND(Practices_SubPractices[CP]=3,Practices_SubPractices[Org]="Small"),SUMIFS(Practices_SubPractices[D],Practices_SubPractices[CP],"3",Practices_SubPractices[Org],"Small"),IF(AND(Practices_SubPractices[CP]=4,Practices_SubPractices[Org]="Small"),SUMIFS(Practices_SubPractices[D],Practices_SubPractices[CP],"4",Practices_SubPractices[Org],"Small"),IF(AND(Practices_SubPractices[CP]=5,Practices_SubPractices[Org]="Small"),SUMIFS(Practices_SubPractices[D],Practices_SubPractices[CP],"5",Practices_SubPractices[Org],"Small"),IF(AND(Practices_SubPractices[CP]=6,Practices_SubPractices[Org]="Small"),SUMIFS(Practices_SubPractices[D],Practices_SubPractices[CP],"6",Practices_SubPractices[Org],"Small"),IF(AND(Practices_SubPractices[CP]=7,Practices_SubPractices[Org] ="Small"),SUMIFS(Practices_SubPractices[D],Practices_SubPractices[CP],"7",Practices_SubPractices[Org],"Small"),IF(AND(Practices_SubPractices[CP]=8,Practices_SubPractices[Org] ="Small"),SUMIFS(Practices_SubPractices[D],Practices_SubPractices[CP],"8",Practices_SubPractices[Org],"Small"),IF(AND(Practices_SubPractices[CP]=9,Practices_SubPractices[Org] ="Small"),SUMIFS(Practices_SubPractices[D],Practices_SubPractices[CP],"9",Practices_SubPractices[Org],"Small"),IF(AND(Practices_SubPractices[CP]=10,Practices_SubPractices[Org] ="Small"),SUMIFS(Practices_SubPractices[D],Practices_SubPractices[CP],"10",Practices_SubPractices[Org],"Small"),IF(AND(Practices_SubPractices[CP]=1,Practices_SubPractices[Org]="Medium"),SUMIFS(Practices_SubPractices[D],Practices_SubPractices[CP],"1",Practices_SubPractices[Org],"Medium"),IF(AND(Practices_SubPractices[CP]=2,Practices_SubPractices[Org]="Medium"),SUMIFS(Practices_SubPractices[D],Practices_SubPractices[CP],"2",Practices_SubPractices[Org],"Medium"),IF(AND(Practices_SubPractices[CP]=3,Practices_SubPractices[Org]="Medium"),SUMIFS(Practices_SubPractices[D],Practices_SubPractices[CP],"3",Practices_SubPractices[Org],"Medium"),IF(AND(Practices_SubPractices[CP]=4,Practices_SubPractices[Org]="Medium"),SUMIFS(Practices_SubPractices[D],Practices_SubPractices[CP],"4",Practices_SubPractices[Org],"Medium"),IF(AND(Practices_SubPractices[CP]=5,Practices_SubPractices[Org]="Medium"),SUMIFS(Practices_SubPractices[D],Practices_SubPractices[CP],"5",Practices_SubPractices[Org],"Medium"),IF(AND(Practices_SubPractices[CP]=6,Practices_SubPractices[Org]="Medium"),SUMIFS(Practices_SubPractices[D],Practices_SubPractices[CP],"6",Practices_SubPractices[Org],"Medium"),IF(AND(Practices_SubPractices[CP]=7,Practices_SubPractices[Org] ="Medium"),SUMIFS(Practices_SubPractices[D],Practices_SubPractices[CP],"7",Practices_SubPractices[Org],"Medium"),IF(AND(Practices_SubPractices[CP]=8,Practices_SubPractices[Org] ="Medium"),SUMIFS(Practices_SubPractices[D],Practices_SubPractices[CP],"8",Practices_SubPractices[Org],"Medium"),IF(AND(Practices_SubPractices[CP]=9,Practices_SubPractices[Org] ="Medium"),SUMIFS(Practices_SubPractices[D],Practices_SubPractices[CP],"9",Practices_SubPractices[Org],"Medium"),IF(AND(Practices_SubPractices[CP]=10,Practices_SubPractices[Org] ="Medium"),SUMIFS(Practices_SubPractices[D],Practices_SubPractices[CP],"10",Practices_SubPractices[Org],"Medium"),IF(AND(Practices_SubPractices[CP]=1,Practices_SubPractices[Org]="Large"),SUMIFS(Practices_SubPractices[D],Practices_SubPractices[CP],"1",Practices_SubPractices[Org],"Large"),IF(AND(Practices_SubPractices[CP]=2,Practices_SubPractices[Org]="Large"),SUMIFS(Practices_SubPractices[D],Practices_SubPractices[CP],"2",Practices_SubPractices[Org],"Large"),IF(AND(Practices_SubPractices[CP]=3,Practices_SubPractices[Org]="Large"),SUMIFS(Practices_SubPractices[D],Practices_SubPractices[CP],"3",Practices_SubPractices[Org],"Large"),IF(AND(Practices_SubPractices[CP]=4,Practices_SubPractices[Org]="Large"),SUMIFS(Practices_SubPractices[D],Practices_SubPractices[CP],"4",Practices_SubPractices[Org],"Large"),IF(AND(Practices_SubPractices[CP]=5,Practices_SubPractices[Org]="Large"),SUMIFS(Practices_SubPractices[D],Practices_SubPractices[CP],"5",Practices_SubPractices[Org],"Large"),IF(AND(Practices_SubPractices[CP]=6,Practices_SubPractices[Org]="Large"),SUMIFS(Practices_SubPractices[D],Practices_SubPractices[CP],"6",Practices_SubPractices[Org],"Large"),IF(AND(Practices_SubPractices[CP]=7,Practices_SubPractices[Org] ="Large"),SUMIFS(Practices_SubPractices[D],Practices_SubPractices[CP],"7",Practices_SubPractices[Org],"Large"),IF(AND(Practices_SubPractices[CP]=8,Practices_SubPractices[Org] ="Large"),SUMIFS(Practices_SubPractices[D],Practices_SubPractices[CP],"8",Practices_SubPractices[Org],"Large"),IF(AND(Practices_SubPractices[CP]=9,Practices_SubPractices[Org] ="Large"),SUMIFS(Practices_SubPractices[D],Practices_SubPractices[CP],"9",Practices_SubPractices[Org],"Large"),IF(AND(Practices_SubPractices[CP]=10,Practices_SubPractices[Org] ="Large"),SUMIFS(Practices_SubPractices[D],Practices_SubPractices[CP],"10",Practices_SubPractices[Org],"Large"),"TBD"))))))))))))))))))))))))))))))</f>
        <v>14</v>
      </c>
      <c r="R115" s="77">
        <f>IF(AND(Practices_SubPractices[CP]=1,Practices_SubPractices[Org]="Small"),SUMIFS(Practices_SubPractices[E],Practices_SubPractices[CP],"1",Practices_SubPractices[Org],"Small"),IF(AND(Practices_SubPractices[CP]=2,Practices_SubPractices[Org]="Small"),SUMIFS(Practices_SubPractices[E],Practices_SubPractices[CP],"2",Practices_SubPractices[Org],"Small"),IF(AND(Practices_SubPractices[CP]=3,Practices_SubPractices[Org]="Small"),SUMIFS(Practices_SubPractices[E],Practices_SubPractices[CP],"3",Practices_SubPractices[Org],"Small"),IF(AND(Practices_SubPractices[CP]=4,Practices_SubPractices[Org]="Small"),SUMIFS(Practices_SubPractices[E],Practices_SubPractices[CP],"4",Practices_SubPractices[Org],"Small"),IF(AND(Practices_SubPractices[CP]=5,Practices_SubPractices[Org]="Small"),SUMIFS(Practices_SubPractices[E],Practices_SubPractices[CP],"5",Practices_SubPractices[Org],"Small"),IF(AND(Practices_SubPractices[CP]=6,Practices_SubPractices[Org]="Small"),SUMIFS(Practices_SubPractices[E],Practices_SubPractices[CP],"6",Practices_SubPractices[Org],"Small"),IF(AND(Practices_SubPractices[CP]=7,Practices_SubPractices[Org] ="Small"),SUMIFS(Practices_SubPractices[E],Practices_SubPractices[CP],"7",Practices_SubPractices[Org],"Small"),IF(AND(Practices_SubPractices[CP]=8,Practices_SubPractices[Org] ="Small"),SUMIFS(Practices_SubPractices[E],Practices_SubPractices[CP],"8",Practices_SubPractices[Org],"Small"),IF(AND(Practices_SubPractices[CP]=9,Practices_SubPractices[Org] ="Small"),SUMIFS(Practices_SubPractices[E],Practices_SubPractices[CP],"9",Practices_SubPractices[Org],"Small"),IF(AND(Practices_SubPractices[CP]=10,Practices_SubPractices[Org] ="Small"),SUMIFS(Practices_SubPractices[E],Practices_SubPractices[CP],"10",Practices_SubPractices[Org],"Small"),IF(AND(Practices_SubPractices[CP]=1,Practices_SubPractices[Org]="Medium"),SUMIFS(Practices_SubPractices[E],Practices_SubPractices[CP],"1",Practices_SubPractices[Org],"Medium"),IF(AND(Practices_SubPractices[CP]=2,Practices_SubPractices[Org]="Medium"),SUMIFS(Practices_SubPractices[E],Practices_SubPractices[CP],"2",Practices_SubPractices[Org],"Medium"),IF(AND(Practices_SubPractices[CP]=3,Practices_SubPractices[Org]="Medium"),SUMIFS(Practices_SubPractices[E],Practices_SubPractices[CP],"3",Practices_SubPractices[Org],"Medium"),IF(AND(Practices_SubPractices[CP]=4,Practices_SubPractices[Org]="Medium"),SUMIFS(Practices_SubPractices[E],Practices_SubPractices[CP],"4",Practices_SubPractices[Org],"Medium"),IF(AND(Practices_SubPractices[CP]=5,Practices_SubPractices[Org]="Medium"),SUMIFS(Practices_SubPractices[E],Practices_SubPractices[CP],"5",Practices_SubPractices[Org],"Medium"),IF(AND(Practices_SubPractices[CP]=6,Practices_SubPractices[Org]="Medium"),SUMIFS(Practices_SubPractices[E],Practices_SubPractices[CP],"6",Practices_SubPractices[Org],"Medium"),IF(AND(Practices_SubPractices[CP]=7,Practices_SubPractices[Org] ="Medium"),SUMIFS(Practices_SubPractices[E],Practices_SubPractices[CP],"7",Practices_SubPractices[Org],"Medium"),IF(AND(Practices_SubPractices[CP]=8,Practices_SubPractices[Org] ="Medium"),SUMIFS(Practices_SubPractices[E],Practices_SubPractices[CP],"8",Practices_SubPractices[Org],"Medium"),IF(AND(Practices_SubPractices[CP]=9,Practices_SubPractices[Org] ="Medium"),SUMIFS(Practices_SubPractices[E],Practices_SubPractices[CP],"9",Practices_SubPractices[Org],"Medium"),IF(AND(Practices_SubPractices[CP]=10,Practices_SubPractices[Org] ="Medium"),SUMIFS(Practices_SubPractices[E],Practices_SubPractices[CP],"10",Practices_SubPractices[Org],"Medium"),IF(AND(Practices_SubPractices[CP]=1,Practices_SubPractices[Org]="Large"),SUMIFS(Practices_SubPractices[E],Practices_SubPractices[CP],"1",Practices_SubPractices[Org],"Large"),IF(AND(Practices_SubPractices[CP]=2,Practices_SubPractices[Org]="Large"),SUMIFS(Practices_SubPractices[E],Practices_SubPractices[CP],"2",Practices_SubPractices[Org],"Large"),IF(AND(Practices_SubPractices[CP]=3,Practices_SubPractices[Org]="Large"),SUMIFS(Practices_SubPractices[E],Practices_SubPractices[CP],"3",Practices_SubPractices[Org],"Large"),IF(AND(Practices_SubPractices[CP]=4,Practices_SubPractices[Org]="Large"),SUMIFS(Practices_SubPractices[E],Practices_SubPractices[CP],"4",Practices_SubPractices[Org],"Large"),IF(AND(Practices_SubPractices[CP]=5,Practices_SubPractices[Org]="Large"),SUMIFS(Practices_SubPractices[E],Practices_SubPractices[CP],"5",Practices_SubPractices[Org],"Large"),IF(AND(Practices_SubPractices[CP]=6,Practices_SubPractices[Org]="Large"),SUMIFS(Practices_SubPractices[E],Practices_SubPractices[CP],"6",Practices_SubPractices[Org],"Large"),IF(AND(Practices_SubPractices[CP]=7,Practices_SubPractices[Org] ="Large"),SUMIFS(Practices_SubPractices[E],Practices_SubPractices[CP],"7",Practices_SubPractices[Org],"Large"),IF(AND(Practices_SubPractices[CP]=8,Practices_SubPractices[Org] ="Large"),SUMIFS(Practices_SubPractices[E],Practices_SubPractices[CP],"8",Practices_SubPractices[Org],"Large"),IF(AND(Practices_SubPractices[CP]=9,Practices_SubPractices[Org] ="Large"),SUMIFS(Practices_SubPractices[E],Practices_SubPractices[CP],"9",Practices_SubPractices[Org],"Large"),IF(AND(Practices_SubPractices[CP]=10,Practices_SubPractices[Org] ="Large"),SUMIFS(Practices_SubPractices[E],Practices_SubPractices[CP],"10",Practices_SubPractices[Org],"Large"),"TBD"))))))))))))))))))))))))))))))</f>
        <v>0</v>
      </c>
      <c r="S115" s="87" t="s">
        <v>416</v>
      </c>
    </row>
    <row r="116" spans="1:19" x14ac:dyDescent="0.35">
      <c r="A116" s="73">
        <v>106</v>
      </c>
      <c r="B116" s="73">
        <v>4</v>
      </c>
      <c r="C116" s="80" t="s">
        <v>12</v>
      </c>
      <c r="D116" s="73" t="str">
        <f>Practices_SubPractices[[#This Row],[CP]]&amp;LEFT(Practices_SubPractices[[#This Row],[Org]],1)</f>
        <v>4L</v>
      </c>
      <c r="E116" s="73" t="s">
        <v>266</v>
      </c>
      <c r="F116" s="74" t="s">
        <v>103</v>
      </c>
      <c r="G116" s="74" t="s">
        <v>105</v>
      </c>
      <c r="H116" s="74" t="s">
        <v>225</v>
      </c>
      <c r="I116" s="75">
        <v>0</v>
      </c>
      <c r="J116" s="75">
        <v>0</v>
      </c>
      <c r="K116" s="75">
        <v>1</v>
      </c>
      <c r="L116" s="75">
        <v>2</v>
      </c>
      <c r="M116" s="75">
        <v>0</v>
      </c>
      <c r="N116" s="76"/>
      <c r="O116" s="77">
        <f>IF(AND(Practices_SubPractices[CP]=1,Practices_SubPractices[Org]="Small"),SUMIFS(Practices_SubPractices[B],Practices_SubPractices[CP],"1",Practices_SubPractices[Org],"Small"),IF(AND(Practices_SubPractices[CP]=2,Practices_SubPractices[Org]="Small"),SUMIFS(Practices_SubPractices[B],Practices_SubPractices[CP],"2",Practices_SubPractices[Org],"Small"),IF(AND(Practices_SubPractices[CP]=3,Practices_SubPractices[Org]="Small"),SUMIFS(Practices_SubPractices[B],Practices_SubPractices[CP],"3",Practices_SubPractices[Org],"Small"),IF(AND(Practices_SubPractices[CP]=4,Practices_SubPractices[Org]="Small"),SUMIFS(Practices_SubPractices[B],Practices_SubPractices[CP],"4",Practices_SubPractices[Org],"Small"),IF(AND(Practices_SubPractices[CP]=5,Practices_SubPractices[Org]="Small"),SUMIFS(Practices_SubPractices[B],Practices_SubPractices[CP],"5",Practices_SubPractices[Org],"Small"),IF(AND(Practices_SubPractices[CP]=6,Practices_SubPractices[Org]="Small"),SUMIFS(Practices_SubPractices[B],Practices_SubPractices[CP],"6",Practices_SubPractices[Org],"Small"),IF(AND(Practices_SubPractices[CP]=7,Practices_SubPractices[Org] ="Small"),SUMIFS(Practices_SubPractices[B],Practices_SubPractices[CP],"7",Practices_SubPractices[Org],"Small"),IF(AND(Practices_SubPractices[CP]=8,Practices_SubPractices[Org] ="Small"),SUMIFS(Practices_SubPractices[B],Practices_SubPractices[CP],"8",Practices_SubPractices[Org],"Small"),IF(AND(Practices_SubPractices[CP]=9,Practices_SubPractices[Org] ="Small"),SUMIFS(Practices_SubPractices[B],Practices_SubPractices[CP],"9",Practices_SubPractices[Org],"Small"),IF(AND(Practices_SubPractices[CP]=10,Practices_SubPractices[Org] ="Small"),SUMIFS(Practices_SubPractices[B],Practices_SubPractices[CP],"10",Practices_SubPractices[Org],"Small"),IF(AND(Practices_SubPractices[CP]=1,Practices_SubPractices[Org]="Medium"),SUMIFS(Practices_SubPractices[B],Practices_SubPractices[CP],"1",Practices_SubPractices[Org],"Medium"),IF(AND(Practices_SubPractices[CP]=2,Practices_SubPractices[Org]="Medium"),SUMIFS(Practices_SubPractices[B],Practices_SubPractices[CP],"2",Practices_SubPractices[Org],"Medium"),IF(AND(Practices_SubPractices[CP]=3,Practices_SubPractices[Org]="Medium"),SUMIFS(Practices_SubPractices[B],Practices_SubPractices[CP],"3",Practices_SubPractices[Org],"Medium"),IF(AND(Practices_SubPractices[CP]=4,Practices_SubPractices[Org]="Medium"),SUMIFS(Practices_SubPractices[B],Practices_SubPractices[CP],"4",Practices_SubPractices[Org],"Medium"),IF(AND(Practices_SubPractices[CP]=5,Practices_SubPractices[Org]="Medium"),SUMIFS(Practices_SubPractices[B],Practices_SubPractices[CP],"5",Practices_SubPractices[Org],"Medium"),IF(AND(Practices_SubPractices[CP]=6,Practices_SubPractices[Org]="Medium"),SUMIFS(Practices_SubPractices[B],Practices_SubPractices[CP],"6",Practices_SubPractices[Org],"Medium"),IF(AND(Practices_SubPractices[CP]=7,Practices_SubPractices[Org] ="Medium"),SUMIFS(Practices_SubPractices[B],Practices_SubPractices[CP],"7",Practices_SubPractices[Org],"Medium"),IF(AND(Practices_SubPractices[CP]=8,Practices_SubPractices[Org] ="Medium"),SUMIFS(Practices_SubPractices[B],Practices_SubPractices[CP],"8",Practices_SubPractices[Org],"Medium"),IF(AND(Practices_SubPractices[CP]=9,Practices_SubPractices[Org] ="Medium"),SUMIFS(Practices_SubPractices[B],Practices_SubPractices[CP],"9",Practices_SubPractices[Org],"Medium"),IF(AND(Practices_SubPractices[CP]=10,Practices_SubPractices[Org] ="Medium"),SUMIFS(Practices_SubPractices[B],Practices_SubPractices[CP],"10",Practices_SubPractices[Org],"Medium"),IF(AND(Practices_SubPractices[CP]=1,Practices_SubPractices[Org]="Large"),SUMIFS(Practices_SubPractices[B],Practices_SubPractices[CP],"1",Practices_SubPractices[Org],"Large"),IF(AND(Practices_SubPractices[CP]=2,Practices_SubPractices[Org]="Large"),SUMIFS(Practices_SubPractices[B],Practices_SubPractices[CP],"2",Practices_SubPractices[Org],"Large"),IF(AND(Practices_SubPractices[CP]=3,Practices_SubPractices[Org]="Large"),SUMIFS(Practices_SubPractices[B],Practices_SubPractices[CP],"3",Practices_SubPractices[Org],"Large"),IF(AND(Practices_SubPractices[CP]=4,Practices_SubPractices[Org]="Large"),SUMIFS(Practices_SubPractices[B],Practices_SubPractices[CP],"4",Practices_SubPractices[Org],"Large"),IF(AND(Practices_SubPractices[CP]=5,Practices_SubPractices[Org]="Large"),SUMIFS(Practices_SubPractices[B],Practices_SubPractices[CP],"5",Practices_SubPractices[Org],"Large"),IF(AND(Practices_SubPractices[CP]=6,Practices_SubPractices[Org]="Large"),SUMIFS(Practices_SubPractices[B],Practices_SubPractices[CP],"6",Practices_SubPractices[Org],"Large"),IF(AND(Practices_SubPractices[CP]=7,Practices_SubPractices[Org] ="Large"),SUMIFS(Practices_SubPractices[B],Practices_SubPractices[CP],"7",Practices_SubPractices[Org],"Large"),IF(AND(Practices_SubPractices[CP]=8,Practices_SubPractices[Org] ="Large"),SUMIFS(Practices_SubPractices[B],Practices_SubPractices[CP],"8",Practices_SubPractices[Org],"Large"),IF(AND(Practices_SubPractices[CP]=9,Practices_SubPractices[Org] ="Large"),SUMIFS(Practices_SubPractices[B],Practices_SubPractices[CP],"9",Practices_SubPractices[Org],"Large"),IF(AND(Practices_SubPractices[CP]=10,Practices_SubPractices[Org] ="Large"),SUMIFS(Practices_SubPractices[B],Practices_SubPractices[CP],"10",Practices_SubPractices[Org],"Large"),"TBD"))))))))))))))))))))))))))))))</f>
        <v>4</v>
      </c>
      <c r="P116" s="77">
        <f>IF(AND(Practices_SubPractices[CP]=1,Practices_SubPractices[Org]="Small"),SUMIFS(Practices_SubPractices[C],Practices_SubPractices[CP],"1",Practices_SubPractices[Org],"Small"),IF(AND(Practices_SubPractices[CP]=2,Practices_SubPractices[Org]="Small"),SUMIFS(Practices_SubPractices[C],Practices_SubPractices[CP],"2",Practices_SubPractices[Org],"Small"),IF(AND(Practices_SubPractices[CP]=3,Practices_SubPractices[Org]="Small"),SUMIFS(Practices_SubPractices[C],Practices_SubPractices[CP],"3",Practices_SubPractices[Org],"Small"),IF(AND(Practices_SubPractices[CP]=4,Practices_SubPractices[Org]="Small"),SUMIFS(Practices_SubPractices[C],Practices_SubPractices[CP],"4",Practices_SubPractices[Org],"Small"),IF(AND(Practices_SubPractices[CP]=5,Practices_SubPractices[Org]="Small"),SUMIFS(Practices_SubPractices[C],Practices_SubPractices[CP],"5",Practices_SubPractices[Org],"Small"),IF(AND(Practices_SubPractices[CP]=6,Practices_SubPractices[Org]="Small"),SUMIFS(Practices_SubPractices[C],Practices_SubPractices[CP],"6",Practices_SubPractices[Org],"Small"),IF(AND(Practices_SubPractices[CP]=7,Practices_SubPractices[Org] ="Small"),SUMIFS(Practices_SubPractices[C],Practices_SubPractices[CP],"7",Practices_SubPractices[Org],"Small"),IF(AND(Practices_SubPractices[CP]=8,Practices_SubPractices[Org] ="Small"),SUMIFS(Practices_SubPractices[C],Practices_SubPractices[CP],"8",Practices_SubPractices[Org],"Small"),IF(AND(Practices_SubPractices[CP]=9,Practices_SubPractices[Org] ="Small"),SUMIFS(Practices_SubPractices[C],Practices_SubPractices[CP],"9",Practices_SubPractices[Org],"Small"),IF(AND(Practices_SubPractices[CP]=10,Practices_SubPractices[Org] ="Small"),SUMIFS(Practices_SubPractices[C],Practices_SubPractices[CP],"10",Practices_SubPractices[Org],"Small"),IF(AND(Practices_SubPractices[CP]=1,Practices_SubPractices[Org]="Medium"),SUMIFS(Practices_SubPractices[C],Practices_SubPractices[CP],"1",Practices_SubPractices[Org],"Medium"),IF(AND(Practices_SubPractices[CP]=2,Practices_SubPractices[Org]="Medium"),SUMIFS(Practices_SubPractices[C],Practices_SubPractices[CP],"2",Practices_SubPractices[Org],"Medium"),IF(AND(Practices_SubPractices[CP]=3,Practices_SubPractices[Org]="Medium"),SUMIFS(Practices_SubPractices[C],Practices_SubPractices[CP],"3",Practices_SubPractices[Org],"Medium"),IF(AND(Practices_SubPractices[CP]=4,Practices_SubPractices[Org]="Medium"),SUMIFS(Practices_SubPractices[C],Practices_SubPractices[CP],"4",Practices_SubPractices[Org],"Medium"),IF(AND(Practices_SubPractices[CP]=5,Practices_SubPractices[Org]="Medium"),SUMIFS(Practices_SubPractices[C],Practices_SubPractices[CP],"5",Practices_SubPractices[Org],"Medium"),IF(AND(Practices_SubPractices[CP]=6,Practices_SubPractices[Org]="Medium"),SUMIFS(Practices_SubPractices[C],Practices_SubPractices[CP],"6",Practices_SubPractices[Org],"Medium"),IF(AND(Practices_SubPractices[CP]=7,Practices_SubPractices[Org] ="Medium"),SUMIFS(Practices_SubPractices[C],Practices_SubPractices[CP],"7",Practices_SubPractices[Org],"Medium"),IF(AND(Practices_SubPractices[CP]=8,Practices_SubPractices[Org] ="Medium"),SUMIFS(Practices_SubPractices[C],Practices_SubPractices[CP],"8",Practices_SubPractices[Org],"Medium"),IF(AND(Practices_SubPractices[CP]=9,Practices_SubPractices[Org] ="Medium"),SUMIFS(Practices_SubPractices[C],Practices_SubPractices[CP],"9",Practices_SubPractices[Org],"Medium"),IF(AND(Practices_SubPractices[CP]=10,Practices_SubPractices[Org] ="Medium"),SUMIFS(Practices_SubPractices[C],Practices_SubPractices[CP],"10",Practices_SubPractices[Org],"Medium"),IF(AND(Practices_SubPractices[CP]=1,Practices_SubPractices[Org]="Large"),SUMIFS(Practices_SubPractices[C],Practices_SubPractices[CP],"1",Practices_SubPractices[Org],"Large"),IF(AND(Practices_SubPractices[CP]=2,Practices_SubPractices[Org]="Large"),SUMIFS(Practices_SubPractices[C],Practices_SubPractices[CP],"2",Practices_SubPractices[Org],"Large"),IF(AND(Practices_SubPractices[CP]=3,Practices_SubPractices[Org]="Large"),SUMIFS(Practices_SubPractices[C],Practices_SubPractices[CP],"3",Practices_SubPractices[Org],"Large"),IF(AND(Practices_SubPractices[CP]=4,Practices_SubPractices[Org]="Large"),SUMIFS(Practices_SubPractices[C],Practices_SubPractices[CP],"4",Practices_SubPractices[Org],"Large"),IF(AND(Practices_SubPractices[CP]=5,Practices_SubPractices[Org]="Large"),SUMIFS(Practices_SubPractices[C],Practices_SubPractices[CP],"5",Practices_SubPractices[Org],"Large"),IF(AND(Practices_SubPractices[CP]=6,Practices_SubPractices[Org]="Large"),SUMIFS(Practices_SubPractices[C],Practices_SubPractices[CP],"6",Practices_SubPractices[Org],"Large"),IF(AND(Practices_SubPractices[CP]=7,Practices_SubPractices[Org] ="Large"),SUMIFS(Practices_SubPractices[C],Practices_SubPractices[CP],"7",Practices_SubPractices[Org],"Large"),IF(AND(Practices_SubPractices[CP]=8,Practices_SubPractices[Org] ="Large"),SUMIFS(Practices_SubPractices[C],Practices_SubPractices[CP],"8",Practices_SubPractices[Org],"Large"),IF(AND(Practices_SubPractices[CP]=9,Practices_SubPractices[Org] ="Large"),SUMIFS(Practices_SubPractices[C],Practices_SubPractices[CP],"9",Practices_SubPractices[Org],"Large"),IF(AND(Practices_SubPractices[CP]=10,Practices_SubPractices[Org] ="Large"),SUMIFS(Practices_SubPractices[C],Practices_SubPractices[CP],"10",Practices_SubPractices[Org],"Large"),"TBD"))))))))))))))))))))))))))))))</f>
        <v>12</v>
      </c>
      <c r="Q116" s="77">
        <f>IF(AND(Practices_SubPractices[CP]=1,Practices_SubPractices[Org]="Small"),SUMIFS(Practices_SubPractices[D],Practices_SubPractices[CP],"1",Practices_SubPractices[Org],"Small"),IF(AND(Practices_SubPractices[CP]=2,Practices_SubPractices[Org]="Small"),SUMIFS(Practices_SubPractices[D],Practices_SubPractices[CP],"2",Practices_SubPractices[Org],"Small"),IF(AND(Practices_SubPractices[CP]=3,Practices_SubPractices[Org]="Small"),SUMIFS(Practices_SubPractices[D],Practices_SubPractices[CP],"3",Practices_SubPractices[Org],"Small"),IF(AND(Practices_SubPractices[CP]=4,Practices_SubPractices[Org]="Small"),SUMIFS(Practices_SubPractices[D],Practices_SubPractices[CP],"4",Practices_SubPractices[Org],"Small"),IF(AND(Practices_SubPractices[CP]=5,Practices_SubPractices[Org]="Small"),SUMIFS(Practices_SubPractices[D],Practices_SubPractices[CP],"5",Practices_SubPractices[Org],"Small"),IF(AND(Practices_SubPractices[CP]=6,Practices_SubPractices[Org]="Small"),SUMIFS(Practices_SubPractices[D],Practices_SubPractices[CP],"6",Practices_SubPractices[Org],"Small"),IF(AND(Practices_SubPractices[CP]=7,Practices_SubPractices[Org] ="Small"),SUMIFS(Practices_SubPractices[D],Practices_SubPractices[CP],"7",Practices_SubPractices[Org],"Small"),IF(AND(Practices_SubPractices[CP]=8,Practices_SubPractices[Org] ="Small"),SUMIFS(Practices_SubPractices[D],Practices_SubPractices[CP],"8",Practices_SubPractices[Org],"Small"),IF(AND(Practices_SubPractices[CP]=9,Practices_SubPractices[Org] ="Small"),SUMIFS(Practices_SubPractices[D],Practices_SubPractices[CP],"9",Practices_SubPractices[Org],"Small"),IF(AND(Practices_SubPractices[CP]=10,Practices_SubPractices[Org] ="Small"),SUMIFS(Practices_SubPractices[D],Practices_SubPractices[CP],"10",Practices_SubPractices[Org],"Small"),IF(AND(Practices_SubPractices[CP]=1,Practices_SubPractices[Org]="Medium"),SUMIFS(Practices_SubPractices[D],Practices_SubPractices[CP],"1",Practices_SubPractices[Org],"Medium"),IF(AND(Practices_SubPractices[CP]=2,Practices_SubPractices[Org]="Medium"),SUMIFS(Practices_SubPractices[D],Practices_SubPractices[CP],"2",Practices_SubPractices[Org],"Medium"),IF(AND(Practices_SubPractices[CP]=3,Practices_SubPractices[Org]="Medium"),SUMIFS(Practices_SubPractices[D],Practices_SubPractices[CP],"3",Practices_SubPractices[Org],"Medium"),IF(AND(Practices_SubPractices[CP]=4,Practices_SubPractices[Org]="Medium"),SUMIFS(Practices_SubPractices[D],Practices_SubPractices[CP],"4",Practices_SubPractices[Org],"Medium"),IF(AND(Practices_SubPractices[CP]=5,Practices_SubPractices[Org]="Medium"),SUMIFS(Practices_SubPractices[D],Practices_SubPractices[CP],"5",Practices_SubPractices[Org],"Medium"),IF(AND(Practices_SubPractices[CP]=6,Practices_SubPractices[Org]="Medium"),SUMIFS(Practices_SubPractices[D],Practices_SubPractices[CP],"6",Practices_SubPractices[Org],"Medium"),IF(AND(Practices_SubPractices[CP]=7,Practices_SubPractices[Org] ="Medium"),SUMIFS(Practices_SubPractices[D],Practices_SubPractices[CP],"7",Practices_SubPractices[Org],"Medium"),IF(AND(Practices_SubPractices[CP]=8,Practices_SubPractices[Org] ="Medium"),SUMIFS(Practices_SubPractices[D],Practices_SubPractices[CP],"8",Practices_SubPractices[Org],"Medium"),IF(AND(Practices_SubPractices[CP]=9,Practices_SubPractices[Org] ="Medium"),SUMIFS(Practices_SubPractices[D],Practices_SubPractices[CP],"9",Practices_SubPractices[Org],"Medium"),IF(AND(Practices_SubPractices[CP]=10,Practices_SubPractices[Org] ="Medium"),SUMIFS(Practices_SubPractices[D],Practices_SubPractices[CP],"10",Practices_SubPractices[Org],"Medium"),IF(AND(Practices_SubPractices[CP]=1,Practices_SubPractices[Org]="Large"),SUMIFS(Practices_SubPractices[D],Practices_SubPractices[CP],"1",Practices_SubPractices[Org],"Large"),IF(AND(Practices_SubPractices[CP]=2,Practices_SubPractices[Org]="Large"),SUMIFS(Practices_SubPractices[D],Practices_SubPractices[CP],"2",Practices_SubPractices[Org],"Large"),IF(AND(Practices_SubPractices[CP]=3,Practices_SubPractices[Org]="Large"),SUMIFS(Practices_SubPractices[D],Practices_SubPractices[CP],"3",Practices_SubPractices[Org],"Large"),IF(AND(Practices_SubPractices[CP]=4,Practices_SubPractices[Org]="Large"),SUMIFS(Practices_SubPractices[D],Practices_SubPractices[CP],"4",Practices_SubPractices[Org],"Large"),IF(AND(Practices_SubPractices[CP]=5,Practices_SubPractices[Org]="Large"),SUMIFS(Practices_SubPractices[D],Practices_SubPractices[CP],"5",Practices_SubPractices[Org],"Large"),IF(AND(Practices_SubPractices[CP]=6,Practices_SubPractices[Org]="Large"),SUMIFS(Practices_SubPractices[D],Practices_SubPractices[CP],"6",Practices_SubPractices[Org],"Large"),IF(AND(Practices_SubPractices[CP]=7,Practices_SubPractices[Org] ="Large"),SUMIFS(Practices_SubPractices[D],Practices_SubPractices[CP],"7",Practices_SubPractices[Org],"Large"),IF(AND(Practices_SubPractices[CP]=8,Practices_SubPractices[Org] ="Large"),SUMIFS(Practices_SubPractices[D],Practices_SubPractices[CP],"8",Practices_SubPractices[Org],"Large"),IF(AND(Practices_SubPractices[CP]=9,Practices_SubPractices[Org] ="Large"),SUMIFS(Practices_SubPractices[D],Practices_SubPractices[CP],"9",Practices_SubPractices[Org],"Large"),IF(AND(Practices_SubPractices[CP]=10,Practices_SubPractices[Org] ="Large"),SUMIFS(Practices_SubPractices[D],Practices_SubPractices[CP],"10",Practices_SubPractices[Org],"Large"),"TBD"))))))))))))))))))))))))))))))</f>
        <v>14</v>
      </c>
      <c r="R116" s="77">
        <f>IF(AND(Practices_SubPractices[CP]=1,Practices_SubPractices[Org]="Small"),SUMIFS(Practices_SubPractices[E],Practices_SubPractices[CP],"1",Practices_SubPractices[Org],"Small"),IF(AND(Practices_SubPractices[CP]=2,Practices_SubPractices[Org]="Small"),SUMIFS(Practices_SubPractices[E],Practices_SubPractices[CP],"2",Practices_SubPractices[Org],"Small"),IF(AND(Practices_SubPractices[CP]=3,Practices_SubPractices[Org]="Small"),SUMIFS(Practices_SubPractices[E],Practices_SubPractices[CP],"3",Practices_SubPractices[Org],"Small"),IF(AND(Practices_SubPractices[CP]=4,Practices_SubPractices[Org]="Small"),SUMIFS(Practices_SubPractices[E],Practices_SubPractices[CP],"4",Practices_SubPractices[Org],"Small"),IF(AND(Practices_SubPractices[CP]=5,Practices_SubPractices[Org]="Small"),SUMIFS(Practices_SubPractices[E],Practices_SubPractices[CP],"5",Practices_SubPractices[Org],"Small"),IF(AND(Practices_SubPractices[CP]=6,Practices_SubPractices[Org]="Small"),SUMIFS(Practices_SubPractices[E],Practices_SubPractices[CP],"6",Practices_SubPractices[Org],"Small"),IF(AND(Practices_SubPractices[CP]=7,Practices_SubPractices[Org] ="Small"),SUMIFS(Practices_SubPractices[E],Practices_SubPractices[CP],"7",Practices_SubPractices[Org],"Small"),IF(AND(Practices_SubPractices[CP]=8,Practices_SubPractices[Org] ="Small"),SUMIFS(Practices_SubPractices[E],Practices_SubPractices[CP],"8",Practices_SubPractices[Org],"Small"),IF(AND(Practices_SubPractices[CP]=9,Practices_SubPractices[Org] ="Small"),SUMIFS(Practices_SubPractices[E],Practices_SubPractices[CP],"9",Practices_SubPractices[Org],"Small"),IF(AND(Practices_SubPractices[CP]=10,Practices_SubPractices[Org] ="Small"),SUMIFS(Practices_SubPractices[E],Practices_SubPractices[CP],"10",Practices_SubPractices[Org],"Small"),IF(AND(Practices_SubPractices[CP]=1,Practices_SubPractices[Org]="Medium"),SUMIFS(Practices_SubPractices[E],Practices_SubPractices[CP],"1",Practices_SubPractices[Org],"Medium"),IF(AND(Practices_SubPractices[CP]=2,Practices_SubPractices[Org]="Medium"),SUMIFS(Practices_SubPractices[E],Practices_SubPractices[CP],"2",Practices_SubPractices[Org],"Medium"),IF(AND(Practices_SubPractices[CP]=3,Practices_SubPractices[Org]="Medium"),SUMIFS(Practices_SubPractices[E],Practices_SubPractices[CP],"3",Practices_SubPractices[Org],"Medium"),IF(AND(Practices_SubPractices[CP]=4,Practices_SubPractices[Org]="Medium"),SUMIFS(Practices_SubPractices[E],Practices_SubPractices[CP],"4",Practices_SubPractices[Org],"Medium"),IF(AND(Practices_SubPractices[CP]=5,Practices_SubPractices[Org]="Medium"),SUMIFS(Practices_SubPractices[E],Practices_SubPractices[CP],"5",Practices_SubPractices[Org],"Medium"),IF(AND(Practices_SubPractices[CP]=6,Practices_SubPractices[Org]="Medium"),SUMIFS(Practices_SubPractices[E],Practices_SubPractices[CP],"6",Practices_SubPractices[Org],"Medium"),IF(AND(Practices_SubPractices[CP]=7,Practices_SubPractices[Org] ="Medium"),SUMIFS(Practices_SubPractices[E],Practices_SubPractices[CP],"7",Practices_SubPractices[Org],"Medium"),IF(AND(Practices_SubPractices[CP]=8,Practices_SubPractices[Org] ="Medium"),SUMIFS(Practices_SubPractices[E],Practices_SubPractices[CP],"8",Practices_SubPractices[Org],"Medium"),IF(AND(Practices_SubPractices[CP]=9,Practices_SubPractices[Org] ="Medium"),SUMIFS(Practices_SubPractices[E],Practices_SubPractices[CP],"9",Practices_SubPractices[Org],"Medium"),IF(AND(Practices_SubPractices[CP]=10,Practices_SubPractices[Org] ="Medium"),SUMIFS(Practices_SubPractices[E],Practices_SubPractices[CP],"10",Practices_SubPractices[Org],"Medium"),IF(AND(Practices_SubPractices[CP]=1,Practices_SubPractices[Org]="Large"),SUMIFS(Practices_SubPractices[E],Practices_SubPractices[CP],"1",Practices_SubPractices[Org],"Large"),IF(AND(Practices_SubPractices[CP]=2,Practices_SubPractices[Org]="Large"),SUMIFS(Practices_SubPractices[E],Practices_SubPractices[CP],"2",Practices_SubPractices[Org],"Large"),IF(AND(Practices_SubPractices[CP]=3,Practices_SubPractices[Org]="Large"),SUMIFS(Practices_SubPractices[E],Practices_SubPractices[CP],"3",Practices_SubPractices[Org],"Large"),IF(AND(Practices_SubPractices[CP]=4,Practices_SubPractices[Org]="Large"),SUMIFS(Practices_SubPractices[E],Practices_SubPractices[CP],"4",Practices_SubPractices[Org],"Large"),IF(AND(Practices_SubPractices[CP]=5,Practices_SubPractices[Org]="Large"),SUMIFS(Practices_SubPractices[E],Practices_SubPractices[CP],"5",Practices_SubPractices[Org],"Large"),IF(AND(Practices_SubPractices[CP]=6,Practices_SubPractices[Org]="Large"),SUMIFS(Practices_SubPractices[E],Practices_SubPractices[CP],"6",Practices_SubPractices[Org],"Large"),IF(AND(Practices_SubPractices[CP]=7,Practices_SubPractices[Org] ="Large"),SUMIFS(Practices_SubPractices[E],Practices_SubPractices[CP],"7",Practices_SubPractices[Org],"Large"),IF(AND(Practices_SubPractices[CP]=8,Practices_SubPractices[Org] ="Large"),SUMIFS(Practices_SubPractices[E],Practices_SubPractices[CP],"8",Practices_SubPractices[Org],"Large"),IF(AND(Practices_SubPractices[CP]=9,Practices_SubPractices[Org] ="Large"),SUMIFS(Practices_SubPractices[E],Practices_SubPractices[CP],"9",Practices_SubPractices[Org],"Large"),IF(AND(Practices_SubPractices[CP]=10,Practices_SubPractices[Org] ="Large"),SUMIFS(Practices_SubPractices[E],Practices_SubPractices[CP],"10",Practices_SubPractices[Org],"Large"),"TBD"))))))))))))))))))))))))))))))</f>
        <v>0</v>
      </c>
      <c r="S116" s="87" t="s">
        <v>439</v>
      </c>
    </row>
    <row r="117" spans="1:19" x14ac:dyDescent="0.35">
      <c r="A117" s="73">
        <v>107</v>
      </c>
      <c r="B117" s="73">
        <v>5</v>
      </c>
      <c r="C117" s="80" t="s">
        <v>12</v>
      </c>
      <c r="D117" s="73" t="str">
        <f>Practices_SubPractices[[#This Row],[CP]]&amp;LEFT(Practices_SubPractices[[#This Row],[Org]],1)</f>
        <v>5L</v>
      </c>
      <c r="E117" s="73" t="s">
        <v>265</v>
      </c>
      <c r="F117" s="74" t="s">
        <v>113</v>
      </c>
      <c r="G117" s="74" t="s">
        <v>115</v>
      </c>
      <c r="H117" s="74" t="s">
        <v>230</v>
      </c>
      <c r="I117" s="75">
        <v>0</v>
      </c>
      <c r="J117" s="75">
        <v>1</v>
      </c>
      <c r="K117" s="75">
        <v>2</v>
      </c>
      <c r="L117" s="75">
        <v>2</v>
      </c>
      <c r="M117" s="75">
        <v>1</v>
      </c>
      <c r="N117" s="76"/>
      <c r="O117" s="77">
        <f>IF(AND(Practices_SubPractices[CP]=1,Practices_SubPractices[Org]="Small"),SUMIFS(Practices_SubPractices[B],Practices_SubPractices[CP],"1",Practices_SubPractices[Org],"Small"),IF(AND(Practices_SubPractices[CP]=2,Practices_SubPractices[Org]="Small"),SUMIFS(Practices_SubPractices[B],Practices_SubPractices[CP],"2",Practices_SubPractices[Org],"Small"),IF(AND(Practices_SubPractices[CP]=3,Practices_SubPractices[Org]="Small"),SUMIFS(Practices_SubPractices[B],Practices_SubPractices[CP],"3",Practices_SubPractices[Org],"Small"),IF(AND(Practices_SubPractices[CP]=4,Practices_SubPractices[Org]="Small"),SUMIFS(Practices_SubPractices[B],Practices_SubPractices[CP],"4",Practices_SubPractices[Org],"Small"),IF(AND(Practices_SubPractices[CP]=5,Practices_SubPractices[Org]="Small"),SUMIFS(Practices_SubPractices[B],Practices_SubPractices[CP],"5",Practices_SubPractices[Org],"Small"),IF(AND(Practices_SubPractices[CP]=6,Practices_SubPractices[Org]="Small"),SUMIFS(Practices_SubPractices[B],Practices_SubPractices[CP],"6",Practices_SubPractices[Org],"Small"),IF(AND(Practices_SubPractices[CP]=7,Practices_SubPractices[Org] ="Small"),SUMIFS(Practices_SubPractices[B],Practices_SubPractices[CP],"7",Practices_SubPractices[Org],"Small"),IF(AND(Practices_SubPractices[CP]=8,Practices_SubPractices[Org] ="Small"),SUMIFS(Practices_SubPractices[B],Practices_SubPractices[CP],"8",Practices_SubPractices[Org],"Small"),IF(AND(Practices_SubPractices[CP]=9,Practices_SubPractices[Org] ="Small"),SUMIFS(Practices_SubPractices[B],Practices_SubPractices[CP],"9",Practices_SubPractices[Org],"Small"),IF(AND(Practices_SubPractices[CP]=10,Practices_SubPractices[Org] ="Small"),SUMIFS(Practices_SubPractices[B],Practices_SubPractices[CP],"10",Practices_SubPractices[Org],"Small"),IF(AND(Practices_SubPractices[CP]=1,Practices_SubPractices[Org]="Medium"),SUMIFS(Practices_SubPractices[B],Practices_SubPractices[CP],"1",Practices_SubPractices[Org],"Medium"),IF(AND(Practices_SubPractices[CP]=2,Practices_SubPractices[Org]="Medium"),SUMIFS(Practices_SubPractices[B],Practices_SubPractices[CP],"2",Practices_SubPractices[Org],"Medium"),IF(AND(Practices_SubPractices[CP]=3,Practices_SubPractices[Org]="Medium"),SUMIFS(Practices_SubPractices[B],Practices_SubPractices[CP],"3",Practices_SubPractices[Org],"Medium"),IF(AND(Practices_SubPractices[CP]=4,Practices_SubPractices[Org]="Medium"),SUMIFS(Practices_SubPractices[B],Practices_SubPractices[CP],"4",Practices_SubPractices[Org],"Medium"),IF(AND(Practices_SubPractices[CP]=5,Practices_SubPractices[Org]="Medium"),SUMIFS(Practices_SubPractices[B],Practices_SubPractices[CP],"5",Practices_SubPractices[Org],"Medium"),IF(AND(Practices_SubPractices[CP]=6,Practices_SubPractices[Org]="Medium"),SUMIFS(Practices_SubPractices[B],Practices_SubPractices[CP],"6",Practices_SubPractices[Org],"Medium"),IF(AND(Practices_SubPractices[CP]=7,Practices_SubPractices[Org] ="Medium"),SUMIFS(Practices_SubPractices[B],Practices_SubPractices[CP],"7",Practices_SubPractices[Org],"Medium"),IF(AND(Practices_SubPractices[CP]=8,Practices_SubPractices[Org] ="Medium"),SUMIFS(Practices_SubPractices[B],Practices_SubPractices[CP],"8",Practices_SubPractices[Org],"Medium"),IF(AND(Practices_SubPractices[CP]=9,Practices_SubPractices[Org] ="Medium"),SUMIFS(Practices_SubPractices[B],Practices_SubPractices[CP],"9",Practices_SubPractices[Org],"Medium"),IF(AND(Practices_SubPractices[CP]=10,Practices_SubPractices[Org] ="Medium"),SUMIFS(Practices_SubPractices[B],Practices_SubPractices[CP],"10",Practices_SubPractices[Org],"Medium"),IF(AND(Practices_SubPractices[CP]=1,Practices_SubPractices[Org]="Large"),SUMIFS(Practices_SubPractices[B],Practices_SubPractices[CP],"1",Practices_SubPractices[Org],"Large"),IF(AND(Practices_SubPractices[CP]=2,Practices_SubPractices[Org]="Large"),SUMIFS(Practices_SubPractices[B],Practices_SubPractices[CP],"2",Practices_SubPractices[Org],"Large"),IF(AND(Practices_SubPractices[CP]=3,Practices_SubPractices[Org]="Large"),SUMIFS(Practices_SubPractices[B],Practices_SubPractices[CP],"3",Practices_SubPractices[Org],"Large"),IF(AND(Practices_SubPractices[CP]=4,Practices_SubPractices[Org]="Large"),SUMIFS(Practices_SubPractices[B],Practices_SubPractices[CP],"4",Practices_SubPractices[Org],"Large"),IF(AND(Practices_SubPractices[CP]=5,Practices_SubPractices[Org]="Large"),SUMIFS(Practices_SubPractices[B],Practices_SubPractices[CP],"5",Practices_SubPractices[Org],"Large"),IF(AND(Practices_SubPractices[CP]=6,Practices_SubPractices[Org]="Large"),SUMIFS(Practices_SubPractices[B],Practices_SubPractices[CP],"6",Practices_SubPractices[Org],"Large"),IF(AND(Practices_SubPractices[CP]=7,Practices_SubPractices[Org] ="Large"),SUMIFS(Practices_SubPractices[B],Practices_SubPractices[CP],"7",Practices_SubPractices[Org],"Large"),IF(AND(Practices_SubPractices[CP]=8,Practices_SubPractices[Org] ="Large"),SUMIFS(Practices_SubPractices[B],Practices_SubPractices[CP],"8",Practices_SubPractices[Org],"Large"),IF(AND(Practices_SubPractices[CP]=9,Practices_SubPractices[Org] ="Large"),SUMIFS(Practices_SubPractices[B],Practices_SubPractices[CP],"9",Practices_SubPractices[Org],"Large"),IF(AND(Practices_SubPractices[CP]=10,Practices_SubPractices[Org] ="Large"),SUMIFS(Practices_SubPractices[B],Practices_SubPractices[CP],"10",Practices_SubPractices[Org],"Large"),"TBD"))))))))))))))))))))))))))))))</f>
        <v>6</v>
      </c>
      <c r="P117" s="77">
        <f>IF(AND(Practices_SubPractices[CP]=1,Practices_SubPractices[Org]="Small"),SUMIFS(Practices_SubPractices[C],Practices_SubPractices[CP],"1",Practices_SubPractices[Org],"Small"),IF(AND(Practices_SubPractices[CP]=2,Practices_SubPractices[Org]="Small"),SUMIFS(Practices_SubPractices[C],Practices_SubPractices[CP],"2",Practices_SubPractices[Org],"Small"),IF(AND(Practices_SubPractices[CP]=3,Practices_SubPractices[Org]="Small"),SUMIFS(Practices_SubPractices[C],Practices_SubPractices[CP],"3",Practices_SubPractices[Org],"Small"),IF(AND(Practices_SubPractices[CP]=4,Practices_SubPractices[Org]="Small"),SUMIFS(Practices_SubPractices[C],Practices_SubPractices[CP],"4",Practices_SubPractices[Org],"Small"),IF(AND(Practices_SubPractices[CP]=5,Practices_SubPractices[Org]="Small"),SUMIFS(Practices_SubPractices[C],Practices_SubPractices[CP],"5",Practices_SubPractices[Org],"Small"),IF(AND(Practices_SubPractices[CP]=6,Practices_SubPractices[Org]="Small"),SUMIFS(Practices_SubPractices[C],Practices_SubPractices[CP],"6",Practices_SubPractices[Org],"Small"),IF(AND(Practices_SubPractices[CP]=7,Practices_SubPractices[Org] ="Small"),SUMIFS(Practices_SubPractices[C],Practices_SubPractices[CP],"7",Practices_SubPractices[Org],"Small"),IF(AND(Practices_SubPractices[CP]=8,Practices_SubPractices[Org] ="Small"),SUMIFS(Practices_SubPractices[C],Practices_SubPractices[CP],"8",Practices_SubPractices[Org],"Small"),IF(AND(Practices_SubPractices[CP]=9,Practices_SubPractices[Org] ="Small"),SUMIFS(Practices_SubPractices[C],Practices_SubPractices[CP],"9",Practices_SubPractices[Org],"Small"),IF(AND(Practices_SubPractices[CP]=10,Practices_SubPractices[Org] ="Small"),SUMIFS(Practices_SubPractices[C],Practices_SubPractices[CP],"10",Practices_SubPractices[Org],"Small"),IF(AND(Practices_SubPractices[CP]=1,Practices_SubPractices[Org]="Medium"),SUMIFS(Practices_SubPractices[C],Practices_SubPractices[CP],"1",Practices_SubPractices[Org],"Medium"),IF(AND(Practices_SubPractices[CP]=2,Practices_SubPractices[Org]="Medium"),SUMIFS(Practices_SubPractices[C],Practices_SubPractices[CP],"2",Practices_SubPractices[Org],"Medium"),IF(AND(Practices_SubPractices[CP]=3,Practices_SubPractices[Org]="Medium"),SUMIFS(Practices_SubPractices[C],Practices_SubPractices[CP],"3",Practices_SubPractices[Org],"Medium"),IF(AND(Practices_SubPractices[CP]=4,Practices_SubPractices[Org]="Medium"),SUMIFS(Practices_SubPractices[C],Practices_SubPractices[CP],"4",Practices_SubPractices[Org],"Medium"),IF(AND(Practices_SubPractices[CP]=5,Practices_SubPractices[Org]="Medium"),SUMIFS(Practices_SubPractices[C],Practices_SubPractices[CP],"5",Practices_SubPractices[Org],"Medium"),IF(AND(Practices_SubPractices[CP]=6,Practices_SubPractices[Org]="Medium"),SUMIFS(Practices_SubPractices[C],Practices_SubPractices[CP],"6",Practices_SubPractices[Org],"Medium"),IF(AND(Practices_SubPractices[CP]=7,Practices_SubPractices[Org] ="Medium"),SUMIFS(Practices_SubPractices[C],Practices_SubPractices[CP],"7",Practices_SubPractices[Org],"Medium"),IF(AND(Practices_SubPractices[CP]=8,Practices_SubPractices[Org] ="Medium"),SUMIFS(Practices_SubPractices[C],Practices_SubPractices[CP],"8",Practices_SubPractices[Org],"Medium"),IF(AND(Practices_SubPractices[CP]=9,Practices_SubPractices[Org] ="Medium"),SUMIFS(Practices_SubPractices[C],Practices_SubPractices[CP],"9",Practices_SubPractices[Org],"Medium"),IF(AND(Practices_SubPractices[CP]=10,Practices_SubPractices[Org] ="Medium"),SUMIFS(Practices_SubPractices[C],Practices_SubPractices[CP],"10",Practices_SubPractices[Org],"Medium"),IF(AND(Practices_SubPractices[CP]=1,Practices_SubPractices[Org]="Large"),SUMIFS(Practices_SubPractices[C],Practices_SubPractices[CP],"1",Practices_SubPractices[Org],"Large"),IF(AND(Practices_SubPractices[CP]=2,Practices_SubPractices[Org]="Large"),SUMIFS(Practices_SubPractices[C],Practices_SubPractices[CP],"2",Practices_SubPractices[Org],"Large"),IF(AND(Practices_SubPractices[CP]=3,Practices_SubPractices[Org]="Large"),SUMIFS(Practices_SubPractices[C],Practices_SubPractices[CP],"3",Practices_SubPractices[Org],"Large"),IF(AND(Practices_SubPractices[CP]=4,Practices_SubPractices[Org]="Large"),SUMIFS(Practices_SubPractices[C],Practices_SubPractices[CP],"4",Practices_SubPractices[Org],"Large"),IF(AND(Practices_SubPractices[CP]=5,Practices_SubPractices[Org]="Large"),SUMIFS(Practices_SubPractices[C],Practices_SubPractices[CP],"5",Practices_SubPractices[Org],"Large"),IF(AND(Practices_SubPractices[CP]=6,Practices_SubPractices[Org]="Large"),SUMIFS(Practices_SubPractices[C],Practices_SubPractices[CP],"6",Practices_SubPractices[Org],"Large"),IF(AND(Practices_SubPractices[CP]=7,Practices_SubPractices[Org] ="Large"),SUMIFS(Practices_SubPractices[C],Practices_SubPractices[CP],"7",Practices_SubPractices[Org],"Large"),IF(AND(Practices_SubPractices[CP]=8,Practices_SubPractices[Org] ="Large"),SUMIFS(Practices_SubPractices[C],Practices_SubPractices[CP],"8",Practices_SubPractices[Org],"Large"),IF(AND(Practices_SubPractices[CP]=9,Practices_SubPractices[Org] ="Large"),SUMIFS(Practices_SubPractices[C],Practices_SubPractices[CP],"9",Practices_SubPractices[Org],"Large"),IF(AND(Practices_SubPractices[CP]=10,Practices_SubPractices[Org] ="Large"),SUMIFS(Practices_SubPractices[C],Practices_SubPractices[CP],"10",Practices_SubPractices[Org],"Large"),"TBD"))))))))))))))))))))))))))))))</f>
        <v>12</v>
      </c>
      <c r="Q117" s="77">
        <f>IF(AND(Practices_SubPractices[CP]=1,Practices_SubPractices[Org]="Small"),SUMIFS(Practices_SubPractices[D],Practices_SubPractices[CP],"1",Practices_SubPractices[Org],"Small"),IF(AND(Practices_SubPractices[CP]=2,Practices_SubPractices[Org]="Small"),SUMIFS(Practices_SubPractices[D],Practices_SubPractices[CP],"2",Practices_SubPractices[Org],"Small"),IF(AND(Practices_SubPractices[CP]=3,Practices_SubPractices[Org]="Small"),SUMIFS(Practices_SubPractices[D],Practices_SubPractices[CP],"3",Practices_SubPractices[Org],"Small"),IF(AND(Practices_SubPractices[CP]=4,Practices_SubPractices[Org]="Small"),SUMIFS(Practices_SubPractices[D],Practices_SubPractices[CP],"4",Practices_SubPractices[Org],"Small"),IF(AND(Practices_SubPractices[CP]=5,Practices_SubPractices[Org]="Small"),SUMIFS(Practices_SubPractices[D],Practices_SubPractices[CP],"5",Practices_SubPractices[Org],"Small"),IF(AND(Practices_SubPractices[CP]=6,Practices_SubPractices[Org]="Small"),SUMIFS(Practices_SubPractices[D],Practices_SubPractices[CP],"6",Practices_SubPractices[Org],"Small"),IF(AND(Practices_SubPractices[CP]=7,Practices_SubPractices[Org] ="Small"),SUMIFS(Practices_SubPractices[D],Practices_SubPractices[CP],"7",Practices_SubPractices[Org],"Small"),IF(AND(Practices_SubPractices[CP]=8,Practices_SubPractices[Org] ="Small"),SUMIFS(Practices_SubPractices[D],Practices_SubPractices[CP],"8",Practices_SubPractices[Org],"Small"),IF(AND(Practices_SubPractices[CP]=9,Practices_SubPractices[Org] ="Small"),SUMIFS(Practices_SubPractices[D],Practices_SubPractices[CP],"9",Practices_SubPractices[Org],"Small"),IF(AND(Practices_SubPractices[CP]=10,Practices_SubPractices[Org] ="Small"),SUMIFS(Practices_SubPractices[D],Practices_SubPractices[CP],"10",Practices_SubPractices[Org],"Small"),IF(AND(Practices_SubPractices[CP]=1,Practices_SubPractices[Org]="Medium"),SUMIFS(Practices_SubPractices[D],Practices_SubPractices[CP],"1",Practices_SubPractices[Org],"Medium"),IF(AND(Practices_SubPractices[CP]=2,Practices_SubPractices[Org]="Medium"),SUMIFS(Practices_SubPractices[D],Practices_SubPractices[CP],"2",Practices_SubPractices[Org],"Medium"),IF(AND(Practices_SubPractices[CP]=3,Practices_SubPractices[Org]="Medium"),SUMIFS(Practices_SubPractices[D],Practices_SubPractices[CP],"3",Practices_SubPractices[Org],"Medium"),IF(AND(Practices_SubPractices[CP]=4,Practices_SubPractices[Org]="Medium"),SUMIFS(Practices_SubPractices[D],Practices_SubPractices[CP],"4",Practices_SubPractices[Org],"Medium"),IF(AND(Practices_SubPractices[CP]=5,Practices_SubPractices[Org]="Medium"),SUMIFS(Practices_SubPractices[D],Practices_SubPractices[CP],"5",Practices_SubPractices[Org],"Medium"),IF(AND(Practices_SubPractices[CP]=6,Practices_SubPractices[Org]="Medium"),SUMIFS(Practices_SubPractices[D],Practices_SubPractices[CP],"6",Practices_SubPractices[Org],"Medium"),IF(AND(Practices_SubPractices[CP]=7,Practices_SubPractices[Org] ="Medium"),SUMIFS(Practices_SubPractices[D],Practices_SubPractices[CP],"7",Practices_SubPractices[Org],"Medium"),IF(AND(Practices_SubPractices[CP]=8,Practices_SubPractices[Org] ="Medium"),SUMIFS(Practices_SubPractices[D],Practices_SubPractices[CP],"8",Practices_SubPractices[Org],"Medium"),IF(AND(Practices_SubPractices[CP]=9,Practices_SubPractices[Org] ="Medium"),SUMIFS(Practices_SubPractices[D],Practices_SubPractices[CP],"9",Practices_SubPractices[Org],"Medium"),IF(AND(Practices_SubPractices[CP]=10,Practices_SubPractices[Org] ="Medium"),SUMIFS(Practices_SubPractices[D],Practices_SubPractices[CP],"10",Practices_SubPractices[Org],"Medium"),IF(AND(Practices_SubPractices[CP]=1,Practices_SubPractices[Org]="Large"),SUMIFS(Practices_SubPractices[D],Practices_SubPractices[CP],"1",Practices_SubPractices[Org],"Large"),IF(AND(Practices_SubPractices[CP]=2,Practices_SubPractices[Org]="Large"),SUMIFS(Practices_SubPractices[D],Practices_SubPractices[CP],"2",Practices_SubPractices[Org],"Large"),IF(AND(Practices_SubPractices[CP]=3,Practices_SubPractices[Org]="Large"),SUMIFS(Practices_SubPractices[D],Practices_SubPractices[CP],"3",Practices_SubPractices[Org],"Large"),IF(AND(Practices_SubPractices[CP]=4,Practices_SubPractices[Org]="Large"),SUMIFS(Practices_SubPractices[D],Practices_SubPractices[CP],"4",Practices_SubPractices[Org],"Large"),IF(AND(Practices_SubPractices[CP]=5,Practices_SubPractices[Org]="Large"),SUMIFS(Practices_SubPractices[D],Practices_SubPractices[CP],"5",Practices_SubPractices[Org],"Large"),IF(AND(Practices_SubPractices[CP]=6,Practices_SubPractices[Org]="Large"),SUMIFS(Practices_SubPractices[D],Practices_SubPractices[CP],"6",Practices_SubPractices[Org],"Large"),IF(AND(Practices_SubPractices[CP]=7,Practices_SubPractices[Org] ="Large"),SUMIFS(Practices_SubPractices[D],Practices_SubPractices[CP],"7",Practices_SubPractices[Org],"Large"),IF(AND(Practices_SubPractices[CP]=8,Practices_SubPractices[Org] ="Large"),SUMIFS(Practices_SubPractices[D],Practices_SubPractices[CP],"8",Practices_SubPractices[Org],"Large"),IF(AND(Practices_SubPractices[CP]=9,Practices_SubPractices[Org] ="Large"),SUMIFS(Practices_SubPractices[D],Practices_SubPractices[CP],"9",Practices_SubPractices[Org],"Large"),IF(AND(Practices_SubPractices[CP]=10,Practices_SubPractices[Org] ="Large"),SUMIFS(Practices_SubPractices[D],Practices_SubPractices[CP],"10",Practices_SubPractices[Org],"Large"),"TBD"))))))))))))))))))))))))))))))</f>
        <v>11</v>
      </c>
      <c r="R117" s="77">
        <f>IF(AND(Practices_SubPractices[CP]=1,Practices_SubPractices[Org]="Small"),SUMIFS(Practices_SubPractices[E],Practices_SubPractices[CP],"1",Practices_SubPractices[Org],"Small"),IF(AND(Practices_SubPractices[CP]=2,Practices_SubPractices[Org]="Small"),SUMIFS(Practices_SubPractices[E],Practices_SubPractices[CP],"2",Practices_SubPractices[Org],"Small"),IF(AND(Practices_SubPractices[CP]=3,Practices_SubPractices[Org]="Small"),SUMIFS(Practices_SubPractices[E],Practices_SubPractices[CP],"3",Practices_SubPractices[Org],"Small"),IF(AND(Practices_SubPractices[CP]=4,Practices_SubPractices[Org]="Small"),SUMIFS(Practices_SubPractices[E],Practices_SubPractices[CP],"4",Practices_SubPractices[Org],"Small"),IF(AND(Practices_SubPractices[CP]=5,Practices_SubPractices[Org]="Small"),SUMIFS(Practices_SubPractices[E],Practices_SubPractices[CP],"5",Practices_SubPractices[Org],"Small"),IF(AND(Practices_SubPractices[CP]=6,Practices_SubPractices[Org]="Small"),SUMIFS(Practices_SubPractices[E],Practices_SubPractices[CP],"6",Practices_SubPractices[Org],"Small"),IF(AND(Practices_SubPractices[CP]=7,Practices_SubPractices[Org] ="Small"),SUMIFS(Practices_SubPractices[E],Practices_SubPractices[CP],"7",Practices_SubPractices[Org],"Small"),IF(AND(Practices_SubPractices[CP]=8,Practices_SubPractices[Org] ="Small"),SUMIFS(Practices_SubPractices[E],Practices_SubPractices[CP],"8",Practices_SubPractices[Org],"Small"),IF(AND(Practices_SubPractices[CP]=9,Practices_SubPractices[Org] ="Small"),SUMIFS(Practices_SubPractices[E],Practices_SubPractices[CP],"9",Practices_SubPractices[Org],"Small"),IF(AND(Practices_SubPractices[CP]=10,Practices_SubPractices[Org] ="Small"),SUMIFS(Practices_SubPractices[E],Practices_SubPractices[CP],"10",Practices_SubPractices[Org],"Small"),IF(AND(Practices_SubPractices[CP]=1,Practices_SubPractices[Org]="Medium"),SUMIFS(Practices_SubPractices[E],Practices_SubPractices[CP],"1",Practices_SubPractices[Org],"Medium"),IF(AND(Practices_SubPractices[CP]=2,Practices_SubPractices[Org]="Medium"),SUMIFS(Practices_SubPractices[E],Practices_SubPractices[CP],"2",Practices_SubPractices[Org],"Medium"),IF(AND(Practices_SubPractices[CP]=3,Practices_SubPractices[Org]="Medium"),SUMIFS(Practices_SubPractices[E],Practices_SubPractices[CP],"3",Practices_SubPractices[Org],"Medium"),IF(AND(Practices_SubPractices[CP]=4,Practices_SubPractices[Org]="Medium"),SUMIFS(Practices_SubPractices[E],Practices_SubPractices[CP],"4",Practices_SubPractices[Org],"Medium"),IF(AND(Practices_SubPractices[CP]=5,Practices_SubPractices[Org]="Medium"),SUMIFS(Practices_SubPractices[E],Practices_SubPractices[CP],"5",Practices_SubPractices[Org],"Medium"),IF(AND(Practices_SubPractices[CP]=6,Practices_SubPractices[Org]="Medium"),SUMIFS(Practices_SubPractices[E],Practices_SubPractices[CP],"6",Practices_SubPractices[Org],"Medium"),IF(AND(Practices_SubPractices[CP]=7,Practices_SubPractices[Org] ="Medium"),SUMIFS(Practices_SubPractices[E],Practices_SubPractices[CP],"7",Practices_SubPractices[Org],"Medium"),IF(AND(Practices_SubPractices[CP]=8,Practices_SubPractices[Org] ="Medium"),SUMIFS(Practices_SubPractices[E],Practices_SubPractices[CP],"8",Practices_SubPractices[Org],"Medium"),IF(AND(Practices_SubPractices[CP]=9,Practices_SubPractices[Org] ="Medium"),SUMIFS(Practices_SubPractices[E],Practices_SubPractices[CP],"9",Practices_SubPractices[Org],"Medium"),IF(AND(Practices_SubPractices[CP]=10,Practices_SubPractices[Org] ="Medium"),SUMIFS(Practices_SubPractices[E],Practices_SubPractices[CP],"10",Practices_SubPractices[Org],"Medium"),IF(AND(Practices_SubPractices[CP]=1,Practices_SubPractices[Org]="Large"),SUMIFS(Practices_SubPractices[E],Practices_SubPractices[CP],"1",Practices_SubPractices[Org],"Large"),IF(AND(Practices_SubPractices[CP]=2,Practices_SubPractices[Org]="Large"),SUMIFS(Practices_SubPractices[E],Practices_SubPractices[CP],"2",Practices_SubPractices[Org],"Large"),IF(AND(Practices_SubPractices[CP]=3,Practices_SubPractices[Org]="Large"),SUMIFS(Practices_SubPractices[E],Practices_SubPractices[CP],"3",Practices_SubPractices[Org],"Large"),IF(AND(Practices_SubPractices[CP]=4,Practices_SubPractices[Org]="Large"),SUMIFS(Practices_SubPractices[E],Practices_SubPractices[CP],"4",Practices_SubPractices[Org],"Large"),IF(AND(Practices_SubPractices[CP]=5,Practices_SubPractices[Org]="Large"),SUMIFS(Practices_SubPractices[E],Practices_SubPractices[CP],"5",Practices_SubPractices[Org],"Large"),IF(AND(Practices_SubPractices[CP]=6,Practices_SubPractices[Org]="Large"),SUMIFS(Practices_SubPractices[E],Practices_SubPractices[CP],"6",Practices_SubPractices[Org],"Large"),IF(AND(Practices_SubPractices[CP]=7,Practices_SubPractices[Org] ="Large"),SUMIFS(Practices_SubPractices[E],Practices_SubPractices[CP],"7",Practices_SubPractices[Org],"Large"),IF(AND(Practices_SubPractices[CP]=8,Practices_SubPractices[Org] ="Large"),SUMIFS(Practices_SubPractices[E],Practices_SubPractices[CP],"8",Practices_SubPractices[Org],"Large"),IF(AND(Practices_SubPractices[CP]=9,Practices_SubPractices[Org] ="Large"),SUMIFS(Practices_SubPractices[E],Practices_SubPractices[CP],"9",Practices_SubPractices[Org],"Large"),IF(AND(Practices_SubPractices[CP]=10,Practices_SubPractices[Org] ="Large"),SUMIFS(Practices_SubPractices[E],Practices_SubPractices[CP],"10",Practices_SubPractices[Org],"Large"),"TBD"))))))))))))))))))))))))))))))</f>
        <v>5</v>
      </c>
      <c r="S117" s="87" t="s">
        <v>440</v>
      </c>
    </row>
    <row r="118" spans="1:19" x14ac:dyDescent="0.35">
      <c r="A118" s="73">
        <v>108</v>
      </c>
      <c r="B118" s="73">
        <v>5</v>
      </c>
      <c r="C118" s="80" t="s">
        <v>12</v>
      </c>
      <c r="D118" s="73" t="str">
        <f>Practices_SubPractices[[#This Row],[CP]]&amp;LEFT(Practices_SubPractices[[#This Row],[Org]],1)</f>
        <v>5L</v>
      </c>
      <c r="E118" s="73" t="s">
        <v>266</v>
      </c>
      <c r="F118" s="74" t="s">
        <v>114</v>
      </c>
      <c r="G118" s="74" t="s">
        <v>116</v>
      </c>
      <c r="H118" s="74" t="s">
        <v>231</v>
      </c>
      <c r="I118" s="75">
        <v>0</v>
      </c>
      <c r="J118" s="75">
        <v>2</v>
      </c>
      <c r="K118" s="75">
        <v>2</v>
      </c>
      <c r="L118" s="75">
        <v>2</v>
      </c>
      <c r="M118" s="75">
        <v>1</v>
      </c>
      <c r="N118" s="76"/>
      <c r="O118" s="77">
        <f>IF(AND(Practices_SubPractices[CP]=1,Practices_SubPractices[Org]="Small"),SUMIFS(Practices_SubPractices[B],Practices_SubPractices[CP],"1",Practices_SubPractices[Org],"Small"),IF(AND(Practices_SubPractices[CP]=2,Practices_SubPractices[Org]="Small"),SUMIFS(Practices_SubPractices[B],Practices_SubPractices[CP],"2",Practices_SubPractices[Org],"Small"),IF(AND(Practices_SubPractices[CP]=3,Practices_SubPractices[Org]="Small"),SUMIFS(Practices_SubPractices[B],Practices_SubPractices[CP],"3",Practices_SubPractices[Org],"Small"),IF(AND(Practices_SubPractices[CP]=4,Practices_SubPractices[Org]="Small"),SUMIFS(Practices_SubPractices[B],Practices_SubPractices[CP],"4",Practices_SubPractices[Org],"Small"),IF(AND(Practices_SubPractices[CP]=5,Practices_SubPractices[Org]="Small"),SUMIFS(Practices_SubPractices[B],Practices_SubPractices[CP],"5",Practices_SubPractices[Org],"Small"),IF(AND(Practices_SubPractices[CP]=6,Practices_SubPractices[Org]="Small"),SUMIFS(Practices_SubPractices[B],Practices_SubPractices[CP],"6",Practices_SubPractices[Org],"Small"),IF(AND(Practices_SubPractices[CP]=7,Practices_SubPractices[Org] ="Small"),SUMIFS(Practices_SubPractices[B],Practices_SubPractices[CP],"7",Practices_SubPractices[Org],"Small"),IF(AND(Practices_SubPractices[CP]=8,Practices_SubPractices[Org] ="Small"),SUMIFS(Practices_SubPractices[B],Practices_SubPractices[CP],"8",Practices_SubPractices[Org],"Small"),IF(AND(Practices_SubPractices[CP]=9,Practices_SubPractices[Org] ="Small"),SUMIFS(Practices_SubPractices[B],Practices_SubPractices[CP],"9",Practices_SubPractices[Org],"Small"),IF(AND(Practices_SubPractices[CP]=10,Practices_SubPractices[Org] ="Small"),SUMIFS(Practices_SubPractices[B],Practices_SubPractices[CP],"10",Practices_SubPractices[Org],"Small"),IF(AND(Practices_SubPractices[CP]=1,Practices_SubPractices[Org]="Medium"),SUMIFS(Practices_SubPractices[B],Practices_SubPractices[CP],"1",Practices_SubPractices[Org],"Medium"),IF(AND(Practices_SubPractices[CP]=2,Practices_SubPractices[Org]="Medium"),SUMIFS(Practices_SubPractices[B],Practices_SubPractices[CP],"2",Practices_SubPractices[Org],"Medium"),IF(AND(Practices_SubPractices[CP]=3,Practices_SubPractices[Org]="Medium"),SUMIFS(Practices_SubPractices[B],Practices_SubPractices[CP],"3",Practices_SubPractices[Org],"Medium"),IF(AND(Practices_SubPractices[CP]=4,Practices_SubPractices[Org]="Medium"),SUMIFS(Practices_SubPractices[B],Practices_SubPractices[CP],"4",Practices_SubPractices[Org],"Medium"),IF(AND(Practices_SubPractices[CP]=5,Practices_SubPractices[Org]="Medium"),SUMIFS(Practices_SubPractices[B],Practices_SubPractices[CP],"5",Practices_SubPractices[Org],"Medium"),IF(AND(Practices_SubPractices[CP]=6,Practices_SubPractices[Org]="Medium"),SUMIFS(Practices_SubPractices[B],Practices_SubPractices[CP],"6",Practices_SubPractices[Org],"Medium"),IF(AND(Practices_SubPractices[CP]=7,Practices_SubPractices[Org] ="Medium"),SUMIFS(Practices_SubPractices[B],Practices_SubPractices[CP],"7",Practices_SubPractices[Org],"Medium"),IF(AND(Practices_SubPractices[CP]=8,Practices_SubPractices[Org] ="Medium"),SUMIFS(Practices_SubPractices[B],Practices_SubPractices[CP],"8",Practices_SubPractices[Org],"Medium"),IF(AND(Practices_SubPractices[CP]=9,Practices_SubPractices[Org] ="Medium"),SUMIFS(Practices_SubPractices[B],Practices_SubPractices[CP],"9",Practices_SubPractices[Org],"Medium"),IF(AND(Practices_SubPractices[CP]=10,Practices_SubPractices[Org] ="Medium"),SUMIFS(Practices_SubPractices[B],Practices_SubPractices[CP],"10",Practices_SubPractices[Org],"Medium"),IF(AND(Practices_SubPractices[CP]=1,Practices_SubPractices[Org]="Large"),SUMIFS(Practices_SubPractices[B],Practices_SubPractices[CP],"1",Practices_SubPractices[Org],"Large"),IF(AND(Practices_SubPractices[CP]=2,Practices_SubPractices[Org]="Large"),SUMIFS(Practices_SubPractices[B],Practices_SubPractices[CP],"2",Practices_SubPractices[Org],"Large"),IF(AND(Practices_SubPractices[CP]=3,Practices_SubPractices[Org]="Large"),SUMIFS(Practices_SubPractices[B],Practices_SubPractices[CP],"3",Practices_SubPractices[Org],"Large"),IF(AND(Practices_SubPractices[CP]=4,Practices_SubPractices[Org]="Large"),SUMIFS(Practices_SubPractices[B],Practices_SubPractices[CP],"4",Practices_SubPractices[Org],"Large"),IF(AND(Practices_SubPractices[CP]=5,Practices_SubPractices[Org]="Large"),SUMIFS(Practices_SubPractices[B],Practices_SubPractices[CP],"5",Practices_SubPractices[Org],"Large"),IF(AND(Practices_SubPractices[CP]=6,Practices_SubPractices[Org]="Large"),SUMIFS(Practices_SubPractices[B],Practices_SubPractices[CP],"6",Practices_SubPractices[Org],"Large"),IF(AND(Practices_SubPractices[CP]=7,Practices_SubPractices[Org] ="Large"),SUMIFS(Practices_SubPractices[B],Practices_SubPractices[CP],"7",Practices_SubPractices[Org],"Large"),IF(AND(Practices_SubPractices[CP]=8,Practices_SubPractices[Org] ="Large"),SUMIFS(Practices_SubPractices[B],Practices_SubPractices[CP],"8",Practices_SubPractices[Org],"Large"),IF(AND(Practices_SubPractices[CP]=9,Practices_SubPractices[Org] ="Large"),SUMIFS(Practices_SubPractices[B],Practices_SubPractices[CP],"9",Practices_SubPractices[Org],"Large"),IF(AND(Practices_SubPractices[CP]=10,Practices_SubPractices[Org] ="Large"),SUMIFS(Practices_SubPractices[B],Practices_SubPractices[CP],"10",Practices_SubPractices[Org],"Large"),"TBD"))))))))))))))))))))))))))))))</f>
        <v>6</v>
      </c>
      <c r="P118" s="77">
        <f>IF(AND(Practices_SubPractices[CP]=1,Practices_SubPractices[Org]="Small"),SUMIFS(Practices_SubPractices[C],Practices_SubPractices[CP],"1",Practices_SubPractices[Org],"Small"),IF(AND(Practices_SubPractices[CP]=2,Practices_SubPractices[Org]="Small"),SUMIFS(Practices_SubPractices[C],Practices_SubPractices[CP],"2",Practices_SubPractices[Org],"Small"),IF(AND(Practices_SubPractices[CP]=3,Practices_SubPractices[Org]="Small"),SUMIFS(Practices_SubPractices[C],Practices_SubPractices[CP],"3",Practices_SubPractices[Org],"Small"),IF(AND(Practices_SubPractices[CP]=4,Practices_SubPractices[Org]="Small"),SUMIFS(Practices_SubPractices[C],Practices_SubPractices[CP],"4",Practices_SubPractices[Org],"Small"),IF(AND(Practices_SubPractices[CP]=5,Practices_SubPractices[Org]="Small"),SUMIFS(Practices_SubPractices[C],Practices_SubPractices[CP],"5",Practices_SubPractices[Org],"Small"),IF(AND(Practices_SubPractices[CP]=6,Practices_SubPractices[Org]="Small"),SUMIFS(Practices_SubPractices[C],Practices_SubPractices[CP],"6",Practices_SubPractices[Org],"Small"),IF(AND(Practices_SubPractices[CP]=7,Practices_SubPractices[Org] ="Small"),SUMIFS(Practices_SubPractices[C],Practices_SubPractices[CP],"7",Practices_SubPractices[Org],"Small"),IF(AND(Practices_SubPractices[CP]=8,Practices_SubPractices[Org] ="Small"),SUMIFS(Practices_SubPractices[C],Practices_SubPractices[CP],"8",Practices_SubPractices[Org],"Small"),IF(AND(Practices_SubPractices[CP]=9,Practices_SubPractices[Org] ="Small"),SUMIFS(Practices_SubPractices[C],Practices_SubPractices[CP],"9",Practices_SubPractices[Org],"Small"),IF(AND(Practices_SubPractices[CP]=10,Practices_SubPractices[Org] ="Small"),SUMIFS(Practices_SubPractices[C],Practices_SubPractices[CP],"10",Practices_SubPractices[Org],"Small"),IF(AND(Practices_SubPractices[CP]=1,Practices_SubPractices[Org]="Medium"),SUMIFS(Practices_SubPractices[C],Practices_SubPractices[CP],"1",Practices_SubPractices[Org],"Medium"),IF(AND(Practices_SubPractices[CP]=2,Practices_SubPractices[Org]="Medium"),SUMIFS(Practices_SubPractices[C],Practices_SubPractices[CP],"2",Practices_SubPractices[Org],"Medium"),IF(AND(Practices_SubPractices[CP]=3,Practices_SubPractices[Org]="Medium"),SUMIFS(Practices_SubPractices[C],Practices_SubPractices[CP],"3",Practices_SubPractices[Org],"Medium"),IF(AND(Practices_SubPractices[CP]=4,Practices_SubPractices[Org]="Medium"),SUMIFS(Practices_SubPractices[C],Practices_SubPractices[CP],"4",Practices_SubPractices[Org],"Medium"),IF(AND(Practices_SubPractices[CP]=5,Practices_SubPractices[Org]="Medium"),SUMIFS(Practices_SubPractices[C],Practices_SubPractices[CP],"5",Practices_SubPractices[Org],"Medium"),IF(AND(Practices_SubPractices[CP]=6,Practices_SubPractices[Org]="Medium"),SUMIFS(Practices_SubPractices[C],Practices_SubPractices[CP],"6",Practices_SubPractices[Org],"Medium"),IF(AND(Practices_SubPractices[CP]=7,Practices_SubPractices[Org] ="Medium"),SUMIFS(Practices_SubPractices[C],Practices_SubPractices[CP],"7",Practices_SubPractices[Org],"Medium"),IF(AND(Practices_SubPractices[CP]=8,Practices_SubPractices[Org] ="Medium"),SUMIFS(Practices_SubPractices[C],Practices_SubPractices[CP],"8",Practices_SubPractices[Org],"Medium"),IF(AND(Practices_SubPractices[CP]=9,Practices_SubPractices[Org] ="Medium"),SUMIFS(Practices_SubPractices[C],Practices_SubPractices[CP],"9",Practices_SubPractices[Org],"Medium"),IF(AND(Practices_SubPractices[CP]=10,Practices_SubPractices[Org] ="Medium"),SUMIFS(Practices_SubPractices[C],Practices_SubPractices[CP],"10",Practices_SubPractices[Org],"Medium"),IF(AND(Practices_SubPractices[CP]=1,Practices_SubPractices[Org]="Large"),SUMIFS(Practices_SubPractices[C],Practices_SubPractices[CP],"1",Practices_SubPractices[Org],"Large"),IF(AND(Practices_SubPractices[CP]=2,Practices_SubPractices[Org]="Large"),SUMIFS(Practices_SubPractices[C],Practices_SubPractices[CP],"2",Practices_SubPractices[Org],"Large"),IF(AND(Practices_SubPractices[CP]=3,Practices_SubPractices[Org]="Large"),SUMIFS(Practices_SubPractices[C],Practices_SubPractices[CP],"3",Practices_SubPractices[Org],"Large"),IF(AND(Practices_SubPractices[CP]=4,Practices_SubPractices[Org]="Large"),SUMIFS(Practices_SubPractices[C],Practices_SubPractices[CP],"4",Practices_SubPractices[Org],"Large"),IF(AND(Practices_SubPractices[CP]=5,Practices_SubPractices[Org]="Large"),SUMIFS(Practices_SubPractices[C],Practices_SubPractices[CP],"5",Practices_SubPractices[Org],"Large"),IF(AND(Practices_SubPractices[CP]=6,Practices_SubPractices[Org]="Large"),SUMIFS(Practices_SubPractices[C],Practices_SubPractices[CP],"6",Practices_SubPractices[Org],"Large"),IF(AND(Practices_SubPractices[CP]=7,Practices_SubPractices[Org] ="Large"),SUMIFS(Practices_SubPractices[C],Practices_SubPractices[CP],"7",Practices_SubPractices[Org],"Large"),IF(AND(Practices_SubPractices[CP]=8,Practices_SubPractices[Org] ="Large"),SUMIFS(Practices_SubPractices[C],Practices_SubPractices[CP],"8",Practices_SubPractices[Org],"Large"),IF(AND(Practices_SubPractices[CP]=9,Practices_SubPractices[Org] ="Large"),SUMIFS(Practices_SubPractices[C],Practices_SubPractices[CP],"9",Practices_SubPractices[Org],"Large"),IF(AND(Practices_SubPractices[CP]=10,Practices_SubPractices[Org] ="Large"),SUMIFS(Practices_SubPractices[C],Practices_SubPractices[CP],"10",Practices_SubPractices[Org],"Large"),"TBD"))))))))))))))))))))))))))))))</f>
        <v>12</v>
      </c>
      <c r="Q118" s="77">
        <f>IF(AND(Practices_SubPractices[CP]=1,Practices_SubPractices[Org]="Small"),SUMIFS(Practices_SubPractices[D],Practices_SubPractices[CP],"1",Practices_SubPractices[Org],"Small"),IF(AND(Practices_SubPractices[CP]=2,Practices_SubPractices[Org]="Small"),SUMIFS(Practices_SubPractices[D],Practices_SubPractices[CP],"2",Practices_SubPractices[Org],"Small"),IF(AND(Practices_SubPractices[CP]=3,Practices_SubPractices[Org]="Small"),SUMIFS(Practices_SubPractices[D],Practices_SubPractices[CP],"3",Practices_SubPractices[Org],"Small"),IF(AND(Practices_SubPractices[CP]=4,Practices_SubPractices[Org]="Small"),SUMIFS(Practices_SubPractices[D],Practices_SubPractices[CP],"4",Practices_SubPractices[Org],"Small"),IF(AND(Practices_SubPractices[CP]=5,Practices_SubPractices[Org]="Small"),SUMIFS(Practices_SubPractices[D],Practices_SubPractices[CP],"5",Practices_SubPractices[Org],"Small"),IF(AND(Practices_SubPractices[CP]=6,Practices_SubPractices[Org]="Small"),SUMIFS(Practices_SubPractices[D],Practices_SubPractices[CP],"6",Practices_SubPractices[Org],"Small"),IF(AND(Practices_SubPractices[CP]=7,Practices_SubPractices[Org] ="Small"),SUMIFS(Practices_SubPractices[D],Practices_SubPractices[CP],"7",Practices_SubPractices[Org],"Small"),IF(AND(Practices_SubPractices[CP]=8,Practices_SubPractices[Org] ="Small"),SUMIFS(Practices_SubPractices[D],Practices_SubPractices[CP],"8",Practices_SubPractices[Org],"Small"),IF(AND(Practices_SubPractices[CP]=9,Practices_SubPractices[Org] ="Small"),SUMIFS(Practices_SubPractices[D],Practices_SubPractices[CP],"9",Practices_SubPractices[Org],"Small"),IF(AND(Practices_SubPractices[CP]=10,Practices_SubPractices[Org] ="Small"),SUMIFS(Practices_SubPractices[D],Practices_SubPractices[CP],"10",Practices_SubPractices[Org],"Small"),IF(AND(Practices_SubPractices[CP]=1,Practices_SubPractices[Org]="Medium"),SUMIFS(Practices_SubPractices[D],Practices_SubPractices[CP],"1",Practices_SubPractices[Org],"Medium"),IF(AND(Practices_SubPractices[CP]=2,Practices_SubPractices[Org]="Medium"),SUMIFS(Practices_SubPractices[D],Practices_SubPractices[CP],"2",Practices_SubPractices[Org],"Medium"),IF(AND(Practices_SubPractices[CP]=3,Practices_SubPractices[Org]="Medium"),SUMIFS(Practices_SubPractices[D],Practices_SubPractices[CP],"3",Practices_SubPractices[Org],"Medium"),IF(AND(Practices_SubPractices[CP]=4,Practices_SubPractices[Org]="Medium"),SUMIFS(Practices_SubPractices[D],Practices_SubPractices[CP],"4",Practices_SubPractices[Org],"Medium"),IF(AND(Practices_SubPractices[CP]=5,Practices_SubPractices[Org]="Medium"),SUMIFS(Practices_SubPractices[D],Practices_SubPractices[CP],"5",Practices_SubPractices[Org],"Medium"),IF(AND(Practices_SubPractices[CP]=6,Practices_SubPractices[Org]="Medium"),SUMIFS(Practices_SubPractices[D],Practices_SubPractices[CP],"6",Practices_SubPractices[Org],"Medium"),IF(AND(Practices_SubPractices[CP]=7,Practices_SubPractices[Org] ="Medium"),SUMIFS(Practices_SubPractices[D],Practices_SubPractices[CP],"7",Practices_SubPractices[Org],"Medium"),IF(AND(Practices_SubPractices[CP]=8,Practices_SubPractices[Org] ="Medium"),SUMIFS(Practices_SubPractices[D],Practices_SubPractices[CP],"8",Practices_SubPractices[Org],"Medium"),IF(AND(Practices_SubPractices[CP]=9,Practices_SubPractices[Org] ="Medium"),SUMIFS(Practices_SubPractices[D],Practices_SubPractices[CP],"9",Practices_SubPractices[Org],"Medium"),IF(AND(Practices_SubPractices[CP]=10,Practices_SubPractices[Org] ="Medium"),SUMIFS(Practices_SubPractices[D],Practices_SubPractices[CP],"10",Practices_SubPractices[Org],"Medium"),IF(AND(Practices_SubPractices[CP]=1,Practices_SubPractices[Org]="Large"),SUMIFS(Practices_SubPractices[D],Practices_SubPractices[CP],"1",Practices_SubPractices[Org],"Large"),IF(AND(Practices_SubPractices[CP]=2,Practices_SubPractices[Org]="Large"),SUMIFS(Practices_SubPractices[D],Practices_SubPractices[CP],"2",Practices_SubPractices[Org],"Large"),IF(AND(Practices_SubPractices[CP]=3,Practices_SubPractices[Org]="Large"),SUMIFS(Practices_SubPractices[D],Practices_SubPractices[CP],"3",Practices_SubPractices[Org],"Large"),IF(AND(Practices_SubPractices[CP]=4,Practices_SubPractices[Org]="Large"),SUMIFS(Practices_SubPractices[D],Practices_SubPractices[CP],"4",Practices_SubPractices[Org],"Large"),IF(AND(Practices_SubPractices[CP]=5,Practices_SubPractices[Org]="Large"),SUMIFS(Practices_SubPractices[D],Practices_SubPractices[CP],"5",Practices_SubPractices[Org],"Large"),IF(AND(Practices_SubPractices[CP]=6,Practices_SubPractices[Org]="Large"),SUMIFS(Practices_SubPractices[D],Practices_SubPractices[CP],"6",Practices_SubPractices[Org],"Large"),IF(AND(Practices_SubPractices[CP]=7,Practices_SubPractices[Org] ="Large"),SUMIFS(Practices_SubPractices[D],Practices_SubPractices[CP],"7",Practices_SubPractices[Org],"Large"),IF(AND(Practices_SubPractices[CP]=8,Practices_SubPractices[Org] ="Large"),SUMIFS(Practices_SubPractices[D],Practices_SubPractices[CP],"8",Practices_SubPractices[Org],"Large"),IF(AND(Practices_SubPractices[CP]=9,Practices_SubPractices[Org] ="Large"),SUMIFS(Practices_SubPractices[D],Practices_SubPractices[CP],"9",Practices_SubPractices[Org],"Large"),IF(AND(Practices_SubPractices[CP]=10,Practices_SubPractices[Org] ="Large"),SUMIFS(Practices_SubPractices[D],Practices_SubPractices[CP],"10",Practices_SubPractices[Org],"Large"),"TBD"))))))))))))))))))))))))))))))</f>
        <v>11</v>
      </c>
      <c r="R118" s="77">
        <f>IF(AND(Practices_SubPractices[CP]=1,Practices_SubPractices[Org]="Small"),SUMIFS(Practices_SubPractices[E],Practices_SubPractices[CP],"1",Practices_SubPractices[Org],"Small"),IF(AND(Practices_SubPractices[CP]=2,Practices_SubPractices[Org]="Small"),SUMIFS(Practices_SubPractices[E],Practices_SubPractices[CP],"2",Practices_SubPractices[Org],"Small"),IF(AND(Practices_SubPractices[CP]=3,Practices_SubPractices[Org]="Small"),SUMIFS(Practices_SubPractices[E],Practices_SubPractices[CP],"3",Practices_SubPractices[Org],"Small"),IF(AND(Practices_SubPractices[CP]=4,Practices_SubPractices[Org]="Small"),SUMIFS(Practices_SubPractices[E],Practices_SubPractices[CP],"4",Practices_SubPractices[Org],"Small"),IF(AND(Practices_SubPractices[CP]=5,Practices_SubPractices[Org]="Small"),SUMIFS(Practices_SubPractices[E],Practices_SubPractices[CP],"5",Practices_SubPractices[Org],"Small"),IF(AND(Practices_SubPractices[CP]=6,Practices_SubPractices[Org]="Small"),SUMIFS(Practices_SubPractices[E],Practices_SubPractices[CP],"6",Practices_SubPractices[Org],"Small"),IF(AND(Practices_SubPractices[CP]=7,Practices_SubPractices[Org] ="Small"),SUMIFS(Practices_SubPractices[E],Practices_SubPractices[CP],"7",Practices_SubPractices[Org],"Small"),IF(AND(Practices_SubPractices[CP]=8,Practices_SubPractices[Org] ="Small"),SUMIFS(Practices_SubPractices[E],Practices_SubPractices[CP],"8",Practices_SubPractices[Org],"Small"),IF(AND(Practices_SubPractices[CP]=9,Practices_SubPractices[Org] ="Small"),SUMIFS(Practices_SubPractices[E],Practices_SubPractices[CP],"9",Practices_SubPractices[Org],"Small"),IF(AND(Practices_SubPractices[CP]=10,Practices_SubPractices[Org] ="Small"),SUMIFS(Practices_SubPractices[E],Practices_SubPractices[CP],"10",Practices_SubPractices[Org],"Small"),IF(AND(Practices_SubPractices[CP]=1,Practices_SubPractices[Org]="Medium"),SUMIFS(Practices_SubPractices[E],Practices_SubPractices[CP],"1",Practices_SubPractices[Org],"Medium"),IF(AND(Practices_SubPractices[CP]=2,Practices_SubPractices[Org]="Medium"),SUMIFS(Practices_SubPractices[E],Practices_SubPractices[CP],"2",Practices_SubPractices[Org],"Medium"),IF(AND(Practices_SubPractices[CP]=3,Practices_SubPractices[Org]="Medium"),SUMIFS(Practices_SubPractices[E],Practices_SubPractices[CP],"3",Practices_SubPractices[Org],"Medium"),IF(AND(Practices_SubPractices[CP]=4,Practices_SubPractices[Org]="Medium"),SUMIFS(Practices_SubPractices[E],Practices_SubPractices[CP],"4",Practices_SubPractices[Org],"Medium"),IF(AND(Practices_SubPractices[CP]=5,Practices_SubPractices[Org]="Medium"),SUMIFS(Practices_SubPractices[E],Practices_SubPractices[CP],"5",Practices_SubPractices[Org],"Medium"),IF(AND(Practices_SubPractices[CP]=6,Practices_SubPractices[Org]="Medium"),SUMIFS(Practices_SubPractices[E],Practices_SubPractices[CP],"6",Practices_SubPractices[Org],"Medium"),IF(AND(Practices_SubPractices[CP]=7,Practices_SubPractices[Org] ="Medium"),SUMIFS(Practices_SubPractices[E],Practices_SubPractices[CP],"7",Practices_SubPractices[Org],"Medium"),IF(AND(Practices_SubPractices[CP]=8,Practices_SubPractices[Org] ="Medium"),SUMIFS(Practices_SubPractices[E],Practices_SubPractices[CP],"8",Practices_SubPractices[Org],"Medium"),IF(AND(Practices_SubPractices[CP]=9,Practices_SubPractices[Org] ="Medium"),SUMIFS(Practices_SubPractices[E],Practices_SubPractices[CP],"9",Practices_SubPractices[Org],"Medium"),IF(AND(Practices_SubPractices[CP]=10,Practices_SubPractices[Org] ="Medium"),SUMIFS(Practices_SubPractices[E],Practices_SubPractices[CP],"10",Practices_SubPractices[Org],"Medium"),IF(AND(Practices_SubPractices[CP]=1,Practices_SubPractices[Org]="Large"),SUMIFS(Practices_SubPractices[E],Practices_SubPractices[CP],"1",Practices_SubPractices[Org],"Large"),IF(AND(Practices_SubPractices[CP]=2,Practices_SubPractices[Org]="Large"),SUMIFS(Practices_SubPractices[E],Practices_SubPractices[CP],"2",Practices_SubPractices[Org],"Large"),IF(AND(Practices_SubPractices[CP]=3,Practices_SubPractices[Org]="Large"),SUMIFS(Practices_SubPractices[E],Practices_SubPractices[CP],"3",Practices_SubPractices[Org],"Large"),IF(AND(Practices_SubPractices[CP]=4,Practices_SubPractices[Org]="Large"),SUMIFS(Practices_SubPractices[E],Practices_SubPractices[CP],"4",Practices_SubPractices[Org],"Large"),IF(AND(Practices_SubPractices[CP]=5,Practices_SubPractices[Org]="Large"),SUMIFS(Practices_SubPractices[E],Practices_SubPractices[CP],"5",Practices_SubPractices[Org],"Large"),IF(AND(Practices_SubPractices[CP]=6,Practices_SubPractices[Org]="Large"),SUMIFS(Practices_SubPractices[E],Practices_SubPractices[CP],"6",Practices_SubPractices[Org],"Large"),IF(AND(Practices_SubPractices[CP]=7,Practices_SubPractices[Org] ="Large"),SUMIFS(Practices_SubPractices[E],Practices_SubPractices[CP],"7",Practices_SubPractices[Org],"Large"),IF(AND(Practices_SubPractices[CP]=8,Practices_SubPractices[Org] ="Large"),SUMIFS(Practices_SubPractices[E],Practices_SubPractices[CP],"8",Practices_SubPractices[Org],"Large"),IF(AND(Practices_SubPractices[CP]=9,Practices_SubPractices[Org] ="Large"),SUMIFS(Practices_SubPractices[E],Practices_SubPractices[CP],"9",Practices_SubPractices[Org],"Large"),IF(AND(Practices_SubPractices[CP]=10,Practices_SubPractices[Org] ="Large"),SUMIFS(Practices_SubPractices[E],Practices_SubPractices[CP],"10",Practices_SubPractices[Org],"Large"),"TBD"))))))))))))))))))))))))))))))</f>
        <v>5</v>
      </c>
      <c r="S118" s="87" t="s">
        <v>441</v>
      </c>
    </row>
    <row r="119" spans="1:19" x14ac:dyDescent="0.35">
      <c r="A119" s="73">
        <v>109</v>
      </c>
      <c r="B119" s="73">
        <v>6</v>
      </c>
      <c r="C119" s="80" t="s">
        <v>12</v>
      </c>
      <c r="D119" s="73" t="str">
        <f>Practices_SubPractices[[#This Row],[CP]]&amp;LEFT(Practices_SubPractices[[#This Row],[Org]],1)</f>
        <v>6L</v>
      </c>
      <c r="E119" s="73" t="s">
        <v>265</v>
      </c>
      <c r="F119" s="74" t="s">
        <v>122</v>
      </c>
      <c r="G119" s="74" t="s">
        <v>127</v>
      </c>
      <c r="H119" s="74" t="s">
        <v>240</v>
      </c>
      <c r="I119" s="75">
        <v>1</v>
      </c>
      <c r="J119" s="75">
        <v>2</v>
      </c>
      <c r="K119" s="75">
        <v>0</v>
      </c>
      <c r="L119" s="75">
        <v>2</v>
      </c>
      <c r="M119" s="75">
        <v>1</v>
      </c>
      <c r="N119" s="76"/>
      <c r="O119" s="77">
        <f>IF(AND(Practices_SubPractices[CP]=1,Practices_SubPractices[Org]="Small"),SUMIFS(Practices_SubPractices[B],Practices_SubPractices[CP],"1",Practices_SubPractices[Org],"Small"),IF(AND(Practices_SubPractices[CP]=2,Practices_SubPractices[Org]="Small"),SUMIFS(Practices_SubPractices[B],Practices_SubPractices[CP],"2",Practices_SubPractices[Org],"Small"),IF(AND(Practices_SubPractices[CP]=3,Practices_SubPractices[Org]="Small"),SUMIFS(Practices_SubPractices[B],Practices_SubPractices[CP],"3",Practices_SubPractices[Org],"Small"),IF(AND(Practices_SubPractices[CP]=4,Practices_SubPractices[Org]="Small"),SUMIFS(Practices_SubPractices[B],Practices_SubPractices[CP],"4",Practices_SubPractices[Org],"Small"),IF(AND(Practices_SubPractices[CP]=5,Practices_SubPractices[Org]="Small"),SUMIFS(Practices_SubPractices[B],Practices_SubPractices[CP],"5",Practices_SubPractices[Org],"Small"),IF(AND(Practices_SubPractices[CP]=6,Practices_SubPractices[Org]="Small"),SUMIFS(Practices_SubPractices[B],Practices_SubPractices[CP],"6",Practices_SubPractices[Org],"Small"),IF(AND(Practices_SubPractices[CP]=7,Practices_SubPractices[Org] ="Small"),SUMIFS(Practices_SubPractices[B],Practices_SubPractices[CP],"7",Practices_SubPractices[Org],"Small"),IF(AND(Practices_SubPractices[CP]=8,Practices_SubPractices[Org] ="Small"),SUMIFS(Practices_SubPractices[B],Practices_SubPractices[CP],"8",Practices_SubPractices[Org],"Small"),IF(AND(Practices_SubPractices[CP]=9,Practices_SubPractices[Org] ="Small"),SUMIFS(Practices_SubPractices[B],Practices_SubPractices[CP],"9",Practices_SubPractices[Org],"Small"),IF(AND(Practices_SubPractices[CP]=10,Practices_SubPractices[Org] ="Small"),SUMIFS(Practices_SubPractices[B],Practices_SubPractices[CP],"10",Practices_SubPractices[Org],"Small"),IF(AND(Practices_SubPractices[CP]=1,Practices_SubPractices[Org]="Medium"),SUMIFS(Practices_SubPractices[B],Practices_SubPractices[CP],"1",Practices_SubPractices[Org],"Medium"),IF(AND(Practices_SubPractices[CP]=2,Practices_SubPractices[Org]="Medium"),SUMIFS(Practices_SubPractices[B],Practices_SubPractices[CP],"2",Practices_SubPractices[Org],"Medium"),IF(AND(Practices_SubPractices[CP]=3,Practices_SubPractices[Org]="Medium"),SUMIFS(Practices_SubPractices[B],Practices_SubPractices[CP],"3",Practices_SubPractices[Org],"Medium"),IF(AND(Practices_SubPractices[CP]=4,Practices_SubPractices[Org]="Medium"),SUMIFS(Practices_SubPractices[B],Practices_SubPractices[CP],"4",Practices_SubPractices[Org],"Medium"),IF(AND(Practices_SubPractices[CP]=5,Practices_SubPractices[Org]="Medium"),SUMIFS(Practices_SubPractices[B],Practices_SubPractices[CP],"5",Practices_SubPractices[Org],"Medium"),IF(AND(Practices_SubPractices[CP]=6,Practices_SubPractices[Org]="Medium"),SUMIFS(Practices_SubPractices[B],Practices_SubPractices[CP],"6",Practices_SubPractices[Org],"Medium"),IF(AND(Practices_SubPractices[CP]=7,Practices_SubPractices[Org] ="Medium"),SUMIFS(Practices_SubPractices[B],Practices_SubPractices[CP],"7",Practices_SubPractices[Org],"Medium"),IF(AND(Practices_SubPractices[CP]=8,Practices_SubPractices[Org] ="Medium"),SUMIFS(Practices_SubPractices[B],Practices_SubPractices[CP],"8",Practices_SubPractices[Org],"Medium"),IF(AND(Practices_SubPractices[CP]=9,Practices_SubPractices[Org] ="Medium"),SUMIFS(Practices_SubPractices[B],Practices_SubPractices[CP],"9",Practices_SubPractices[Org],"Medium"),IF(AND(Practices_SubPractices[CP]=10,Practices_SubPractices[Org] ="Medium"),SUMIFS(Practices_SubPractices[B],Practices_SubPractices[CP],"10",Practices_SubPractices[Org],"Medium"),IF(AND(Practices_SubPractices[CP]=1,Practices_SubPractices[Org]="Large"),SUMIFS(Practices_SubPractices[B],Practices_SubPractices[CP],"1",Practices_SubPractices[Org],"Large"),IF(AND(Practices_SubPractices[CP]=2,Practices_SubPractices[Org]="Large"),SUMIFS(Practices_SubPractices[B],Practices_SubPractices[CP],"2",Practices_SubPractices[Org],"Large"),IF(AND(Practices_SubPractices[CP]=3,Practices_SubPractices[Org]="Large"),SUMIFS(Practices_SubPractices[B],Practices_SubPractices[CP],"3",Practices_SubPractices[Org],"Large"),IF(AND(Practices_SubPractices[CP]=4,Practices_SubPractices[Org]="Large"),SUMIFS(Practices_SubPractices[B],Practices_SubPractices[CP],"4",Practices_SubPractices[Org],"Large"),IF(AND(Practices_SubPractices[CP]=5,Practices_SubPractices[Org]="Large"),SUMIFS(Practices_SubPractices[B],Practices_SubPractices[CP],"5",Practices_SubPractices[Org],"Large"),IF(AND(Practices_SubPractices[CP]=6,Practices_SubPractices[Org]="Large"),SUMIFS(Practices_SubPractices[B],Practices_SubPractices[CP],"6",Practices_SubPractices[Org],"Large"),IF(AND(Practices_SubPractices[CP]=7,Practices_SubPractices[Org] ="Large"),SUMIFS(Practices_SubPractices[B],Practices_SubPractices[CP],"7",Practices_SubPractices[Org],"Large"),IF(AND(Practices_SubPractices[CP]=8,Practices_SubPractices[Org] ="Large"),SUMIFS(Practices_SubPractices[B],Practices_SubPractices[CP],"8",Practices_SubPractices[Org],"Large"),IF(AND(Practices_SubPractices[CP]=9,Practices_SubPractices[Org] ="Large"),SUMIFS(Practices_SubPractices[B],Practices_SubPractices[CP],"9",Practices_SubPractices[Org],"Large"),IF(AND(Practices_SubPractices[CP]=10,Practices_SubPractices[Org] ="Large"),SUMIFS(Practices_SubPractices[B],Practices_SubPractices[CP],"10",Practices_SubPractices[Org],"Large"),"TBD"))))))))))))))))))))))))))))))</f>
        <v>15</v>
      </c>
      <c r="P119" s="77">
        <f>IF(AND(Practices_SubPractices[CP]=1,Practices_SubPractices[Org]="Small"),SUMIFS(Practices_SubPractices[C],Practices_SubPractices[CP],"1",Practices_SubPractices[Org],"Small"),IF(AND(Practices_SubPractices[CP]=2,Practices_SubPractices[Org]="Small"),SUMIFS(Practices_SubPractices[C],Practices_SubPractices[CP],"2",Practices_SubPractices[Org],"Small"),IF(AND(Practices_SubPractices[CP]=3,Practices_SubPractices[Org]="Small"),SUMIFS(Practices_SubPractices[C],Practices_SubPractices[CP],"3",Practices_SubPractices[Org],"Small"),IF(AND(Practices_SubPractices[CP]=4,Practices_SubPractices[Org]="Small"),SUMIFS(Practices_SubPractices[C],Practices_SubPractices[CP],"4",Practices_SubPractices[Org],"Small"),IF(AND(Practices_SubPractices[CP]=5,Practices_SubPractices[Org]="Small"),SUMIFS(Practices_SubPractices[C],Practices_SubPractices[CP],"5",Practices_SubPractices[Org],"Small"),IF(AND(Practices_SubPractices[CP]=6,Practices_SubPractices[Org]="Small"),SUMIFS(Practices_SubPractices[C],Practices_SubPractices[CP],"6",Practices_SubPractices[Org],"Small"),IF(AND(Practices_SubPractices[CP]=7,Practices_SubPractices[Org] ="Small"),SUMIFS(Practices_SubPractices[C],Practices_SubPractices[CP],"7",Practices_SubPractices[Org],"Small"),IF(AND(Practices_SubPractices[CP]=8,Practices_SubPractices[Org] ="Small"),SUMIFS(Practices_SubPractices[C],Practices_SubPractices[CP],"8",Practices_SubPractices[Org],"Small"),IF(AND(Practices_SubPractices[CP]=9,Practices_SubPractices[Org] ="Small"),SUMIFS(Practices_SubPractices[C],Practices_SubPractices[CP],"9",Practices_SubPractices[Org],"Small"),IF(AND(Practices_SubPractices[CP]=10,Practices_SubPractices[Org] ="Small"),SUMIFS(Practices_SubPractices[C],Practices_SubPractices[CP],"10",Practices_SubPractices[Org],"Small"),IF(AND(Practices_SubPractices[CP]=1,Practices_SubPractices[Org]="Medium"),SUMIFS(Practices_SubPractices[C],Practices_SubPractices[CP],"1",Practices_SubPractices[Org],"Medium"),IF(AND(Practices_SubPractices[CP]=2,Practices_SubPractices[Org]="Medium"),SUMIFS(Practices_SubPractices[C],Practices_SubPractices[CP],"2",Practices_SubPractices[Org],"Medium"),IF(AND(Practices_SubPractices[CP]=3,Practices_SubPractices[Org]="Medium"),SUMIFS(Practices_SubPractices[C],Practices_SubPractices[CP],"3",Practices_SubPractices[Org],"Medium"),IF(AND(Practices_SubPractices[CP]=4,Practices_SubPractices[Org]="Medium"),SUMIFS(Practices_SubPractices[C],Practices_SubPractices[CP],"4",Practices_SubPractices[Org],"Medium"),IF(AND(Practices_SubPractices[CP]=5,Practices_SubPractices[Org]="Medium"),SUMIFS(Practices_SubPractices[C],Practices_SubPractices[CP],"5",Practices_SubPractices[Org],"Medium"),IF(AND(Practices_SubPractices[CP]=6,Practices_SubPractices[Org]="Medium"),SUMIFS(Practices_SubPractices[C],Practices_SubPractices[CP],"6",Practices_SubPractices[Org],"Medium"),IF(AND(Practices_SubPractices[CP]=7,Practices_SubPractices[Org] ="Medium"),SUMIFS(Practices_SubPractices[C],Practices_SubPractices[CP],"7",Practices_SubPractices[Org],"Medium"),IF(AND(Practices_SubPractices[CP]=8,Practices_SubPractices[Org] ="Medium"),SUMIFS(Practices_SubPractices[C],Practices_SubPractices[CP],"8",Practices_SubPractices[Org],"Medium"),IF(AND(Practices_SubPractices[CP]=9,Practices_SubPractices[Org] ="Medium"),SUMIFS(Practices_SubPractices[C],Practices_SubPractices[CP],"9",Practices_SubPractices[Org],"Medium"),IF(AND(Practices_SubPractices[CP]=10,Practices_SubPractices[Org] ="Medium"),SUMIFS(Practices_SubPractices[C],Practices_SubPractices[CP],"10",Practices_SubPractices[Org],"Medium"),IF(AND(Practices_SubPractices[CP]=1,Practices_SubPractices[Org]="Large"),SUMIFS(Practices_SubPractices[C],Practices_SubPractices[CP],"1",Practices_SubPractices[Org],"Large"),IF(AND(Practices_SubPractices[CP]=2,Practices_SubPractices[Org]="Large"),SUMIFS(Practices_SubPractices[C],Practices_SubPractices[CP],"2",Practices_SubPractices[Org],"Large"),IF(AND(Practices_SubPractices[CP]=3,Practices_SubPractices[Org]="Large"),SUMIFS(Practices_SubPractices[C],Practices_SubPractices[CP],"3",Practices_SubPractices[Org],"Large"),IF(AND(Practices_SubPractices[CP]=4,Practices_SubPractices[Org]="Large"),SUMIFS(Practices_SubPractices[C],Practices_SubPractices[CP],"4",Practices_SubPractices[Org],"Large"),IF(AND(Practices_SubPractices[CP]=5,Practices_SubPractices[Org]="Large"),SUMIFS(Practices_SubPractices[C],Practices_SubPractices[CP],"5",Practices_SubPractices[Org],"Large"),IF(AND(Practices_SubPractices[CP]=6,Practices_SubPractices[Org]="Large"),SUMIFS(Practices_SubPractices[C],Practices_SubPractices[CP],"6",Practices_SubPractices[Org],"Large"),IF(AND(Practices_SubPractices[CP]=7,Practices_SubPractices[Org] ="Large"),SUMIFS(Practices_SubPractices[C],Practices_SubPractices[CP],"7",Practices_SubPractices[Org],"Large"),IF(AND(Practices_SubPractices[CP]=8,Practices_SubPractices[Org] ="Large"),SUMIFS(Practices_SubPractices[C],Practices_SubPractices[CP],"8",Practices_SubPractices[Org],"Large"),IF(AND(Practices_SubPractices[CP]=9,Practices_SubPractices[Org] ="Large"),SUMIFS(Practices_SubPractices[C],Practices_SubPractices[CP],"9",Practices_SubPractices[Org],"Large"),IF(AND(Practices_SubPractices[CP]=10,Practices_SubPractices[Org] ="Large"),SUMIFS(Practices_SubPractices[C],Practices_SubPractices[CP],"10",Practices_SubPractices[Org],"Large"),"TBD"))))))))))))))))))))))))))))))</f>
        <v>2</v>
      </c>
      <c r="Q119" s="77">
        <f>IF(AND(Practices_SubPractices[CP]=1,Practices_SubPractices[Org]="Small"),SUMIFS(Practices_SubPractices[D],Practices_SubPractices[CP],"1",Practices_SubPractices[Org],"Small"),IF(AND(Practices_SubPractices[CP]=2,Practices_SubPractices[Org]="Small"),SUMIFS(Practices_SubPractices[D],Practices_SubPractices[CP],"2",Practices_SubPractices[Org],"Small"),IF(AND(Practices_SubPractices[CP]=3,Practices_SubPractices[Org]="Small"),SUMIFS(Practices_SubPractices[D],Practices_SubPractices[CP],"3",Practices_SubPractices[Org],"Small"),IF(AND(Practices_SubPractices[CP]=4,Practices_SubPractices[Org]="Small"),SUMIFS(Practices_SubPractices[D],Practices_SubPractices[CP],"4",Practices_SubPractices[Org],"Small"),IF(AND(Practices_SubPractices[CP]=5,Practices_SubPractices[Org]="Small"),SUMIFS(Practices_SubPractices[D],Practices_SubPractices[CP],"5",Practices_SubPractices[Org],"Small"),IF(AND(Practices_SubPractices[CP]=6,Practices_SubPractices[Org]="Small"),SUMIFS(Practices_SubPractices[D],Practices_SubPractices[CP],"6",Practices_SubPractices[Org],"Small"),IF(AND(Practices_SubPractices[CP]=7,Practices_SubPractices[Org] ="Small"),SUMIFS(Practices_SubPractices[D],Practices_SubPractices[CP],"7",Practices_SubPractices[Org],"Small"),IF(AND(Practices_SubPractices[CP]=8,Practices_SubPractices[Org] ="Small"),SUMIFS(Practices_SubPractices[D],Practices_SubPractices[CP],"8",Practices_SubPractices[Org],"Small"),IF(AND(Practices_SubPractices[CP]=9,Practices_SubPractices[Org] ="Small"),SUMIFS(Practices_SubPractices[D],Practices_SubPractices[CP],"9",Practices_SubPractices[Org],"Small"),IF(AND(Practices_SubPractices[CP]=10,Practices_SubPractices[Org] ="Small"),SUMIFS(Practices_SubPractices[D],Practices_SubPractices[CP],"10",Practices_SubPractices[Org],"Small"),IF(AND(Practices_SubPractices[CP]=1,Practices_SubPractices[Org]="Medium"),SUMIFS(Practices_SubPractices[D],Practices_SubPractices[CP],"1",Practices_SubPractices[Org],"Medium"),IF(AND(Practices_SubPractices[CP]=2,Practices_SubPractices[Org]="Medium"),SUMIFS(Practices_SubPractices[D],Practices_SubPractices[CP],"2",Practices_SubPractices[Org],"Medium"),IF(AND(Practices_SubPractices[CP]=3,Practices_SubPractices[Org]="Medium"),SUMIFS(Practices_SubPractices[D],Practices_SubPractices[CP],"3",Practices_SubPractices[Org],"Medium"),IF(AND(Practices_SubPractices[CP]=4,Practices_SubPractices[Org]="Medium"),SUMIFS(Practices_SubPractices[D],Practices_SubPractices[CP],"4",Practices_SubPractices[Org],"Medium"),IF(AND(Practices_SubPractices[CP]=5,Practices_SubPractices[Org]="Medium"),SUMIFS(Practices_SubPractices[D],Practices_SubPractices[CP],"5",Practices_SubPractices[Org],"Medium"),IF(AND(Practices_SubPractices[CP]=6,Practices_SubPractices[Org]="Medium"),SUMIFS(Practices_SubPractices[D],Practices_SubPractices[CP],"6",Practices_SubPractices[Org],"Medium"),IF(AND(Practices_SubPractices[CP]=7,Practices_SubPractices[Org] ="Medium"),SUMIFS(Practices_SubPractices[D],Practices_SubPractices[CP],"7",Practices_SubPractices[Org],"Medium"),IF(AND(Practices_SubPractices[CP]=8,Practices_SubPractices[Org] ="Medium"),SUMIFS(Practices_SubPractices[D],Practices_SubPractices[CP],"8",Practices_SubPractices[Org],"Medium"),IF(AND(Practices_SubPractices[CP]=9,Practices_SubPractices[Org] ="Medium"),SUMIFS(Practices_SubPractices[D],Practices_SubPractices[CP],"9",Practices_SubPractices[Org],"Medium"),IF(AND(Practices_SubPractices[CP]=10,Practices_SubPractices[Org] ="Medium"),SUMIFS(Practices_SubPractices[D],Practices_SubPractices[CP],"10",Practices_SubPractices[Org],"Medium"),IF(AND(Practices_SubPractices[CP]=1,Practices_SubPractices[Org]="Large"),SUMIFS(Practices_SubPractices[D],Practices_SubPractices[CP],"1",Practices_SubPractices[Org],"Large"),IF(AND(Practices_SubPractices[CP]=2,Practices_SubPractices[Org]="Large"),SUMIFS(Practices_SubPractices[D],Practices_SubPractices[CP],"2",Practices_SubPractices[Org],"Large"),IF(AND(Practices_SubPractices[CP]=3,Practices_SubPractices[Org]="Large"),SUMIFS(Practices_SubPractices[D],Practices_SubPractices[CP],"3",Practices_SubPractices[Org],"Large"),IF(AND(Practices_SubPractices[CP]=4,Practices_SubPractices[Org]="Large"),SUMIFS(Practices_SubPractices[D],Practices_SubPractices[CP],"4",Practices_SubPractices[Org],"Large"),IF(AND(Practices_SubPractices[CP]=5,Practices_SubPractices[Org]="Large"),SUMIFS(Practices_SubPractices[D],Practices_SubPractices[CP],"5",Practices_SubPractices[Org],"Large"),IF(AND(Practices_SubPractices[CP]=6,Practices_SubPractices[Org]="Large"),SUMIFS(Practices_SubPractices[D],Practices_SubPractices[CP],"6",Practices_SubPractices[Org],"Large"),IF(AND(Practices_SubPractices[CP]=7,Practices_SubPractices[Org] ="Large"),SUMIFS(Practices_SubPractices[D],Practices_SubPractices[CP],"7",Practices_SubPractices[Org],"Large"),IF(AND(Practices_SubPractices[CP]=8,Practices_SubPractices[Org] ="Large"),SUMIFS(Practices_SubPractices[D],Practices_SubPractices[CP],"8",Practices_SubPractices[Org],"Large"),IF(AND(Practices_SubPractices[CP]=9,Practices_SubPractices[Org] ="Large"),SUMIFS(Practices_SubPractices[D],Practices_SubPractices[CP],"9",Practices_SubPractices[Org],"Large"),IF(AND(Practices_SubPractices[CP]=10,Practices_SubPractices[Org] ="Large"),SUMIFS(Practices_SubPractices[D],Practices_SubPractices[CP],"10",Practices_SubPractices[Org],"Large"),"TBD"))))))))))))))))))))))))))))))</f>
        <v>13</v>
      </c>
      <c r="R119" s="77">
        <f>IF(AND(Practices_SubPractices[CP]=1,Practices_SubPractices[Org]="Small"),SUMIFS(Practices_SubPractices[E],Practices_SubPractices[CP],"1",Practices_SubPractices[Org],"Small"),IF(AND(Practices_SubPractices[CP]=2,Practices_SubPractices[Org]="Small"),SUMIFS(Practices_SubPractices[E],Practices_SubPractices[CP],"2",Practices_SubPractices[Org],"Small"),IF(AND(Practices_SubPractices[CP]=3,Practices_SubPractices[Org]="Small"),SUMIFS(Practices_SubPractices[E],Practices_SubPractices[CP],"3",Practices_SubPractices[Org],"Small"),IF(AND(Practices_SubPractices[CP]=4,Practices_SubPractices[Org]="Small"),SUMIFS(Practices_SubPractices[E],Practices_SubPractices[CP],"4",Practices_SubPractices[Org],"Small"),IF(AND(Practices_SubPractices[CP]=5,Practices_SubPractices[Org]="Small"),SUMIFS(Practices_SubPractices[E],Practices_SubPractices[CP],"5",Practices_SubPractices[Org],"Small"),IF(AND(Practices_SubPractices[CP]=6,Practices_SubPractices[Org]="Small"),SUMIFS(Practices_SubPractices[E],Practices_SubPractices[CP],"6",Practices_SubPractices[Org],"Small"),IF(AND(Practices_SubPractices[CP]=7,Practices_SubPractices[Org] ="Small"),SUMIFS(Practices_SubPractices[E],Practices_SubPractices[CP],"7",Practices_SubPractices[Org],"Small"),IF(AND(Practices_SubPractices[CP]=8,Practices_SubPractices[Org] ="Small"),SUMIFS(Practices_SubPractices[E],Practices_SubPractices[CP],"8",Practices_SubPractices[Org],"Small"),IF(AND(Practices_SubPractices[CP]=9,Practices_SubPractices[Org] ="Small"),SUMIFS(Practices_SubPractices[E],Practices_SubPractices[CP],"9",Practices_SubPractices[Org],"Small"),IF(AND(Practices_SubPractices[CP]=10,Practices_SubPractices[Org] ="Small"),SUMIFS(Practices_SubPractices[E],Practices_SubPractices[CP],"10",Practices_SubPractices[Org],"Small"),IF(AND(Practices_SubPractices[CP]=1,Practices_SubPractices[Org]="Medium"),SUMIFS(Practices_SubPractices[E],Practices_SubPractices[CP],"1",Practices_SubPractices[Org],"Medium"),IF(AND(Practices_SubPractices[CP]=2,Practices_SubPractices[Org]="Medium"),SUMIFS(Practices_SubPractices[E],Practices_SubPractices[CP],"2",Practices_SubPractices[Org],"Medium"),IF(AND(Practices_SubPractices[CP]=3,Practices_SubPractices[Org]="Medium"),SUMIFS(Practices_SubPractices[E],Practices_SubPractices[CP],"3",Practices_SubPractices[Org],"Medium"),IF(AND(Practices_SubPractices[CP]=4,Practices_SubPractices[Org]="Medium"),SUMIFS(Practices_SubPractices[E],Practices_SubPractices[CP],"4",Practices_SubPractices[Org],"Medium"),IF(AND(Practices_SubPractices[CP]=5,Practices_SubPractices[Org]="Medium"),SUMIFS(Practices_SubPractices[E],Practices_SubPractices[CP],"5",Practices_SubPractices[Org],"Medium"),IF(AND(Practices_SubPractices[CP]=6,Practices_SubPractices[Org]="Medium"),SUMIFS(Practices_SubPractices[E],Practices_SubPractices[CP],"6",Practices_SubPractices[Org],"Medium"),IF(AND(Practices_SubPractices[CP]=7,Practices_SubPractices[Org] ="Medium"),SUMIFS(Practices_SubPractices[E],Practices_SubPractices[CP],"7",Practices_SubPractices[Org],"Medium"),IF(AND(Practices_SubPractices[CP]=8,Practices_SubPractices[Org] ="Medium"),SUMIFS(Practices_SubPractices[E],Practices_SubPractices[CP],"8",Practices_SubPractices[Org],"Medium"),IF(AND(Practices_SubPractices[CP]=9,Practices_SubPractices[Org] ="Medium"),SUMIFS(Practices_SubPractices[E],Practices_SubPractices[CP],"9",Practices_SubPractices[Org],"Medium"),IF(AND(Practices_SubPractices[CP]=10,Practices_SubPractices[Org] ="Medium"),SUMIFS(Practices_SubPractices[E],Practices_SubPractices[CP],"10",Practices_SubPractices[Org],"Medium"),IF(AND(Practices_SubPractices[CP]=1,Practices_SubPractices[Org]="Large"),SUMIFS(Practices_SubPractices[E],Practices_SubPractices[CP],"1",Practices_SubPractices[Org],"Large"),IF(AND(Practices_SubPractices[CP]=2,Practices_SubPractices[Org]="Large"),SUMIFS(Practices_SubPractices[E],Practices_SubPractices[CP],"2",Practices_SubPractices[Org],"Large"),IF(AND(Practices_SubPractices[CP]=3,Practices_SubPractices[Org]="Large"),SUMIFS(Practices_SubPractices[E],Practices_SubPractices[CP],"3",Practices_SubPractices[Org],"Large"),IF(AND(Practices_SubPractices[CP]=4,Practices_SubPractices[Org]="Large"),SUMIFS(Practices_SubPractices[E],Practices_SubPractices[CP],"4",Practices_SubPractices[Org],"Large"),IF(AND(Practices_SubPractices[CP]=5,Practices_SubPractices[Org]="Large"),SUMIFS(Practices_SubPractices[E],Practices_SubPractices[CP],"5",Practices_SubPractices[Org],"Large"),IF(AND(Practices_SubPractices[CP]=6,Practices_SubPractices[Org]="Large"),SUMIFS(Practices_SubPractices[E],Practices_SubPractices[CP],"6",Practices_SubPractices[Org],"Large"),IF(AND(Practices_SubPractices[CP]=7,Practices_SubPractices[Org] ="Large"),SUMIFS(Practices_SubPractices[E],Practices_SubPractices[CP],"7",Practices_SubPractices[Org],"Large"),IF(AND(Practices_SubPractices[CP]=8,Practices_SubPractices[Org] ="Large"),SUMIFS(Practices_SubPractices[E],Practices_SubPractices[CP],"8",Practices_SubPractices[Org],"Large"),IF(AND(Practices_SubPractices[CP]=9,Practices_SubPractices[Org] ="Large"),SUMIFS(Practices_SubPractices[E],Practices_SubPractices[CP],"9",Practices_SubPractices[Org],"Large"),IF(AND(Practices_SubPractices[CP]=10,Practices_SubPractices[Org] ="Large"),SUMIFS(Practices_SubPractices[E],Practices_SubPractices[CP],"10",Practices_SubPractices[Org],"Large"),"TBD"))))))))))))))))))))))))))))))</f>
        <v>12</v>
      </c>
      <c r="S119" s="87" t="s">
        <v>442</v>
      </c>
    </row>
    <row r="120" spans="1:19" x14ac:dyDescent="0.35">
      <c r="A120" s="73">
        <v>110</v>
      </c>
      <c r="B120" s="73">
        <v>6</v>
      </c>
      <c r="C120" s="80" t="s">
        <v>12</v>
      </c>
      <c r="D120" s="73" t="str">
        <f>Practices_SubPractices[[#This Row],[CP]]&amp;LEFT(Practices_SubPractices[[#This Row],[Org]],1)</f>
        <v>6L</v>
      </c>
      <c r="E120" s="73" t="s">
        <v>266</v>
      </c>
      <c r="F120" s="74" t="s">
        <v>123</v>
      </c>
      <c r="G120" s="74" t="s">
        <v>128</v>
      </c>
      <c r="H120" s="74" t="s">
        <v>241</v>
      </c>
      <c r="I120" s="75">
        <v>0</v>
      </c>
      <c r="J120" s="75">
        <v>1</v>
      </c>
      <c r="K120" s="75">
        <v>0</v>
      </c>
      <c r="L120" s="75">
        <v>1</v>
      </c>
      <c r="M120" s="75">
        <v>1</v>
      </c>
      <c r="N120" s="76"/>
      <c r="O120" s="77">
        <f>IF(AND(Practices_SubPractices[CP]=1,Practices_SubPractices[Org]="Small"),SUMIFS(Practices_SubPractices[B],Practices_SubPractices[CP],"1",Practices_SubPractices[Org],"Small"),IF(AND(Practices_SubPractices[CP]=2,Practices_SubPractices[Org]="Small"),SUMIFS(Practices_SubPractices[B],Practices_SubPractices[CP],"2",Practices_SubPractices[Org],"Small"),IF(AND(Practices_SubPractices[CP]=3,Practices_SubPractices[Org]="Small"),SUMIFS(Practices_SubPractices[B],Practices_SubPractices[CP],"3",Practices_SubPractices[Org],"Small"),IF(AND(Practices_SubPractices[CP]=4,Practices_SubPractices[Org]="Small"),SUMIFS(Practices_SubPractices[B],Practices_SubPractices[CP],"4",Practices_SubPractices[Org],"Small"),IF(AND(Practices_SubPractices[CP]=5,Practices_SubPractices[Org]="Small"),SUMIFS(Practices_SubPractices[B],Practices_SubPractices[CP],"5",Practices_SubPractices[Org],"Small"),IF(AND(Practices_SubPractices[CP]=6,Practices_SubPractices[Org]="Small"),SUMIFS(Practices_SubPractices[B],Practices_SubPractices[CP],"6",Practices_SubPractices[Org],"Small"),IF(AND(Practices_SubPractices[CP]=7,Practices_SubPractices[Org] ="Small"),SUMIFS(Practices_SubPractices[B],Practices_SubPractices[CP],"7",Practices_SubPractices[Org],"Small"),IF(AND(Practices_SubPractices[CP]=8,Practices_SubPractices[Org] ="Small"),SUMIFS(Practices_SubPractices[B],Practices_SubPractices[CP],"8",Practices_SubPractices[Org],"Small"),IF(AND(Practices_SubPractices[CP]=9,Practices_SubPractices[Org] ="Small"),SUMIFS(Practices_SubPractices[B],Practices_SubPractices[CP],"9",Practices_SubPractices[Org],"Small"),IF(AND(Practices_SubPractices[CP]=10,Practices_SubPractices[Org] ="Small"),SUMIFS(Practices_SubPractices[B],Practices_SubPractices[CP],"10",Practices_SubPractices[Org],"Small"),IF(AND(Practices_SubPractices[CP]=1,Practices_SubPractices[Org]="Medium"),SUMIFS(Practices_SubPractices[B],Practices_SubPractices[CP],"1",Practices_SubPractices[Org],"Medium"),IF(AND(Practices_SubPractices[CP]=2,Practices_SubPractices[Org]="Medium"),SUMIFS(Practices_SubPractices[B],Practices_SubPractices[CP],"2",Practices_SubPractices[Org],"Medium"),IF(AND(Practices_SubPractices[CP]=3,Practices_SubPractices[Org]="Medium"),SUMIFS(Practices_SubPractices[B],Practices_SubPractices[CP],"3",Practices_SubPractices[Org],"Medium"),IF(AND(Practices_SubPractices[CP]=4,Practices_SubPractices[Org]="Medium"),SUMIFS(Practices_SubPractices[B],Practices_SubPractices[CP],"4",Practices_SubPractices[Org],"Medium"),IF(AND(Practices_SubPractices[CP]=5,Practices_SubPractices[Org]="Medium"),SUMIFS(Practices_SubPractices[B],Practices_SubPractices[CP],"5",Practices_SubPractices[Org],"Medium"),IF(AND(Practices_SubPractices[CP]=6,Practices_SubPractices[Org]="Medium"),SUMIFS(Practices_SubPractices[B],Practices_SubPractices[CP],"6",Practices_SubPractices[Org],"Medium"),IF(AND(Practices_SubPractices[CP]=7,Practices_SubPractices[Org] ="Medium"),SUMIFS(Practices_SubPractices[B],Practices_SubPractices[CP],"7",Practices_SubPractices[Org],"Medium"),IF(AND(Practices_SubPractices[CP]=8,Practices_SubPractices[Org] ="Medium"),SUMIFS(Practices_SubPractices[B],Practices_SubPractices[CP],"8",Practices_SubPractices[Org],"Medium"),IF(AND(Practices_SubPractices[CP]=9,Practices_SubPractices[Org] ="Medium"),SUMIFS(Practices_SubPractices[B],Practices_SubPractices[CP],"9",Practices_SubPractices[Org],"Medium"),IF(AND(Practices_SubPractices[CP]=10,Practices_SubPractices[Org] ="Medium"),SUMIFS(Practices_SubPractices[B],Practices_SubPractices[CP],"10",Practices_SubPractices[Org],"Medium"),IF(AND(Practices_SubPractices[CP]=1,Practices_SubPractices[Org]="Large"),SUMIFS(Practices_SubPractices[B],Practices_SubPractices[CP],"1",Practices_SubPractices[Org],"Large"),IF(AND(Practices_SubPractices[CP]=2,Practices_SubPractices[Org]="Large"),SUMIFS(Practices_SubPractices[B],Practices_SubPractices[CP],"2",Practices_SubPractices[Org],"Large"),IF(AND(Practices_SubPractices[CP]=3,Practices_SubPractices[Org]="Large"),SUMIFS(Practices_SubPractices[B],Practices_SubPractices[CP],"3",Practices_SubPractices[Org],"Large"),IF(AND(Practices_SubPractices[CP]=4,Practices_SubPractices[Org]="Large"),SUMIFS(Practices_SubPractices[B],Practices_SubPractices[CP],"4",Practices_SubPractices[Org],"Large"),IF(AND(Practices_SubPractices[CP]=5,Practices_SubPractices[Org]="Large"),SUMIFS(Practices_SubPractices[B],Practices_SubPractices[CP],"5",Practices_SubPractices[Org],"Large"),IF(AND(Practices_SubPractices[CP]=6,Practices_SubPractices[Org]="Large"),SUMIFS(Practices_SubPractices[B],Practices_SubPractices[CP],"6",Practices_SubPractices[Org],"Large"),IF(AND(Practices_SubPractices[CP]=7,Practices_SubPractices[Org] ="Large"),SUMIFS(Practices_SubPractices[B],Practices_SubPractices[CP],"7",Practices_SubPractices[Org],"Large"),IF(AND(Practices_SubPractices[CP]=8,Practices_SubPractices[Org] ="Large"),SUMIFS(Practices_SubPractices[B],Practices_SubPractices[CP],"8",Practices_SubPractices[Org],"Large"),IF(AND(Practices_SubPractices[CP]=9,Practices_SubPractices[Org] ="Large"),SUMIFS(Practices_SubPractices[B],Practices_SubPractices[CP],"9",Practices_SubPractices[Org],"Large"),IF(AND(Practices_SubPractices[CP]=10,Practices_SubPractices[Org] ="Large"),SUMIFS(Practices_SubPractices[B],Practices_SubPractices[CP],"10",Practices_SubPractices[Org],"Large"),"TBD"))))))))))))))))))))))))))))))</f>
        <v>15</v>
      </c>
      <c r="P120" s="77">
        <f>IF(AND(Practices_SubPractices[CP]=1,Practices_SubPractices[Org]="Small"),SUMIFS(Practices_SubPractices[C],Practices_SubPractices[CP],"1",Practices_SubPractices[Org],"Small"),IF(AND(Practices_SubPractices[CP]=2,Practices_SubPractices[Org]="Small"),SUMIFS(Practices_SubPractices[C],Practices_SubPractices[CP],"2",Practices_SubPractices[Org],"Small"),IF(AND(Practices_SubPractices[CP]=3,Practices_SubPractices[Org]="Small"),SUMIFS(Practices_SubPractices[C],Practices_SubPractices[CP],"3",Practices_SubPractices[Org],"Small"),IF(AND(Practices_SubPractices[CP]=4,Practices_SubPractices[Org]="Small"),SUMIFS(Practices_SubPractices[C],Practices_SubPractices[CP],"4",Practices_SubPractices[Org],"Small"),IF(AND(Practices_SubPractices[CP]=5,Practices_SubPractices[Org]="Small"),SUMIFS(Practices_SubPractices[C],Practices_SubPractices[CP],"5",Practices_SubPractices[Org],"Small"),IF(AND(Practices_SubPractices[CP]=6,Practices_SubPractices[Org]="Small"),SUMIFS(Practices_SubPractices[C],Practices_SubPractices[CP],"6",Practices_SubPractices[Org],"Small"),IF(AND(Practices_SubPractices[CP]=7,Practices_SubPractices[Org] ="Small"),SUMIFS(Practices_SubPractices[C],Practices_SubPractices[CP],"7",Practices_SubPractices[Org],"Small"),IF(AND(Practices_SubPractices[CP]=8,Practices_SubPractices[Org] ="Small"),SUMIFS(Practices_SubPractices[C],Practices_SubPractices[CP],"8",Practices_SubPractices[Org],"Small"),IF(AND(Practices_SubPractices[CP]=9,Practices_SubPractices[Org] ="Small"),SUMIFS(Practices_SubPractices[C],Practices_SubPractices[CP],"9",Practices_SubPractices[Org],"Small"),IF(AND(Practices_SubPractices[CP]=10,Practices_SubPractices[Org] ="Small"),SUMIFS(Practices_SubPractices[C],Practices_SubPractices[CP],"10",Practices_SubPractices[Org],"Small"),IF(AND(Practices_SubPractices[CP]=1,Practices_SubPractices[Org]="Medium"),SUMIFS(Practices_SubPractices[C],Practices_SubPractices[CP],"1",Practices_SubPractices[Org],"Medium"),IF(AND(Practices_SubPractices[CP]=2,Practices_SubPractices[Org]="Medium"),SUMIFS(Practices_SubPractices[C],Practices_SubPractices[CP],"2",Practices_SubPractices[Org],"Medium"),IF(AND(Practices_SubPractices[CP]=3,Practices_SubPractices[Org]="Medium"),SUMIFS(Practices_SubPractices[C],Practices_SubPractices[CP],"3",Practices_SubPractices[Org],"Medium"),IF(AND(Practices_SubPractices[CP]=4,Practices_SubPractices[Org]="Medium"),SUMIFS(Practices_SubPractices[C],Practices_SubPractices[CP],"4",Practices_SubPractices[Org],"Medium"),IF(AND(Practices_SubPractices[CP]=5,Practices_SubPractices[Org]="Medium"),SUMIFS(Practices_SubPractices[C],Practices_SubPractices[CP],"5",Practices_SubPractices[Org],"Medium"),IF(AND(Practices_SubPractices[CP]=6,Practices_SubPractices[Org]="Medium"),SUMIFS(Practices_SubPractices[C],Practices_SubPractices[CP],"6",Practices_SubPractices[Org],"Medium"),IF(AND(Practices_SubPractices[CP]=7,Practices_SubPractices[Org] ="Medium"),SUMIFS(Practices_SubPractices[C],Practices_SubPractices[CP],"7",Practices_SubPractices[Org],"Medium"),IF(AND(Practices_SubPractices[CP]=8,Practices_SubPractices[Org] ="Medium"),SUMIFS(Practices_SubPractices[C],Practices_SubPractices[CP],"8",Practices_SubPractices[Org],"Medium"),IF(AND(Practices_SubPractices[CP]=9,Practices_SubPractices[Org] ="Medium"),SUMIFS(Practices_SubPractices[C],Practices_SubPractices[CP],"9",Practices_SubPractices[Org],"Medium"),IF(AND(Practices_SubPractices[CP]=10,Practices_SubPractices[Org] ="Medium"),SUMIFS(Practices_SubPractices[C],Practices_SubPractices[CP],"10",Practices_SubPractices[Org],"Medium"),IF(AND(Practices_SubPractices[CP]=1,Practices_SubPractices[Org]="Large"),SUMIFS(Practices_SubPractices[C],Practices_SubPractices[CP],"1",Practices_SubPractices[Org],"Large"),IF(AND(Practices_SubPractices[CP]=2,Practices_SubPractices[Org]="Large"),SUMIFS(Practices_SubPractices[C],Practices_SubPractices[CP],"2",Practices_SubPractices[Org],"Large"),IF(AND(Practices_SubPractices[CP]=3,Practices_SubPractices[Org]="Large"),SUMIFS(Practices_SubPractices[C],Practices_SubPractices[CP],"3",Practices_SubPractices[Org],"Large"),IF(AND(Practices_SubPractices[CP]=4,Practices_SubPractices[Org]="Large"),SUMIFS(Practices_SubPractices[C],Practices_SubPractices[CP],"4",Practices_SubPractices[Org],"Large"),IF(AND(Practices_SubPractices[CP]=5,Practices_SubPractices[Org]="Large"),SUMIFS(Practices_SubPractices[C],Practices_SubPractices[CP],"5",Practices_SubPractices[Org],"Large"),IF(AND(Practices_SubPractices[CP]=6,Practices_SubPractices[Org]="Large"),SUMIFS(Practices_SubPractices[C],Practices_SubPractices[CP],"6",Practices_SubPractices[Org],"Large"),IF(AND(Practices_SubPractices[CP]=7,Practices_SubPractices[Org] ="Large"),SUMIFS(Practices_SubPractices[C],Practices_SubPractices[CP],"7",Practices_SubPractices[Org],"Large"),IF(AND(Practices_SubPractices[CP]=8,Practices_SubPractices[Org] ="Large"),SUMIFS(Practices_SubPractices[C],Practices_SubPractices[CP],"8",Practices_SubPractices[Org],"Large"),IF(AND(Practices_SubPractices[CP]=9,Practices_SubPractices[Org] ="Large"),SUMIFS(Practices_SubPractices[C],Practices_SubPractices[CP],"9",Practices_SubPractices[Org],"Large"),IF(AND(Practices_SubPractices[CP]=10,Practices_SubPractices[Org] ="Large"),SUMIFS(Practices_SubPractices[C],Practices_SubPractices[CP],"10",Practices_SubPractices[Org],"Large"),"TBD"))))))))))))))))))))))))))))))</f>
        <v>2</v>
      </c>
      <c r="Q120" s="77">
        <f>IF(AND(Practices_SubPractices[CP]=1,Practices_SubPractices[Org]="Small"),SUMIFS(Practices_SubPractices[D],Practices_SubPractices[CP],"1",Practices_SubPractices[Org],"Small"),IF(AND(Practices_SubPractices[CP]=2,Practices_SubPractices[Org]="Small"),SUMIFS(Practices_SubPractices[D],Practices_SubPractices[CP],"2",Practices_SubPractices[Org],"Small"),IF(AND(Practices_SubPractices[CP]=3,Practices_SubPractices[Org]="Small"),SUMIFS(Practices_SubPractices[D],Practices_SubPractices[CP],"3",Practices_SubPractices[Org],"Small"),IF(AND(Practices_SubPractices[CP]=4,Practices_SubPractices[Org]="Small"),SUMIFS(Practices_SubPractices[D],Practices_SubPractices[CP],"4",Practices_SubPractices[Org],"Small"),IF(AND(Practices_SubPractices[CP]=5,Practices_SubPractices[Org]="Small"),SUMIFS(Practices_SubPractices[D],Practices_SubPractices[CP],"5",Practices_SubPractices[Org],"Small"),IF(AND(Practices_SubPractices[CP]=6,Practices_SubPractices[Org]="Small"),SUMIFS(Practices_SubPractices[D],Practices_SubPractices[CP],"6",Practices_SubPractices[Org],"Small"),IF(AND(Practices_SubPractices[CP]=7,Practices_SubPractices[Org] ="Small"),SUMIFS(Practices_SubPractices[D],Practices_SubPractices[CP],"7",Practices_SubPractices[Org],"Small"),IF(AND(Practices_SubPractices[CP]=8,Practices_SubPractices[Org] ="Small"),SUMIFS(Practices_SubPractices[D],Practices_SubPractices[CP],"8",Practices_SubPractices[Org],"Small"),IF(AND(Practices_SubPractices[CP]=9,Practices_SubPractices[Org] ="Small"),SUMIFS(Practices_SubPractices[D],Practices_SubPractices[CP],"9",Practices_SubPractices[Org],"Small"),IF(AND(Practices_SubPractices[CP]=10,Practices_SubPractices[Org] ="Small"),SUMIFS(Practices_SubPractices[D],Practices_SubPractices[CP],"10",Practices_SubPractices[Org],"Small"),IF(AND(Practices_SubPractices[CP]=1,Practices_SubPractices[Org]="Medium"),SUMIFS(Practices_SubPractices[D],Practices_SubPractices[CP],"1",Practices_SubPractices[Org],"Medium"),IF(AND(Practices_SubPractices[CP]=2,Practices_SubPractices[Org]="Medium"),SUMIFS(Practices_SubPractices[D],Practices_SubPractices[CP],"2",Practices_SubPractices[Org],"Medium"),IF(AND(Practices_SubPractices[CP]=3,Practices_SubPractices[Org]="Medium"),SUMIFS(Practices_SubPractices[D],Practices_SubPractices[CP],"3",Practices_SubPractices[Org],"Medium"),IF(AND(Practices_SubPractices[CP]=4,Practices_SubPractices[Org]="Medium"),SUMIFS(Practices_SubPractices[D],Practices_SubPractices[CP],"4",Practices_SubPractices[Org],"Medium"),IF(AND(Practices_SubPractices[CP]=5,Practices_SubPractices[Org]="Medium"),SUMIFS(Practices_SubPractices[D],Practices_SubPractices[CP],"5",Practices_SubPractices[Org],"Medium"),IF(AND(Practices_SubPractices[CP]=6,Practices_SubPractices[Org]="Medium"),SUMIFS(Practices_SubPractices[D],Practices_SubPractices[CP],"6",Practices_SubPractices[Org],"Medium"),IF(AND(Practices_SubPractices[CP]=7,Practices_SubPractices[Org] ="Medium"),SUMIFS(Practices_SubPractices[D],Practices_SubPractices[CP],"7",Practices_SubPractices[Org],"Medium"),IF(AND(Practices_SubPractices[CP]=8,Practices_SubPractices[Org] ="Medium"),SUMIFS(Practices_SubPractices[D],Practices_SubPractices[CP],"8",Practices_SubPractices[Org],"Medium"),IF(AND(Practices_SubPractices[CP]=9,Practices_SubPractices[Org] ="Medium"),SUMIFS(Practices_SubPractices[D],Practices_SubPractices[CP],"9",Practices_SubPractices[Org],"Medium"),IF(AND(Practices_SubPractices[CP]=10,Practices_SubPractices[Org] ="Medium"),SUMIFS(Practices_SubPractices[D],Practices_SubPractices[CP],"10",Practices_SubPractices[Org],"Medium"),IF(AND(Practices_SubPractices[CP]=1,Practices_SubPractices[Org]="Large"),SUMIFS(Practices_SubPractices[D],Practices_SubPractices[CP],"1",Practices_SubPractices[Org],"Large"),IF(AND(Practices_SubPractices[CP]=2,Practices_SubPractices[Org]="Large"),SUMIFS(Practices_SubPractices[D],Practices_SubPractices[CP],"2",Practices_SubPractices[Org],"Large"),IF(AND(Practices_SubPractices[CP]=3,Practices_SubPractices[Org]="Large"),SUMIFS(Practices_SubPractices[D],Practices_SubPractices[CP],"3",Practices_SubPractices[Org],"Large"),IF(AND(Practices_SubPractices[CP]=4,Practices_SubPractices[Org]="Large"),SUMIFS(Practices_SubPractices[D],Practices_SubPractices[CP],"4",Practices_SubPractices[Org],"Large"),IF(AND(Practices_SubPractices[CP]=5,Practices_SubPractices[Org]="Large"),SUMIFS(Practices_SubPractices[D],Practices_SubPractices[CP],"5",Practices_SubPractices[Org],"Large"),IF(AND(Practices_SubPractices[CP]=6,Practices_SubPractices[Org]="Large"),SUMIFS(Practices_SubPractices[D],Practices_SubPractices[CP],"6",Practices_SubPractices[Org],"Large"),IF(AND(Practices_SubPractices[CP]=7,Practices_SubPractices[Org] ="Large"),SUMIFS(Practices_SubPractices[D],Practices_SubPractices[CP],"7",Practices_SubPractices[Org],"Large"),IF(AND(Practices_SubPractices[CP]=8,Practices_SubPractices[Org] ="Large"),SUMIFS(Practices_SubPractices[D],Practices_SubPractices[CP],"8",Practices_SubPractices[Org],"Large"),IF(AND(Practices_SubPractices[CP]=9,Practices_SubPractices[Org] ="Large"),SUMIFS(Practices_SubPractices[D],Practices_SubPractices[CP],"9",Practices_SubPractices[Org],"Large"),IF(AND(Practices_SubPractices[CP]=10,Practices_SubPractices[Org] ="Large"),SUMIFS(Practices_SubPractices[D],Practices_SubPractices[CP],"10",Practices_SubPractices[Org],"Large"),"TBD"))))))))))))))))))))))))))))))</f>
        <v>13</v>
      </c>
      <c r="R120" s="77">
        <f>IF(AND(Practices_SubPractices[CP]=1,Practices_SubPractices[Org]="Small"),SUMIFS(Practices_SubPractices[E],Practices_SubPractices[CP],"1",Practices_SubPractices[Org],"Small"),IF(AND(Practices_SubPractices[CP]=2,Practices_SubPractices[Org]="Small"),SUMIFS(Practices_SubPractices[E],Practices_SubPractices[CP],"2",Practices_SubPractices[Org],"Small"),IF(AND(Practices_SubPractices[CP]=3,Practices_SubPractices[Org]="Small"),SUMIFS(Practices_SubPractices[E],Practices_SubPractices[CP],"3",Practices_SubPractices[Org],"Small"),IF(AND(Practices_SubPractices[CP]=4,Practices_SubPractices[Org]="Small"),SUMIFS(Practices_SubPractices[E],Practices_SubPractices[CP],"4",Practices_SubPractices[Org],"Small"),IF(AND(Practices_SubPractices[CP]=5,Practices_SubPractices[Org]="Small"),SUMIFS(Practices_SubPractices[E],Practices_SubPractices[CP],"5",Practices_SubPractices[Org],"Small"),IF(AND(Practices_SubPractices[CP]=6,Practices_SubPractices[Org]="Small"),SUMIFS(Practices_SubPractices[E],Practices_SubPractices[CP],"6",Practices_SubPractices[Org],"Small"),IF(AND(Practices_SubPractices[CP]=7,Practices_SubPractices[Org] ="Small"),SUMIFS(Practices_SubPractices[E],Practices_SubPractices[CP],"7",Practices_SubPractices[Org],"Small"),IF(AND(Practices_SubPractices[CP]=8,Practices_SubPractices[Org] ="Small"),SUMIFS(Practices_SubPractices[E],Practices_SubPractices[CP],"8",Practices_SubPractices[Org],"Small"),IF(AND(Practices_SubPractices[CP]=9,Practices_SubPractices[Org] ="Small"),SUMIFS(Practices_SubPractices[E],Practices_SubPractices[CP],"9",Practices_SubPractices[Org],"Small"),IF(AND(Practices_SubPractices[CP]=10,Practices_SubPractices[Org] ="Small"),SUMIFS(Practices_SubPractices[E],Practices_SubPractices[CP],"10",Practices_SubPractices[Org],"Small"),IF(AND(Practices_SubPractices[CP]=1,Practices_SubPractices[Org]="Medium"),SUMIFS(Practices_SubPractices[E],Practices_SubPractices[CP],"1",Practices_SubPractices[Org],"Medium"),IF(AND(Practices_SubPractices[CP]=2,Practices_SubPractices[Org]="Medium"),SUMIFS(Practices_SubPractices[E],Practices_SubPractices[CP],"2",Practices_SubPractices[Org],"Medium"),IF(AND(Practices_SubPractices[CP]=3,Practices_SubPractices[Org]="Medium"),SUMIFS(Practices_SubPractices[E],Practices_SubPractices[CP],"3",Practices_SubPractices[Org],"Medium"),IF(AND(Practices_SubPractices[CP]=4,Practices_SubPractices[Org]="Medium"),SUMIFS(Practices_SubPractices[E],Practices_SubPractices[CP],"4",Practices_SubPractices[Org],"Medium"),IF(AND(Practices_SubPractices[CP]=5,Practices_SubPractices[Org]="Medium"),SUMIFS(Practices_SubPractices[E],Practices_SubPractices[CP],"5",Practices_SubPractices[Org],"Medium"),IF(AND(Practices_SubPractices[CP]=6,Practices_SubPractices[Org]="Medium"),SUMIFS(Practices_SubPractices[E],Practices_SubPractices[CP],"6",Practices_SubPractices[Org],"Medium"),IF(AND(Practices_SubPractices[CP]=7,Practices_SubPractices[Org] ="Medium"),SUMIFS(Practices_SubPractices[E],Practices_SubPractices[CP],"7",Practices_SubPractices[Org],"Medium"),IF(AND(Practices_SubPractices[CP]=8,Practices_SubPractices[Org] ="Medium"),SUMIFS(Practices_SubPractices[E],Practices_SubPractices[CP],"8",Practices_SubPractices[Org],"Medium"),IF(AND(Practices_SubPractices[CP]=9,Practices_SubPractices[Org] ="Medium"),SUMIFS(Practices_SubPractices[E],Practices_SubPractices[CP],"9",Practices_SubPractices[Org],"Medium"),IF(AND(Practices_SubPractices[CP]=10,Practices_SubPractices[Org] ="Medium"),SUMIFS(Practices_SubPractices[E],Practices_SubPractices[CP],"10",Practices_SubPractices[Org],"Medium"),IF(AND(Practices_SubPractices[CP]=1,Practices_SubPractices[Org]="Large"),SUMIFS(Practices_SubPractices[E],Practices_SubPractices[CP],"1",Practices_SubPractices[Org],"Large"),IF(AND(Practices_SubPractices[CP]=2,Practices_SubPractices[Org]="Large"),SUMIFS(Practices_SubPractices[E],Practices_SubPractices[CP],"2",Practices_SubPractices[Org],"Large"),IF(AND(Practices_SubPractices[CP]=3,Practices_SubPractices[Org]="Large"),SUMIFS(Practices_SubPractices[E],Practices_SubPractices[CP],"3",Practices_SubPractices[Org],"Large"),IF(AND(Practices_SubPractices[CP]=4,Practices_SubPractices[Org]="Large"),SUMIFS(Practices_SubPractices[E],Practices_SubPractices[CP],"4",Practices_SubPractices[Org],"Large"),IF(AND(Practices_SubPractices[CP]=5,Practices_SubPractices[Org]="Large"),SUMIFS(Practices_SubPractices[E],Practices_SubPractices[CP],"5",Practices_SubPractices[Org],"Large"),IF(AND(Practices_SubPractices[CP]=6,Practices_SubPractices[Org]="Large"),SUMIFS(Practices_SubPractices[E],Practices_SubPractices[CP],"6",Practices_SubPractices[Org],"Large"),IF(AND(Practices_SubPractices[CP]=7,Practices_SubPractices[Org] ="Large"),SUMIFS(Practices_SubPractices[E],Practices_SubPractices[CP],"7",Practices_SubPractices[Org],"Large"),IF(AND(Practices_SubPractices[CP]=8,Practices_SubPractices[Org] ="Large"),SUMIFS(Practices_SubPractices[E],Practices_SubPractices[CP],"8",Practices_SubPractices[Org],"Large"),IF(AND(Practices_SubPractices[CP]=9,Practices_SubPractices[Org] ="Large"),SUMIFS(Practices_SubPractices[E],Practices_SubPractices[CP],"9",Practices_SubPractices[Org],"Large"),IF(AND(Practices_SubPractices[CP]=10,Practices_SubPractices[Org] ="Large"),SUMIFS(Practices_SubPractices[E],Practices_SubPractices[CP],"10",Practices_SubPractices[Org],"Large"),"TBD"))))))))))))))))))))))))))))))</f>
        <v>12</v>
      </c>
      <c r="S120" s="88" t="s">
        <v>443</v>
      </c>
    </row>
    <row r="121" spans="1:19" x14ac:dyDescent="0.35">
      <c r="A121" s="73">
        <v>111</v>
      </c>
      <c r="B121" s="73">
        <v>6</v>
      </c>
      <c r="C121" s="80" t="s">
        <v>12</v>
      </c>
      <c r="D121" s="73" t="str">
        <f>Practices_SubPractices[[#This Row],[CP]]&amp;LEFT(Practices_SubPractices[[#This Row],[Org]],1)</f>
        <v>6L</v>
      </c>
      <c r="E121" s="73" t="s">
        <v>267</v>
      </c>
      <c r="F121" s="74" t="s">
        <v>124</v>
      </c>
      <c r="G121" s="74" t="s">
        <v>130</v>
      </c>
      <c r="H121" s="74" t="s">
        <v>242</v>
      </c>
      <c r="I121" s="75">
        <v>0</v>
      </c>
      <c r="J121" s="75">
        <v>1</v>
      </c>
      <c r="K121" s="75">
        <v>0</v>
      </c>
      <c r="L121" s="75">
        <v>1</v>
      </c>
      <c r="M121" s="75">
        <v>1</v>
      </c>
      <c r="N121" s="76"/>
      <c r="O121" s="77">
        <f>IF(AND(Practices_SubPractices[CP]=1,Practices_SubPractices[Org]="Small"),SUMIFS(Practices_SubPractices[B],Practices_SubPractices[CP],"1",Practices_SubPractices[Org],"Small"),IF(AND(Practices_SubPractices[CP]=2,Practices_SubPractices[Org]="Small"),SUMIFS(Practices_SubPractices[B],Practices_SubPractices[CP],"2",Practices_SubPractices[Org],"Small"),IF(AND(Practices_SubPractices[CP]=3,Practices_SubPractices[Org]="Small"),SUMIFS(Practices_SubPractices[B],Practices_SubPractices[CP],"3",Practices_SubPractices[Org],"Small"),IF(AND(Practices_SubPractices[CP]=4,Practices_SubPractices[Org]="Small"),SUMIFS(Practices_SubPractices[B],Practices_SubPractices[CP],"4",Practices_SubPractices[Org],"Small"),IF(AND(Practices_SubPractices[CP]=5,Practices_SubPractices[Org]="Small"),SUMIFS(Practices_SubPractices[B],Practices_SubPractices[CP],"5",Practices_SubPractices[Org],"Small"),IF(AND(Practices_SubPractices[CP]=6,Practices_SubPractices[Org]="Small"),SUMIFS(Practices_SubPractices[B],Practices_SubPractices[CP],"6",Practices_SubPractices[Org],"Small"),IF(AND(Practices_SubPractices[CP]=7,Practices_SubPractices[Org] ="Small"),SUMIFS(Practices_SubPractices[B],Practices_SubPractices[CP],"7",Practices_SubPractices[Org],"Small"),IF(AND(Practices_SubPractices[CP]=8,Practices_SubPractices[Org] ="Small"),SUMIFS(Practices_SubPractices[B],Practices_SubPractices[CP],"8",Practices_SubPractices[Org],"Small"),IF(AND(Practices_SubPractices[CP]=9,Practices_SubPractices[Org] ="Small"),SUMIFS(Practices_SubPractices[B],Practices_SubPractices[CP],"9",Practices_SubPractices[Org],"Small"),IF(AND(Practices_SubPractices[CP]=10,Practices_SubPractices[Org] ="Small"),SUMIFS(Practices_SubPractices[B],Practices_SubPractices[CP],"10",Practices_SubPractices[Org],"Small"),IF(AND(Practices_SubPractices[CP]=1,Practices_SubPractices[Org]="Medium"),SUMIFS(Practices_SubPractices[B],Practices_SubPractices[CP],"1",Practices_SubPractices[Org],"Medium"),IF(AND(Practices_SubPractices[CP]=2,Practices_SubPractices[Org]="Medium"),SUMIFS(Practices_SubPractices[B],Practices_SubPractices[CP],"2",Practices_SubPractices[Org],"Medium"),IF(AND(Practices_SubPractices[CP]=3,Practices_SubPractices[Org]="Medium"),SUMIFS(Practices_SubPractices[B],Practices_SubPractices[CP],"3",Practices_SubPractices[Org],"Medium"),IF(AND(Practices_SubPractices[CP]=4,Practices_SubPractices[Org]="Medium"),SUMIFS(Practices_SubPractices[B],Practices_SubPractices[CP],"4",Practices_SubPractices[Org],"Medium"),IF(AND(Practices_SubPractices[CP]=5,Practices_SubPractices[Org]="Medium"),SUMIFS(Practices_SubPractices[B],Practices_SubPractices[CP],"5",Practices_SubPractices[Org],"Medium"),IF(AND(Practices_SubPractices[CP]=6,Practices_SubPractices[Org]="Medium"),SUMIFS(Practices_SubPractices[B],Practices_SubPractices[CP],"6",Practices_SubPractices[Org],"Medium"),IF(AND(Practices_SubPractices[CP]=7,Practices_SubPractices[Org] ="Medium"),SUMIFS(Practices_SubPractices[B],Practices_SubPractices[CP],"7",Practices_SubPractices[Org],"Medium"),IF(AND(Practices_SubPractices[CP]=8,Practices_SubPractices[Org] ="Medium"),SUMIFS(Practices_SubPractices[B],Practices_SubPractices[CP],"8",Practices_SubPractices[Org],"Medium"),IF(AND(Practices_SubPractices[CP]=9,Practices_SubPractices[Org] ="Medium"),SUMIFS(Practices_SubPractices[B],Practices_SubPractices[CP],"9",Practices_SubPractices[Org],"Medium"),IF(AND(Practices_SubPractices[CP]=10,Practices_SubPractices[Org] ="Medium"),SUMIFS(Practices_SubPractices[B],Practices_SubPractices[CP],"10",Practices_SubPractices[Org],"Medium"),IF(AND(Practices_SubPractices[CP]=1,Practices_SubPractices[Org]="Large"),SUMIFS(Practices_SubPractices[B],Practices_SubPractices[CP],"1",Practices_SubPractices[Org],"Large"),IF(AND(Practices_SubPractices[CP]=2,Practices_SubPractices[Org]="Large"),SUMIFS(Practices_SubPractices[B],Practices_SubPractices[CP],"2",Practices_SubPractices[Org],"Large"),IF(AND(Practices_SubPractices[CP]=3,Practices_SubPractices[Org]="Large"),SUMIFS(Practices_SubPractices[B],Practices_SubPractices[CP],"3",Practices_SubPractices[Org],"Large"),IF(AND(Practices_SubPractices[CP]=4,Practices_SubPractices[Org]="Large"),SUMIFS(Practices_SubPractices[B],Practices_SubPractices[CP],"4",Practices_SubPractices[Org],"Large"),IF(AND(Practices_SubPractices[CP]=5,Practices_SubPractices[Org]="Large"),SUMIFS(Practices_SubPractices[B],Practices_SubPractices[CP],"5",Practices_SubPractices[Org],"Large"),IF(AND(Practices_SubPractices[CP]=6,Practices_SubPractices[Org]="Large"),SUMIFS(Practices_SubPractices[B],Practices_SubPractices[CP],"6",Practices_SubPractices[Org],"Large"),IF(AND(Practices_SubPractices[CP]=7,Practices_SubPractices[Org] ="Large"),SUMIFS(Practices_SubPractices[B],Practices_SubPractices[CP],"7",Practices_SubPractices[Org],"Large"),IF(AND(Practices_SubPractices[CP]=8,Practices_SubPractices[Org] ="Large"),SUMIFS(Practices_SubPractices[B],Practices_SubPractices[CP],"8",Practices_SubPractices[Org],"Large"),IF(AND(Practices_SubPractices[CP]=9,Practices_SubPractices[Org] ="Large"),SUMIFS(Practices_SubPractices[B],Practices_SubPractices[CP],"9",Practices_SubPractices[Org],"Large"),IF(AND(Practices_SubPractices[CP]=10,Practices_SubPractices[Org] ="Large"),SUMIFS(Practices_SubPractices[B],Practices_SubPractices[CP],"10",Practices_SubPractices[Org],"Large"),"TBD"))))))))))))))))))))))))))))))</f>
        <v>15</v>
      </c>
      <c r="P121" s="77">
        <f>IF(AND(Practices_SubPractices[CP]=1,Practices_SubPractices[Org]="Small"),SUMIFS(Practices_SubPractices[C],Practices_SubPractices[CP],"1",Practices_SubPractices[Org],"Small"),IF(AND(Practices_SubPractices[CP]=2,Practices_SubPractices[Org]="Small"),SUMIFS(Practices_SubPractices[C],Practices_SubPractices[CP],"2",Practices_SubPractices[Org],"Small"),IF(AND(Practices_SubPractices[CP]=3,Practices_SubPractices[Org]="Small"),SUMIFS(Practices_SubPractices[C],Practices_SubPractices[CP],"3",Practices_SubPractices[Org],"Small"),IF(AND(Practices_SubPractices[CP]=4,Practices_SubPractices[Org]="Small"),SUMIFS(Practices_SubPractices[C],Practices_SubPractices[CP],"4",Practices_SubPractices[Org],"Small"),IF(AND(Practices_SubPractices[CP]=5,Practices_SubPractices[Org]="Small"),SUMIFS(Practices_SubPractices[C],Practices_SubPractices[CP],"5",Practices_SubPractices[Org],"Small"),IF(AND(Practices_SubPractices[CP]=6,Practices_SubPractices[Org]="Small"),SUMIFS(Practices_SubPractices[C],Practices_SubPractices[CP],"6",Practices_SubPractices[Org],"Small"),IF(AND(Practices_SubPractices[CP]=7,Practices_SubPractices[Org] ="Small"),SUMIFS(Practices_SubPractices[C],Practices_SubPractices[CP],"7",Practices_SubPractices[Org],"Small"),IF(AND(Practices_SubPractices[CP]=8,Practices_SubPractices[Org] ="Small"),SUMIFS(Practices_SubPractices[C],Practices_SubPractices[CP],"8",Practices_SubPractices[Org],"Small"),IF(AND(Practices_SubPractices[CP]=9,Practices_SubPractices[Org] ="Small"),SUMIFS(Practices_SubPractices[C],Practices_SubPractices[CP],"9",Practices_SubPractices[Org],"Small"),IF(AND(Practices_SubPractices[CP]=10,Practices_SubPractices[Org] ="Small"),SUMIFS(Practices_SubPractices[C],Practices_SubPractices[CP],"10",Practices_SubPractices[Org],"Small"),IF(AND(Practices_SubPractices[CP]=1,Practices_SubPractices[Org]="Medium"),SUMIFS(Practices_SubPractices[C],Practices_SubPractices[CP],"1",Practices_SubPractices[Org],"Medium"),IF(AND(Practices_SubPractices[CP]=2,Practices_SubPractices[Org]="Medium"),SUMIFS(Practices_SubPractices[C],Practices_SubPractices[CP],"2",Practices_SubPractices[Org],"Medium"),IF(AND(Practices_SubPractices[CP]=3,Practices_SubPractices[Org]="Medium"),SUMIFS(Practices_SubPractices[C],Practices_SubPractices[CP],"3",Practices_SubPractices[Org],"Medium"),IF(AND(Practices_SubPractices[CP]=4,Practices_SubPractices[Org]="Medium"),SUMIFS(Practices_SubPractices[C],Practices_SubPractices[CP],"4",Practices_SubPractices[Org],"Medium"),IF(AND(Practices_SubPractices[CP]=5,Practices_SubPractices[Org]="Medium"),SUMIFS(Practices_SubPractices[C],Practices_SubPractices[CP],"5",Practices_SubPractices[Org],"Medium"),IF(AND(Practices_SubPractices[CP]=6,Practices_SubPractices[Org]="Medium"),SUMIFS(Practices_SubPractices[C],Practices_SubPractices[CP],"6",Practices_SubPractices[Org],"Medium"),IF(AND(Practices_SubPractices[CP]=7,Practices_SubPractices[Org] ="Medium"),SUMIFS(Practices_SubPractices[C],Practices_SubPractices[CP],"7",Practices_SubPractices[Org],"Medium"),IF(AND(Practices_SubPractices[CP]=8,Practices_SubPractices[Org] ="Medium"),SUMIFS(Practices_SubPractices[C],Practices_SubPractices[CP],"8",Practices_SubPractices[Org],"Medium"),IF(AND(Practices_SubPractices[CP]=9,Practices_SubPractices[Org] ="Medium"),SUMIFS(Practices_SubPractices[C],Practices_SubPractices[CP],"9",Practices_SubPractices[Org],"Medium"),IF(AND(Practices_SubPractices[CP]=10,Practices_SubPractices[Org] ="Medium"),SUMIFS(Practices_SubPractices[C],Practices_SubPractices[CP],"10",Practices_SubPractices[Org],"Medium"),IF(AND(Practices_SubPractices[CP]=1,Practices_SubPractices[Org]="Large"),SUMIFS(Practices_SubPractices[C],Practices_SubPractices[CP],"1",Practices_SubPractices[Org],"Large"),IF(AND(Practices_SubPractices[CP]=2,Practices_SubPractices[Org]="Large"),SUMIFS(Practices_SubPractices[C],Practices_SubPractices[CP],"2",Practices_SubPractices[Org],"Large"),IF(AND(Practices_SubPractices[CP]=3,Practices_SubPractices[Org]="Large"),SUMIFS(Practices_SubPractices[C],Practices_SubPractices[CP],"3",Practices_SubPractices[Org],"Large"),IF(AND(Practices_SubPractices[CP]=4,Practices_SubPractices[Org]="Large"),SUMIFS(Practices_SubPractices[C],Practices_SubPractices[CP],"4",Practices_SubPractices[Org],"Large"),IF(AND(Practices_SubPractices[CP]=5,Practices_SubPractices[Org]="Large"),SUMIFS(Practices_SubPractices[C],Practices_SubPractices[CP],"5",Practices_SubPractices[Org],"Large"),IF(AND(Practices_SubPractices[CP]=6,Practices_SubPractices[Org]="Large"),SUMIFS(Practices_SubPractices[C],Practices_SubPractices[CP],"6",Practices_SubPractices[Org],"Large"),IF(AND(Practices_SubPractices[CP]=7,Practices_SubPractices[Org] ="Large"),SUMIFS(Practices_SubPractices[C],Practices_SubPractices[CP],"7",Practices_SubPractices[Org],"Large"),IF(AND(Practices_SubPractices[CP]=8,Practices_SubPractices[Org] ="Large"),SUMIFS(Practices_SubPractices[C],Practices_SubPractices[CP],"8",Practices_SubPractices[Org],"Large"),IF(AND(Practices_SubPractices[CP]=9,Practices_SubPractices[Org] ="Large"),SUMIFS(Practices_SubPractices[C],Practices_SubPractices[CP],"9",Practices_SubPractices[Org],"Large"),IF(AND(Practices_SubPractices[CP]=10,Practices_SubPractices[Org] ="Large"),SUMIFS(Practices_SubPractices[C],Practices_SubPractices[CP],"10",Practices_SubPractices[Org],"Large"),"TBD"))))))))))))))))))))))))))))))</f>
        <v>2</v>
      </c>
      <c r="Q121" s="77">
        <f>IF(AND(Practices_SubPractices[CP]=1,Practices_SubPractices[Org]="Small"),SUMIFS(Practices_SubPractices[D],Practices_SubPractices[CP],"1",Practices_SubPractices[Org],"Small"),IF(AND(Practices_SubPractices[CP]=2,Practices_SubPractices[Org]="Small"),SUMIFS(Practices_SubPractices[D],Practices_SubPractices[CP],"2",Practices_SubPractices[Org],"Small"),IF(AND(Practices_SubPractices[CP]=3,Practices_SubPractices[Org]="Small"),SUMIFS(Practices_SubPractices[D],Practices_SubPractices[CP],"3",Practices_SubPractices[Org],"Small"),IF(AND(Practices_SubPractices[CP]=4,Practices_SubPractices[Org]="Small"),SUMIFS(Practices_SubPractices[D],Practices_SubPractices[CP],"4",Practices_SubPractices[Org],"Small"),IF(AND(Practices_SubPractices[CP]=5,Practices_SubPractices[Org]="Small"),SUMIFS(Practices_SubPractices[D],Practices_SubPractices[CP],"5",Practices_SubPractices[Org],"Small"),IF(AND(Practices_SubPractices[CP]=6,Practices_SubPractices[Org]="Small"),SUMIFS(Practices_SubPractices[D],Practices_SubPractices[CP],"6",Practices_SubPractices[Org],"Small"),IF(AND(Practices_SubPractices[CP]=7,Practices_SubPractices[Org] ="Small"),SUMIFS(Practices_SubPractices[D],Practices_SubPractices[CP],"7",Practices_SubPractices[Org],"Small"),IF(AND(Practices_SubPractices[CP]=8,Practices_SubPractices[Org] ="Small"),SUMIFS(Practices_SubPractices[D],Practices_SubPractices[CP],"8",Practices_SubPractices[Org],"Small"),IF(AND(Practices_SubPractices[CP]=9,Practices_SubPractices[Org] ="Small"),SUMIFS(Practices_SubPractices[D],Practices_SubPractices[CP],"9",Practices_SubPractices[Org],"Small"),IF(AND(Practices_SubPractices[CP]=10,Practices_SubPractices[Org] ="Small"),SUMIFS(Practices_SubPractices[D],Practices_SubPractices[CP],"10",Practices_SubPractices[Org],"Small"),IF(AND(Practices_SubPractices[CP]=1,Practices_SubPractices[Org]="Medium"),SUMIFS(Practices_SubPractices[D],Practices_SubPractices[CP],"1",Practices_SubPractices[Org],"Medium"),IF(AND(Practices_SubPractices[CP]=2,Practices_SubPractices[Org]="Medium"),SUMIFS(Practices_SubPractices[D],Practices_SubPractices[CP],"2",Practices_SubPractices[Org],"Medium"),IF(AND(Practices_SubPractices[CP]=3,Practices_SubPractices[Org]="Medium"),SUMIFS(Practices_SubPractices[D],Practices_SubPractices[CP],"3",Practices_SubPractices[Org],"Medium"),IF(AND(Practices_SubPractices[CP]=4,Practices_SubPractices[Org]="Medium"),SUMIFS(Practices_SubPractices[D],Practices_SubPractices[CP],"4",Practices_SubPractices[Org],"Medium"),IF(AND(Practices_SubPractices[CP]=5,Practices_SubPractices[Org]="Medium"),SUMIFS(Practices_SubPractices[D],Practices_SubPractices[CP],"5",Practices_SubPractices[Org],"Medium"),IF(AND(Practices_SubPractices[CP]=6,Practices_SubPractices[Org]="Medium"),SUMIFS(Practices_SubPractices[D],Practices_SubPractices[CP],"6",Practices_SubPractices[Org],"Medium"),IF(AND(Practices_SubPractices[CP]=7,Practices_SubPractices[Org] ="Medium"),SUMIFS(Practices_SubPractices[D],Practices_SubPractices[CP],"7",Practices_SubPractices[Org],"Medium"),IF(AND(Practices_SubPractices[CP]=8,Practices_SubPractices[Org] ="Medium"),SUMIFS(Practices_SubPractices[D],Practices_SubPractices[CP],"8",Practices_SubPractices[Org],"Medium"),IF(AND(Practices_SubPractices[CP]=9,Practices_SubPractices[Org] ="Medium"),SUMIFS(Practices_SubPractices[D],Practices_SubPractices[CP],"9",Practices_SubPractices[Org],"Medium"),IF(AND(Practices_SubPractices[CP]=10,Practices_SubPractices[Org] ="Medium"),SUMIFS(Practices_SubPractices[D],Practices_SubPractices[CP],"10",Practices_SubPractices[Org],"Medium"),IF(AND(Practices_SubPractices[CP]=1,Practices_SubPractices[Org]="Large"),SUMIFS(Practices_SubPractices[D],Practices_SubPractices[CP],"1",Practices_SubPractices[Org],"Large"),IF(AND(Practices_SubPractices[CP]=2,Practices_SubPractices[Org]="Large"),SUMIFS(Practices_SubPractices[D],Practices_SubPractices[CP],"2",Practices_SubPractices[Org],"Large"),IF(AND(Practices_SubPractices[CP]=3,Practices_SubPractices[Org]="Large"),SUMIFS(Practices_SubPractices[D],Practices_SubPractices[CP],"3",Practices_SubPractices[Org],"Large"),IF(AND(Practices_SubPractices[CP]=4,Practices_SubPractices[Org]="Large"),SUMIFS(Practices_SubPractices[D],Practices_SubPractices[CP],"4",Practices_SubPractices[Org],"Large"),IF(AND(Practices_SubPractices[CP]=5,Practices_SubPractices[Org]="Large"),SUMIFS(Practices_SubPractices[D],Practices_SubPractices[CP],"5",Practices_SubPractices[Org],"Large"),IF(AND(Practices_SubPractices[CP]=6,Practices_SubPractices[Org]="Large"),SUMIFS(Practices_SubPractices[D],Practices_SubPractices[CP],"6",Practices_SubPractices[Org],"Large"),IF(AND(Practices_SubPractices[CP]=7,Practices_SubPractices[Org] ="Large"),SUMIFS(Practices_SubPractices[D],Practices_SubPractices[CP],"7",Practices_SubPractices[Org],"Large"),IF(AND(Practices_SubPractices[CP]=8,Practices_SubPractices[Org] ="Large"),SUMIFS(Practices_SubPractices[D],Practices_SubPractices[CP],"8",Practices_SubPractices[Org],"Large"),IF(AND(Practices_SubPractices[CP]=9,Practices_SubPractices[Org] ="Large"),SUMIFS(Practices_SubPractices[D],Practices_SubPractices[CP],"9",Practices_SubPractices[Org],"Large"),IF(AND(Practices_SubPractices[CP]=10,Practices_SubPractices[Org] ="Large"),SUMIFS(Practices_SubPractices[D],Practices_SubPractices[CP],"10",Practices_SubPractices[Org],"Large"),"TBD"))))))))))))))))))))))))))))))</f>
        <v>13</v>
      </c>
      <c r="R121" s="77">
        <f>IF(AND(Practices_SubPractices[CP]=1,Practices_SubPractices[Org]="Small"),SUMIFS(Practices_SubPractices[E],Practices_SubPractices[CP],"1",Practices_SubPractices[Org],"Small"),IF(AND(Practices_SubPractices[CP]=2,Practices_SubPractices[Org]="Small"),SUMIFS(Practices_SubPractices[E],Practices_SubPractices[CP],"2",Practices_SubPractices[Org],"Small"),IF(AND(Practices_SubPractices[CP]=3,Practices_SubPractices[Org]="Small"),SUMIFS(Practices_SubPractices[E],Practices_SubPractices[CP],"3",Practices_SubPractices[Org],"Small"),IF(AND(Practices_SubPractices[CP]=4,Practices_SubPractices[Org]="Small"),SUMIFS(Practices_SubPractices[E],Practices_SubPractices[CP],"4",Practices_SubPractices[Org],"Small"),IF(AND(Practices_SubPractices[CP]=5,Practices_SubPractices[Org]="Small"),SUMIFS(Practices_SubPractices[E],Practices_SubPractices[CP],"5",Practices_SubPractices[Org],"Small"),IF(AND(Practices_SubPractices[CP]=6,Practices_SubPractices[Org]="Small"),SUMIFS(Practices_SubPractices[E],Practices_SubPractices[CP],"6",Practices_SubPractices[Org],"Small"),IF(AND(Practices_SubPractices[CP]=7,Practices_SubPractices[Org] ="Small"),SUMIFS(Practices_SubPractices[E],Practices_SubPractices[CP],"7",Practices_SubPractices[Org],"Small"),IF(AND(Practices_SubPractices[CP]=8,Practices_SubPractices[Org] ="Small"),SUMIFS(Practices_SubPractices[E],Practices_SubPractices[CP],"8",Practices_SubPractices[Org],"Small"),IF(AND(Practices_SubPractices[CP]=9,Practices_SubPractices[Org] ="Small"),SUMIFS(Practices_SubPractices[E],Practices_SubPractices[CP],"9",Practices_SubPractices[Org],"Small"),IF(AND(Practices_SubPractices[CP]=10,Practices_SubPractices[Org] ="Small"),SUMIFS(Practices_SubPractices[E],Practices_SubPractices[CP],"10",Practices_SubPractices[Org],"Small"),IF(AND(Practices_SubPractices[CP]=1,Practices_SubPractices[Org]="Medium"),SUMIFS(Practices_SubPractices[E],Practices_SubPractices[CP],"1",Practices_SubPractices[Org],"Medium"),IF(AND(Practices_SubPractices[CP]=2,Practices_SubPractices[Org]="Medium"),SUMIFS(Practices_SubPractices[E],Practices_SubPractices[CP],"2",Practices_SubPractices[Org],"Medium"),IF(AND(Practices_SubPractices[CP]=3,Practices_SubPractices[Org]="Medium"),SUMIFS(Practices_SubPractices[E],Practices_SubPractices[CP],"3",Practices_SubPractices[Org],"Medium"),IF(AND(Practices_SubPractices[CP]=4,Practices_SubPractices[Org]="Medium"),SUMIFS(Practices_SubPractices[E],Practices_SubPractices[CP],"4",Practices_SubPractices[Org],"Medium"),IF(AND(Practices_SubPractices[CP]=5,Practices_SubPractices[Org]="Medium"),SUMIFS(Practices_SubPractices[E],Practices_SubPractices[CP],"5",Practices_SubPractices[Org],"Medium"),IF(AND(Practices_SubPractices[CP]=6,Practices_SubPractices[Org]="Medium"),SUMIFS(Practices_SubPractices[E],Practices_SubPractices[CP],"6",Practices_SubPractices[Org],"Medium"),IF(AND(Practices_SubPractices[CP]=7,Practices_SubPractices[Org] ="Medium"),SUMIFS(Practices_SubPractices[E],Practices_SubPractices[CP],"7",Practices_SubPractices[Org],"Medium"),IF(AND(Practices_SubPractices[CP]=8,Practices_SubPractices[Org] ="Medium"),SUMIFS(Practices_SubPractices[E],Practices_SubPractices[CP],"8",Practices_SubPractices[Org],"Medium"),IF(AND(Practices_SubPractices[CP]=9,Practices_SubPractices[Org] ="Medium"),SUMIFS(Practices_SubPractices[E],Practices_SubPractices[CP],"9",Practices_SubPractices[Org],"Medium"),IF(AND(Practices_SubPractices[CP]=10,Practices_SubPractices[Org] ="Medium"),SUMIFS(Practices_SubPractices[E],Practices_SubPractices[CP],"10",Practices_SubPractices[Org],"Medium"),IF(AND(Practices_SubPractices[CP]=1,Practices_SubPractices[Org]="Large"),SUMIFS(Practices_SubPractices[E],Practices_SubPractices[CP],"1",Practices_SubPractices[Org],"Large"),IF(AND(Practices_SubPractices[CP]=2,Practices_SubPractices[Org]="Large"),SUMIFS(Practices_SubPractices[E],Practices_SubPractices[CP],"2",Practices_SubPractices[Org],"Large"),IF(AND(Practices_SubPractices[CP]=3,Practices_SubPractices[Org]="Large"),SUMIFS(Practices_SubPractices[E],Practices_SubPractices[CP],"3",Practices_SubPractices[Org],"Large"),IF(AND(Practices_SubPractices[CP]=4,Practices_SubPractices[Org]="Large"),SUMIFS(Practices_SubPractices[E],Practices_SubPractices[CP],"4",Practices_SubPractices[Org],"Large"),IF(AND(Practices_SubPractices[CP]=5,Practices_SubPractices[Org]="Large"),SUMIFS(Practices_SubPractices[E],Practices_SubPractices[CP],"5",Practices_SubPractices[Org],"Large"),IF(AND(Practices_SubPractices[CP]=6,Practices_SubPractices[Org]="Large"),SUMIFS(Practices_SubPractices[E],Practices_SubPractices[CP],"6",Practices_SubPractices[Org],"Large"),IF(AND(Practices_SubPractices[CP]=7,Practices_SubPractices[Org] ="Large"),SUMIFS(Practices_SubPractices[E],Practices_SubPractices[CP],"7",Practices_SubPractices[Org],"Large"),IF(AND(Practices_SubPractices[CP]=8,Practices_SubPractices[Org] ="Large"),SUMIFS(Practices_SubPractices[E],Practices_SubPractices[CP],"8",Practices_SubPractices[Org],"Large"),IF(AND(Practices_SubPractices[CP]=9,Practices_SubPractices[Org] ="Large"),SUMIFS(Practices_SubPractices[E],Practices_SubPractices[CP],"9",Practices_SubPractices[Org],"Large"),IF(AND(Practices_SubPractices[CP]=10,Practices_SubPractices[Org] ="Large"),SUMIFS(Practices_SubPractices[E],Practices_SubPractices[CP],"10",Practices_SubPractices[Org],"Large"),"TBD"))))))))))))))))))))))))))))))</f>
        <v>12</v>
      </c>
      <c r="S121" s="87" t="s">
        <v>443</v>
      </c>
    </row>
    <row r="122" spans="1:19" x14ac:dyDescent="0.35">
      <c r="A122" s="73">
        <v>112</v>
      </c>
      <c r="B122" s="73">
        <v>6</v>
      </c>
      <c r="C122" s="80" t="s">
        <v>12</v>
      </c>
      <c r="D122" s="73" t="str">
        <f>Practices_SubPractices[[#This Row],[CP]]&amp;LEFT(Practices_SubPractices[[#This Row],[Org]],1)</f>
        <v>6L</v>
      </c>
      <c r="E122" s="73" t="s">
        <v>268</v>
      </c>
      <c r="F122" s="74" t="s">
        <v>125</v>
      </c>
      <c r="G122" s="74" t="s">
        <v>131</v>
      </c>
      <c r="H122" s="74" t="s">
        <v>243</v>
      </c>
      <c r="I122" s="75">
        <v>1</v>
      </c>
      <c r="J122" s="75">
        <v>2</v>
      </c>
      <c r="K122" s="75">
        <v>0</v>
      </c>
      <c r="L122" s="75">
        <v>2</v>
      </c>
      <c r="M122" s="75">
        <v>1</v>
      </c>
      <c r="N122" s="76"/>
      <c r="O122" s="77">
        <f>IF(AND(Practices_SubPractices[CP]=1,Practices_SubPractices[Org]="Small"),SUMIFS(Practices_SubPractices[B],Practices_SubPractices[CP],"1",Practices_SubPractices[Org],"Small"),IF(AND(Practices_SubPractices[CP]=2,Practices_SubPractices[Org]="Small"),SUMIFS(Practices_SubPractices[B],Practices_SubPractices[CP],"2",Practices_SubPractices[Org],"Small"),IF(AND(Practices_SubPractices[CP]=3,Practices_SubPractices[Org]="Small"),SUMIFS(Practices_SubPractices[B],Practices_SubPractices[CP],"3",Practices_SubPractices[Org],"Small"),IF(AND(Practices_SubPractices[CP]=4,Practices_SubPractices[Org]="Small"),SUMIFS(Practices_SubPractices[B],Practices_SubPractices[CP],"4",Practices_SubPractices[Org],"Small"),IF(AND(Practices_SubPractices[CP]=5,Practices_SubPractices[Org]="Small"),SUMIFS(Practices_SubPractices[B],Practices_SubPractices[CP],"5",Practices_SubPractices[Org],"Small"),IF(AND(Practices_SubPractices[CP]=6,Practices_SubPractices[Org]="Small"),SUMIFS(Practices_SubPractices[B],Practices_SubPractices[CP],"6",Practices_SubPractices[Org],"Small"),IF(AND(Practices_SubPractices[CP]=7,Practices_SubPractices[Org] ="Small"),SUMIFS(Practices_SubPractices[B],Practices_SubPractices[CP],"7",Practices_SubPractices[Org],"Small"),IF(AND(Practices_SubPractices[CP]=8,Practices_SubPractices[Org] ="Small"),SUMIFS(Practices_SubPractices[B],Practices_SubPractices[CP],"8",Practices_SubPractices[Org],"Small"),IF(AND(Practices_SubPractices[CP]=9,Practices_SubPractices[Org] ="Small"),SUMIFS(Practices_SubPractices[B],Practices_SubPractices[CP],"9",Practices_SubPractices[Org],"Small"),IF(AND(Practices_SubPractices[CP]=10,Practices_SubPractices[Org] ="Small"),SUMIFS(Practices_SubPractices[B],Practices_SubPractices[CP],"10",Practices_SubPractices[Org],"Small"),IF(AND(Practices_SubPractices[CP]=1,Practices_SubPractices[Org]="Medium"),SUMIFS(Practices_SubPractices[B],Practices_SubPractices[CP],"1",Practices_SubPractices[Org],"Medium"),IF(AND(Practices_SubPractices[CP]=2,Practices_SubPractices[Org]="Medium"),SUMIFS(Practices_SubPractices[B],Practices_SubPractices[CP],"2",Practices_SubPractices[Org],"Medium"),IF(AND(Practices_SubPractices[CP]=3,Practices_SubPractices[Org]="Medium"),SUMIFS(Practices_SubPractices[B],Practices_SubPractices[CP],"3",Practices_SubPractices[Org],"Medium"),IF(AND(Practices_SubPractices[CP]=4,Practices_SubPractices[Org]="Medium"),SUMIFS(Practices_SubPractices[B],Practices_SubPractices[CP],"4",Practices_SubPractices[Org],"Medium"),IF(AND(Practices_SubPractices[CP]=5,Practices_SubPractices[Org]="Medium"),SUMIFS(Practices_SubPractices[B],Practices_SubPractices[CP],"5",Practices_SubPractices[Org],"Medium"),IF(AND(Practices_SubPractices[CP]=6,Practices_SubPractices[Org]="Medium"),SUMIFS(Practices_SubPractices[B],Practices_SubPractices[CP],"6",Practices_SubPractices[Org],"Medium"),IF(AND(Practices_SubPractices[CP]=7,Practices_SubPractices[Org] ="Medium"),SUMIFS(Practices_SubPractices[B],Practices_SubPractices[CP],"7",Practices_SubPractices[Org],"Medium"),IF(AND(Practices_SubPractices[CP]=8,Practices_SubPractices[Org] ="Medium"),SUMIFS(Practices_SubPractices[B],Practices_SubPractices[CP],"8",Practices_SubPractices[Org],"Medium"),IF(AND(Practices_SubPractices[CP]=9,Practices_SubPractices[Org] ="Medium"),SUMIFS(Practices_SubPractices[B],Practices_SubPractices[CP],"9",Practices_SubPractices[Org],"Medium"),IF(AND(Practices_SubPractices[CP]=10,Practices_SubPractices[Org] ="Medium"),SUMIFS(Practices_SubPractices[B],Practices_SubPractices[CP],"10",Practices_SubPractices[Org],"Medium"),IF(AND(Practices_SubPractices[CP]=1,Practices_SubPractices[Org]="Large"),SUMIFS(Practices_SubPractices[B],Practices_SubPractices[CP],"1",Practices_SubPractices[Org],"Large"),IF(AND(Practices_SubPractices[CP]=2,Practices_SubPractices[Org]="Large"),SUMIFS(Practices_SubPractices[B],Practices_SubPractices[CP],"2",Practices_SubPractices[Org],"Large"),IF(AND(Practices_SubPractices[CP]=3,Practices_SubPractices[Org]="Large"),SUMIFS(Practices_SubPractices[B],Practices_SubPractices[CP],"3",Practices_SubPractices[Org],"Large"),IF(AND(Practices_SubPractices[CP]=4,Practices_SubPractices[Org]="Large"),SUMIFS(Practices_SubPractices[B],Practices_SubPractices[CP],"4",Practices_SubPractices[Org],"Large"),IF(AND(Practices_SubPractices[CP]=5,Practices_SubPractices[Org]="Large"),SUMIFS(Practices_SubPractices[B],Practices_SubPractices[CP],"5",Practices_SubPractices[Org],"Large"),IF(AND(Practices_SubPractices[CP]=6,Practices_SubPractices[Org]="Large"),SUMIFS(Practices_SubPractices[B],Practices_SubPractices[CP],"6",Practices_SubPractices[Org],"Large"),IF(AND(Practices_SubPractices[CP]=7,Practices_SubPractices[Org] ="Large"),SUMIFS(Practices_SubPractices[B],Practices_SubPractices[CP],"7",Practices_SubPractices[Org],"Large"),IF(AND(Practices_SubPractices[CP]=8,Practices_SubPractices[Org] ="Large"),SUMIFS(Practices_SubPractices[B],Practices_SubPractices[CP],"8",Practices_SubPractices[Org],"Large"),IF(AND(Practices_SubPractices[CP]=9,Practices_SubPractices[Org] ="Large"),SUMIFS(Practices_SubPractices[B],Practices_SubPractices[CP],"9",Practices_SubPractices[Org],"Large"),IF(AND(Practices_SubPractices[CP]=10,Practices_SubPractices[Org] ="Large"),SUMIFS(Practices_SubPractices[B],Practices_SubPractices[CP],"10",Practices_SubPractices[Org],"Large"),"TBD"))))))))))))))))))))))))))))))</f>
        <v>15</v>
      </c>
      <c r="P122" s="77">
        <f>IF(AND(Practices_SubPractices[CP]=1,Practices_SubPractices[Org]="Small"),SUMIFS(Practices_SubPractices[C],Practices_SubPractices[CP],"1",Practices_SubPractices[Org],"Small"),IF(AND(Practices_SubPractices[CP]=2,Practices_SubPractices[Org]="Small"),SUMIFS(Practices_SubPractices[C],Practices_SubPractices[CP],"2",Practices_SubPractices[Org],"Small"),IF(AND(Practices_SubPractices[CP]=3,Practices_SubPractices[Org]="Small"),SUMIFS(Practices_SubPractices[C],Practices_SubPractices[CP],"3",Practices_SubPractices[Org],"Small"),IF(AND(Practices_SubPractices[CP]=4,Practices_SubPractices[Org]="Small"),SUMIFS(Practices_SubPractices[C],Practices_SubPractices[CP],"4",Practices_SubPractices[Org],"Small"),IF(AND(Practices_SubPractices[CP]=5,Practices_SubPractices[Org]="Small"),SUMIFS(Practices_SubPractices[C],Practices_SubPractices[CP],"5",Practices_SubPractices[Org],"Small"),IF(AND(Practices_SubPractices[CP]=6,Practices_SubPractices[Org]="Small"),SUMIFS(Practices_SubPractices[C],Practices_SubPractices[CP],"6",Practices_SubPractices[Org],"Small"),IF(AND(Practices_SubPractices[CP]=7,Practices_SubPractices[Org] ="Small"),SUMIFS(Practices_SubPractices[C],Practices_SubPractices[CP],"7",Practices_SubPractices[Org],"Small"),IF(AND(Practices_SubPractices[CP]=8,Practices_SubPractices[Org] ="Small"),SUMIFS(Practices_SubPractices[C],Practices_SubPractices[CP],"8",Practices_SubPractices[Org],"Small"),IF(AND(Practices_SubPractices[CP]=9,Practices_SubPractices[Org] ="Small"),SUMIFS(Practices_SubPractices[C],Practices_SubPractices[CP],"9",Practices_SubPractices[Org],"Small"),IF(AND(Practices_SubPractices[CP]=10,Practices_SubPractices[Org] ="Small"),SUMIFS(Practices_SubPractices[C],Practices_SubPractices[CP],"10",Practices_SubPractices[Org],"Small"),IF(AND(Practices_SubPractices[CP]=1,Practices_SubPractices[Org]="Medium"),SUMIFS(Practices_SubPractices[C],Practices_SubPractices[CP],"1",Practices_SubPractices[Org],"Medium"),IF(AND(Practices_SubPractices[CP]=2,Practices_SubPractices[Org]="Medium"),SUMIFS(Practices_SubPractices[C],Practices_SubPractices[CP],"2",Practices_SubPractices[Org],"Medium"),IF(AND(Practices_SubPractices[CP]=3,Practices_SubPractices[Org]="Medium"),SUMIFS(Practices_SubPractices[C],Practices_SubPractices[CP],"3",Practices_SubPractices[Org],"Medium"),IF(AND(Practices_SubPractices[CP]=4,Practices_SubPractices[Org]="Medium"),SUMIFS(Practices_SubPractices[C],Practices_SubPractices[CP],"4",Practices_SubPractices[Org],"Medium"),IF(AND(Practices_SubPractices[CP]=5,Practices_SubPractices[Org]="Medium"),SUMIFS(Practices_SubPractices[C],Practices_SubPractices[CP],"5",Practices_SubPractices[Org],"Medium"),IF(AND(Practices_SubPractices[CP]=6,Practices_SubPractices[Org]="Medium"),SUMIFS(Practices_SubPractices[C],Practices_SubPractices[CP],"6",Practices_SubPractices[Org],"Medium"),IF(AND(Practices_SubPractices[CP]=7,Practices_SubPractices[Org] ="Medium"),SUMIFS(Practices_SubPractices[C],Practices_SubPractices[CP],"7",Practices_SubPractices[Org],"Medium"),IF(AND(Practices_SubPractices[CP]=8,Practices_SubPractices[Org] ="Medium"),SUMIFS(Practices_SubPractices[C],Practices_SubPractices[CP],"8",Practices_SubPractices[Org],"Medium"),IF(AND(Practices_SubPractices[CP]=9,Practices_SubPractices[Org] ="Medium"),SUMIFS(Practices_SubPractices[C],Practices_SubPractices[CP],"9",Practices_SubPractices[Org],"Medium"),IF(AND(Practices_SubPractices[CP]=10,Practices_SubPractices[Org] ="Medium"),SUMIFS(Practices_SubPractices[C],Practices_SubPractices[CP],"10",Practices_SubPractices[Org],"Medium"),IF(AND(Practices_SubPractices[CP]=1,Practices_SubPractices[Org]="Large"),SUMIFS(Practices_SubPractices[C],Practices_SubPractices[CP],"1",Practices_SubPractices[Org],"Large"),IF(AND(Practices_SubPractices[CP]=2,Practices_SubPractices[Org]="Large"),SUMIFS(Practices_SubPractices[C],Practices_SubPractices[CP],"2",Practices_SubPractices[Org],"Large"),IF(AND(Practices_SubPractices[CP]=3,Practices_SubPractices[Org]="Large"),SUMIFS(Practices_SubPractices[C],Practices_SubPractices[CP],"3",Practices_SubPractices[Org],"Large"),IF(AND(Practices_SubPractices[CP]=4,Practices_SubPractices[Org]="Large"),SUMIFS(Practices_SubPractices[C],Practices_SubPractices[CP],"4",Practices_SubPractices[Org],"Large"),IF(AND(Practices_SubPractices[CP]=5,Practices_SubPractices[Org]="Large"),SUMIFS(Practices_SubPractices[C],Practices_SubPractices[CP],"5",Practices_SubPractices[Org],"Large"),IF(AND(Practices_SubPractices[CP]=6,Practices_SubPractices[Org]="Large"),SUMIFS(Practices_SubPractices[C],Practices_SubPractices[CP],"6",Practices_SubPractices[Org],"Large"),IF(AND(Practices_SubPractices[CP]=7,Practices_SubPractices[Org] ="Large"),SUMIFS(Practices_SubPractices[C],Practices_SubPractices[CP],"7",Practices_SubPractices[Org],"Large"),IF(AND(Practices_SubPractices[CP]=8,Practices_SubPractices[Org] ="Large"),SUMIFS(Practices_SubPractices[C],Practices_SubPractices[CP],"8",Practices_SubPractices[Org],"Large"),IF(AND(Practices_SubPractices[CP]=9,Practices_SubPractices[Org] ="Large"),SUMIFS(Practices_SubPractices[C],Practices_SubPractices[CP],"9",Practices_SubPractices[Org],"Large"),IF(AND(Practices_SubPractices[CP]=10,Practices_SubPractices[Org] ="Large"),SUMIFS(Practices_SubPractices[C],Practices_SubPractices[CP],"10",Practices_SubPractices[Org],"Large"),"TBD"))))))))))))))))))))))))))))))</f>
        <v>2</v>
      </c>
      <c r="Q122" s="77">
        <f>IF(AND(Practices_SubPractices[CP]=1,Practices_SubPractices[Org]="Small"),SUMIFS(Practices_SubPractices[D],Practices_SubPractices[CP],"1",Practices_SubPractices[Org],"Small"),IF(AND(Practices_SubPractices[CP]=2,Practices_SubPractices[Org]="Small"),SUMIFS(Practices_SubPractices[D],Practices_SubPractices[CP],"2",Practices_SubPractices[Org],"Small"),IF(AND(Practices_SubPractices[CP]=3,Practices_SubPractices[Org]="Small"),SUMIFS(Practices_SubPractices[D],Practices_SubPractices[CP],"3",Practices_SubPractices[Org],"Small"),IF(AND(Practices_SubPractices[CP]=4,Practices_SubPractices[Org]="Small"),SUMIFS(Practices_SubPractices[D],Practices_SubPractices[CP],"4",Practices_SubPractices[Org],"Small"),IF(AND(Practices_SubPractices[CP]=5,Practices_SubPractices[Org]="Small"),SUMIFS(Practices_SubPractices[D],Practices_SubPractices[CP],"5",Practices_SubPractices[Org],"Small"),IF(AND(Practices_SubPractices[CP]=6,Practices_SubPractices[Org]="Small"),SUMIFS(Practices_SubPractices[D],Practices_SubPractices[CP],"6",Practices_SubPractices[Org],"Small"),IF(AND(Practices_SubPractices[CP]=7,Practices_SubPractices[Org] ="Small"),SUMIFS(Practices_SubPractices[D],Practices_SubPractices[CP],"7",Practices_SubPractices[Org],"Small"),IF(AND(Practices_SubPractices[CP]=8,Practices_SubPractices[Org] ="Small"),SUMIFS(Practices_SubPractices[D],Practices_SubPractices[CP],"8",Practices_SubPractices[Org],"Small"),IF(AND(Practices_SubPractices[CP]=9,Practices_SubPractices[Org] ="Small"),SUMIFS(Practices_SubPractices[D],Practices_SubPractices[CP],"9",Practices_SubPractices[Org],"Small"),IF(AND(Practices_SubPractices[CP]=10,Practices_SubPractices[Org] ="Small"),SUMIFS(Practices_SubPractices[D],Practices_SubPractices[CP],"10",Practices_SubPractices[Org],"Small"),IF(AND(Practices_SubPractices[CP]=1,Practices_SubPractices[Org]="Medium"),SUMIFS(Practices_SubPractices[D],Practices_SubPractices[CP],"1",Practices_SubPractices[Org],"Medium"),IF(AND(Practices_SubPractices[CP]=2,Practices_SubPractices[Org]="Medium"),SUMIFS(Practices_SubPractices[D],Practices_SubPractices[CP],"2",Practices_SubPractices[Org],"Medium"),IF(AND(Practices_SubPractices[CP]=3,Practices_SubPractices[Org]="Medium"),SUMIFS(Practices_SubPractices[D],Practices_SubPractices[CP],"3",Practices_SubPractices[Org],"Medium"),IF(AND(Practices_SubPractices[CP]=4,Practices_SubPractices[Org]="Medium"),SUMIFS(Practices_SubPractices[D],Practices_SubPractices[CP],"4",Practices_SubPractices[Org],"Medium"),IF(AND(Practices_SubPractices[CP]=5,Practices_SubPractices[Org]="Medium"),SUMIFS(Practices_SubPractices[D],Practices_SubPractices[CP],"5",Practices_SubPractices[Org],"Medium"),IF(AND(Practices_SubPractices[CP]=6,Practices_SubPractices[Org]="Medium"),SUMIFS(Practices_SubPractices[D],Practices_SubPractices[CP],"6",Practices_SubPractices[Org],"Medium"),IF(AND(Practices_SubPractices[CP]=7,Practices_SubPractices[Org] ="Medium"),SUMIFS(Practices_SubPractices[D],Practices_SubPractices[CP],"7",Practices_SubPractices[Org],"Medium"),IF(AND(Practices_SubPractices[CP]=8,Practices_SubPractices[Org] ="Medium"),SUMIFS(Practices_SubPractices[D],Practices_SubPractices[CP],"8",Practices_SubPractices[Org],"Medium"),IF(AND(Practices_SubPractices[CP]=9,Practices_SubPractices[Org] ="Medium"),SUMIFS(Practices_SubPractices[D],Practices_SubPractices[CP],"9",Practices_SubPractices[Org],"Medium"),IF(AND(Practices_SubPractices[CP]=10,Practices_SubPractices[Org] ="Medium"),SUMIFS(Practices_SubPractices[D],Practices_SubPractices[CP],"10",Practices_SubPractices[Org],"Medium"),IF(AND(Practices_SubPractices[CP]=1,Practices_SubPractices[Org]="Large"),SUMIFS(Practices_SubPractices[D],Practices_SubPractices[CP],"1",Practices_SubPractices[Org],"Large"),IF(AND(Practices_SubPractices[CP]=2,Practices_SubPractices[Org]="Large"),SUMIFS(Practices_SubPractices[D],Practices_SubPractices[CP],"2",Practices_SubPractices[Org],"Large"),IF(AND(Practices_SubPractices[CP]=3,Practices_SubPractices[Org]="Large"),SUMIFS(Practices_SubPractices[D],Practices_SubPractices[CP],"3",Practices_SubPractices[Org],"Large"),IF(AND(Practices_SubPractices[CP]=4,Practices_SubPractices[Org]="Large"),SUMIFS(Practices_SubPractices[D],Practices_SubPractices[CP],"4",Practices_SubPractices[Org],"Large"),IF(AND(Practices_SubPractices[CP]=5,Practices_SubPractices[Org]="Large"),SUMIFS(Practices_SubPractices[D],Practices_SubPractices[CP],"5",Practices_SubPractices[Org],"Large"),IF(AND(Practices_SubPractices[CP]=6,Practices_SubPractices[Org]="Large"),SUMIFS(Practices_SubPractices[D],Practices_SubPractices[CP],"6",Practices_SubPractices[Org],"Large"),IF(AND(Practices_SubPractices[CP]=7,Practices_SubPractices[Org] ="Large"),SUMIFS(Practices_SubPractices[D],Practices_SubPractices[CP],"7",Practices_SubPractices[Org],"Large"),IF(AND(Practices_SubPractices[CP]=8,Practices_SubPractices[Org] ="Large"),SUMIFS(Practices_SubPractices[D],Practices_SubPractices[CP],"8",Practices_SubPractices[Org],"Large"),IF(AND(Practices_SubPractices[CP]=9,Practices_SubPractices[Org] ="Large"),SUMIFS(Practices_SubPractices[D],Practices_SubPractices[CP],"9",Practices_SubPractices[Org],"Large"),IF(AND(Practices_SubPractices[CP]=10,Practices_SubPractices[Org] ="Large"),SUMIFS(Practices_SubPractices[D],Practices_SubPractices[CP],"10",Practices_SubPractices[Org],"Large"),"TBD"))))))))))))))))))))))))))))))</f>
        <v>13</v>
      </c>
      <c r="R122" s="77">
        <f>IF(AND(Practices_SubPractices[CP]=1,Practices_SubPractices[Org]="Small"),SUMIFS(Practices_SubPractices[E],Practices_SubPractices[CP],"1",Practices_SubPractices[Org],"Small"),IF(AND(Practices_SubPractices[CP]=2,Practices_SubPractices[Org]="Small"),SUMIFS(Practices_SubPractices[E],Practices_SubPractices[CP],"2",Practices_SubPractices[Org],"Small"),IF(AND(Practices_SubPractices[CP]=3,Practices_SubPractices[Org]="Small"),SUMIFS(Practices_SubPractices[E],Practices_SubPractices[CP],"3",Practices_SubPractices[Org],"Small"),IF(AND(Practices_SubPractices[CP]=4,Practices_SubPractices[Org]="Small"),SUMIFS(Practices_SubPractices[E],Practices_SubPractices[CP],"4",Practices_SubPractices[Org],"Small"),IF(AND(Practices_SubPractices[CP]=5,Practices_SubPractices[Org]="Small"),SUMIFS(Practices_SubPractices[E],Practices_SubPractices[CP],"5",Practices_SubPractices[Org],"Small"),IF(AND(Practices_SubPractices[CP]=6,Practices_SubPractices[Org]="Small"),SUMIFS(Practices_SubPractices[E],Practices_SubPractices[CP],"6",Practices_SubPractices[Org],"Small"),IF(AND(Practices_SubPractices[CP]=7,Practices_SubPractices[Org] ="Small"),SUMIFS(Practices_SubPractices[E],Practices_SubPractices[CP],"7",Practices_SubPractices[Org],"Small"),IF(AND(Practices_SubPractices[CP]=8,Practices_SubPractices[Org] ="Small"),SUMIFS(Practices_SubPractices[E],Practices_SubPractices[CP],"8",Practices_SubPractices[Org],"Small"),IF(AND(Practices_SubPractices[CP]=9,Practices_SubPractices[Org] ="Small"),SUMIFS(Practices_SubPractices[E],Practices_SubPractices[CP],"9",Practices_SubPractices[Org],"Small"),IF(AND(Practices_SubPractices[CP]=10,Practices_SubPractices[Org] ="Small"),SUMIFS(Practices_SubPractices[E],Practices_SubPractices[CP],"10",Practices_SubPractices[Org],"Small"),IF(AND(Practices_SubPractices[CP]=1,Practices_SubPractices[Org]="Medium"),SUMIFS(Practices_SubPractices[E],Practices_SubPractices[CP],"1",Practices_SubPractices[Org],"Medium"),IF(AND(Practices_SubPractices[CP]=2,Practices_SubPractices[Org]="Medium"),SUMIFS(Practices_SubPractices[E],Practices_SubPractices[CP],"2",Practices_SubPractices[Org],"Medium"),IF(AND(Practices_SubPractices[CP]=3,Practices_SubPractices[Org]="Medium"),SUMIFS(Practices_SubPractices[E],Practices_SubPractices[CP],"3",Practices_SubPractices[Org],"Medium"),IF(AND(Practices_SubPractices[CP]=4,Practices_SubPractices[Org]="Medium"),SUMIFS(Practices_SubPractices[E],Practices_SubPractices[CP],"4",Practices_SubPractices[Org],"Medium"),IF(AND(Practices_SubPractices[CP]=5,Practices_SubPractices[Org]="Medium"),SUMIFS(Practices_SubPractices[E],Practices_SubPractices[CP],"5",Practices_SubPractices[Org],"Medium"),IF(AND(Practices_SubPractices[CP]=6,Practices_SubPractices[Org]="Medium"),SUMIFS(Practices_SubPractices[E],Practices_SubPractices[CP],"6",Practices_SubPractices[Org],"Medium"),IF(AND(Practices_SubPractices[CP]=7,Practices_SubPractices[Org] ="Medium"),SUMIFS(Practices_SubPractices[E],Practices_SubPractices[CP],"7",Practices_SubPractices[Org],"Medium"),IF(AND(Practices_SubPractices[CP]=8,Practices_SubPractices[Org] ="Medium"),SUMIFS(Practices_SubPractices[E],Practices_SubPractices[CP],"8",Practices_SubPractices[Org],"Medium"),IF(AND(Practices_SubPractices[CP]=9,Practices_SubPractices[Org] ="Medium"),SUMIFS(Practices_SubPractices[E],Practices_SubPractices[CP],"9",Practices_SubPractices[Org],"Medium"),IF(AND(Practices_SubPractices[CP]=10,Practices_SubPractices[Org] ="Medium"),SUMIFS(Practices_SubPractices[E],Practices_SubPractices[CP],"10",Practices_SubPractices[Org],"Medium"),IF(AND(Practices_SubPractices[CP]=1,Practices_SubPractices[Org]="Large"),SUMIFS(Practices_SubPractices[E],Practices_SubPractices[CP],"1",Practices_SubPractices[Org],"Large"),IF(AND(Practices_SubPractices[CP]=2,Practices_SubPractices[Org]="Large"),SUMIFS(Practices_SubPractices[E],Practices_SubPractices[CP],"2",Practices_SubPractices[Org],"Large"),IF(AND(Practices_SubPractices[CP]=3,Practices_SubPractices[Org]="Large"),SUMIFS(Practices_SubPractices[E],Practices_SubPractices[CP],"3",Practices_SubPractices[Org],"Large"),IF(AND(Practices_SubPractices[CP]=4,Practices_SubPractices[Org]="Large"),SUMIFS(Practices_SubPractices[E],Practices_SubPractices[CP],"4",Practices_SubPractices[Org],"Large"),IF(AND(Practices_SubPractices[CP]=5,Practices_SubPractices[Org]="Large"),SUMIFS(Practices_SubPractices[E],Practices_SubPractices[CP],"5",Practices_SubPractices[Org],"Large"),IF(AND(Practices_SubPractices[CP]=6,Practices_SubPractices[Org]="Large"),SUMIFS(Practices_SubPractices[E],Practices_SubPractices[CP],"6",Practices_SubPractices[Org],"Large"),IF(AND(Practices_SubPractices[CP]=7,Practices_SubPractices[Org] ="Large"),SUMIFS(Practices_SubPractices[E],Practices_SubPractices[CP],"7",Practices_SubPractices[Org],"Large"),IF(AND(Practices_SubPractices[CP]=8,Practices_SubPractices[Org] ="Large"),SUMIFS(Practices_SubPractices[E],Practices_SubPractices[CP],"8",Practices_SubPractices[Org],"Large"),IF(AND(Practices_SubPractices[CP]=9,Practices_SubPractices[Org] ="Large"),SUMIFS(Practices_SubPractices[E],Practices_SubPractices[CP],"9",Practices_SubPractices[Org],"Large"),IF(AND(Practices_SubPractices[CP]=10,Practices_SubPractices[Org] ="Large"),SUMIFS(Practices_SubPractices[E],Practices_SubPractices[CP],"10",Practices_SubPractices[Org],"Large"),"TBD"))))))))))))))))))))))))))))))</f>
        <v>12</v>
      </c>
      <c r="S122" s="87" t="s">
        <v>444</v>
      </c>
    </row>
    <row r="123" spans="1:19" x14ac:dyDescent="0.35">
      <c r="A123" s="73">
        <v>113</v>
      </c>
      <c r="B123" s="73">
        <v>6</v>
      </c>
      <c r="C123" s="80" t="s">
        <v>12</v>
      </c>
      <c r="D123" s="73" t="str">
        <f>Practices_SubPractices[[#This Row],[CP]]&amp;LEFT(Practices_SubPractices[[#This Row],[Org]],1)</f>
        <v>6L</v>
      </c>
      <c r="E123" s="73" t="s">
        <v>212</v>
      </c>
      <c r="F123" s="74" t="s">
        <v>126</v>
      </c>
      <c r="G123" s="74" t="s">
        <v>129</v>
      </c>
      <c r="H123" s="74" t="s">
        <v>244</v>
      </c>
      <c r="I123" s="75">
        <v>1</v>
      </c>
      <c r="J123" s="75">
        <v>2</v>
      </c>
      <c r="K123" s="75">
        <v>2</v>
      </c>
      <c r="L123" s="75">
        <v>1</v>
      </c>
      <c r="M123" s="75">
        <v>1</v>
      </c>
      <c r="N123" s="76"/>
      <c r="O123" s="77">
        <f>IF(AND(Practices_SubPractices[CP]=1,Practices_SubPractices[Org]="Small"),SUMIFS(Practices_SubPractices[B],Practices_SubPractices[CP],"1",Practices_SubPractices[Org],"Small"),IF(AND(Practices_SubPractices[CP]=2,Practices_SubPractices[Org]="Small"),SUMIFS(Practices_SubPractices[B],Practices_SubPractices[CP],"2",Practices_SubPractices[Org],"Small"),IF(AND(Practices_SubPractices[CP]=3,Practices_SubPractices[Org]="Small"),SUMIFS(Practices_SubPractices[B],Practices_SubPractices[CP],"3",Practices_SubPractices[Org],"Small"),IF(AND(Practices_SubPractices[CP]=4,Practices_SubPractices[Org]="Small"),SUMIFS(Practices_SubPractices[B],Practices_SubPractices[CP],"4",Practices_SubPractices[Org],"Small"),IF(AND(Practices_SubPractices[CP]=5,Practices_SubPractices[Org]="Small"),SUMIFS(Practices_SubPractices[B],Practices_SubPractices[CP],"5",Practices_SubPractices[Org],"Small"),IF(AND(Practices_SubPractices[CP]=6,Practices_SubPractices[Org]="Small"),SUMIFS(Practices_SubPractices[B],Practices_SubPractices[CP],"6",Practices_SubPractices[Org],"Small"),IF(AND(Practices_SubPractices[CP]=7,Practices_SubPractices[Org] ="Small"),SUMIFS(Practices_SubPractices[B],Practices_SubPractices[CP],"7",Practices_SubPractices[Org],"Small"),IF(AND(Practices_SubPractices[CP]=8,Practices_SubPractices[Org] ="Small"),SUMIFS(Practices_SubPractices[B],Practices_SubPractices[CP],"8",Practices_SubPractices[Org],"Small"),IF(AND(Practices_SubPractices[CP]=9,Practices_SubPractices[Org] ="Small"),SUMIFS(Practices_SubPractices[B],Practices_SubPractices[CP],"9",Practices_SubPractices[Org],"Small"),IF(AND(Practices_SubPractices[CP]=10,Practices_SubPractices[Org] ="Small"),SUMIFS(Practices_SubPractices[B],Practices_SubPractices[CP],"10",Practices_SubPractices[Org],"Small"),IF(AND(Practices_SubPractices[CP]=1,Practices_SubPractices[Org]="Medium"),SUMIFS(Practices_SubPractices[B],Practices_SubPractices[CP],"1",Practices_SubPractices[Org],"Medium"),IF(AND(Practices_SubPractices[CP]=2,Practices_SubPractices[Org]="Medium"),SUMIFS(Practices_SubPractices[B],Practices_SubPractices[CP],"2",Practices_SubPractices[Org],"Medium"),IF(AND(Practices_SubPractices[CP]=3,Practices_SubPractices[Org]="Medium"),SUMIFS(Practices_SubPractices[B],Practices_SubPractices[CP],"3",Practices_SubPractices[Org],"Medium"),IF(AND(Practices_SubPractices[CP]=4,Practices_SubPractices[Org]="Medium"),SUMIFS(Practices_SubPractices[B],Practices_SubPractices[CP],"4",Practices_SubPractices[Org],"Medium"),IF(AND(Practices_SubPractices[CP]=5,Practices_SubPractices[Org]="Medium"),SUMIFS(Practices_SubPractices[B],Practices_SubPractices[CP],"5",Practices_SubPractices[Org],"Medium"),IF(AND(Practices_SubPractices[CP]=6,Practices_SubPractices[Org]="Medium"),SUMIFS(Practices_SubPractices[B],Practices_SubPractices[CP],"6",Practices_SubPractices[Org],"Medium"),IF(AND(Practices_SubPractices[CP]=7,Practices_SubPractices[Org] ="Medium"),SUMIFS(Practices_SubPractices[B],Practices_SubPractices[CP],"7",Practices_SubPractices[Org],"Medium"),IF(AND(Practices_SubPractices[CP]=8,Practices_SubPractices[Org] ="Medium"),SUMIFS(Practices_SubPractices[B],Practices_SubPractices[CP],"8",Practices_SubPractices[Org],"Medium"),IF(AND(Practices_SubPractices[CP]=9,Practices_SubPractices[Org] ="Medium"),SUMIFS(Practices_SubPractices[B],Practices_SubPractices[CP],"9",Practices_SubPractices[Org],"Medium"),IF(AND(Practices_SubPractices[CP]=10,Practices_SubPractices[Org] ="Medium"),SUMIFS(Practices_SubPractices[B],Practices_SubPractices[CP],"10",Practices_SubPractices[Org],"Medium"),IF(AND(Practices_SubPractices[CP]=1,Practices_SubPractices[Org]="Large"),SUMIFS(Practices_SubPractices[B],Practices_SubPractices[CP],"1",Practices_SubPractices[Org],"Large"),IF(AND(Practices_SubPractices[CP]=2,Practices_SubPractices[Org]="Large"),SUMIFS(Practices_SubPractices[B],Practices_SubPractices[CP],"2",Practices_SubPractices[Org],"Large"),IF(AND(Practices_SubPractices[CP]=3,Practices_SubPractices[Org]="Large"),SUMIFS(Practices_SubPractices[B],Practices_SubPractices[CP],"3",Practices_SubPractices[Org],"Large"),IF(AND(Practices_SubPractices[CP]=4,Practices_SubPractices[Org]="Large"),SUMIFS(Practices_SubPractices[B],Practices_SubPractices[CP],"4",Practices_SubPractices[Org],"Large"),IF(AND(Practices_SubPractices[CP]=5,Practices_SubPractices[Org]="Large"),SUMIFS(Practices_SubPractices[B],Practices_SubPractices[CP],"5",Practices_SubPractices[Org],"Large"),IF(AND(Practices_SubPractices[CP]=6,Practices_SubPractices[Org]="Large"),SUMIFS(Practices_SubPractices[B],Practices_SubPractices[CP],"6",Practices_SubPractices[Org],"Large"),IF(AND(Practices_SubPractices[CP]=7,Practices_SubPractices[Org] ="Large"),SUMIFS(Practices_SubPractices[B],Practices_SubPractices[CP],"7",Practices_SubPractices[Org],"Large"),IF(AND(Practices_SubPractices[CP]=8,Practices_SubPractices[Org] ="Large"),SUMIFS(Practices_SubPractices[B],Practices_SubPractices[CP],"8",Practices_SubPractices[Org],"Large"),IF(AND(Practices_SubPractices[CP]=9,Practices_SubPractices[Org] ="Large"),SUMIFS(Practices_SubPractices[B],Practices_SubPractices[CP],"9",Practices_SubPractices[Org],"Large"),IF(AND(Practices_SubPractices[CP]=10,Practices_SubPractices[Org] ="Large"),SUMIFS(Practices_SubPractices[B],Practices_SubPractices[CP],"10",Practices_SubPractices[Org],"Large"),"TBD"))))))))))))))))))))))))))))))</f>
        <v>15</v>
      </c>
      <c r="P123" s="77">
        <f>IF(AND(Practices_SubPractices[CP]=1,Practices_SubPractices[Org]="Small"),SUMIFS(Practices_SubPractices[C],Practices_SubPractices[CP],"1",Practices_SubPractices[Org],"Small"),IF(AND(Practices_SubPractices[CP]=2,Practices_SubPractices[Org]="Small"),SUMIFS(Practices_SubPractices[C],Practices_SubPractices[CP],"2",Practices_SubPractices[Org],"Small"),IF(AND(Practices_SubPractices[CP]=3,Practices_SubPractices[Org]="Small"),SUMIFS(Practices_SubPractices[C],Practices_SubPractices[CP],"3",Practices_SubPractices[Org],"Small"),IF(AND(Practices_SubPractices[CP]=4,Practices_SubPractices[Org]="Small"),SUMIFS(Practices_SubPractices[C],Practices_SubPractices[CP],"4",Practices_SubPractices[Org],"Small"),IF(AND(Practices_SubPractices[CP]=5,Practices_SubPractices[Org]="Small"),SUMIFS(Practices_SubPractices[C],Practices_SubPractices[CP],"5",Practices_SubPractices[Org],"Small"),IF(AND(Practices_SubPractices[CP]=6,Practices_SubPractices[Org]="Small"),SUMIFS(Practices_SubPractices[C],Practices_SubPractices[CP],"6",Practices_SubPractices[Org],"Small"),IF(AND(Practices_SubPractices[CP]=7,Practices_SubPractices[Org] ="Small"),SUMIFS(Practices_SubPractices[C],Practices_SubPractices[CP],"7",Practices_SubPractices[Org],"Small"),IF(AND(Practices_SubPractices[CP]=8,Practices_SubPractices[Org] ="Small"),SUMIFS(Practices_SubPractices[C],Practices_SubPractices[CP],"8",Practices_SubPractices[Org],"Small"),IF(AND(Practices_SubPractices[CP]=9,Practices_SubPractices[Org] ="Small"),SUMIFS(Practices_SubPractices[C],Practices_SubPractices[CP],"9",Practices_SubPractices[Org],"Small"),IF(AND(Practices_SubPractices[CP]=10,Practices_SubPractices[Org] ="Small"),SUMIFS(Practices_SubPractices[C],Practices_SubPractices[CP],"10",Practices_SubPractices[Org],"Small"),IF(AND(Practices_SubPractices[CP]=1,Practices_SubPractices[Org]="Medium"),SUMIFS(Practices_SubPractices[C],Practices_SubPractices[CP],"1",Practices_SubPractices[Org],"Medium"),IF(AND(Practices_SubPractices[CP]=2,Practices_SubPractices[Org]="Medium"),SUMIFS(Practices_SubPractices[C],Practices_SubPractices[CP],"2",Practices_SubPractices[Org],"Medium"),IF(AND(Practices_SubPractices[CP]=3,Practices_SubPractices[Org]="Medium"),SUMIFS(Practices_SubPractices[C],Practices_SubPractices[CP],"3",Practices_SubPractices[Org],"Medium"),IF(AND(Practices_SubPractices[CP]=4,Practices_SubPractices[Org]="Medium"),SUMIFS(Practices_SubPractices[C],Practices_SubPractices[CP],"4",Practices_SubPractices[Org],"Medium"),IF(AND(Practices_SubPractices[CP]=5,Practices_SubPractices[Org]="Medium"),SUMIFS(Practices_SubPractices[C],Practices_SubPractices[CP],"5",Practices_SubPractices[Org],"Medium"),IF(AND(Practices_SubPractices[CP]=6,Practices_SubPractices[Org]="Medium"),SUMIFS(Practices_SubPractices[C],Practices_SubPractices[CP],"6",Practices_SubPractices[Org],"Medium"),IF(AND(Practices_SubPractices[CP]=7,Practices_SubPractices[Org] ="Medium"),SUMIFS(Practices_SubPractices[C],Practices_SubPractices[CP],"7",Practices_SubPractices[Org],"Medium"),IF(AND(Practices_SubPractices[CP]=8,Practices_SubPractices[Org] ="Medium"),SUMIFS(Practices_SubPractices[C],Practices_SubPractices[CP],"8",Practices_SubPractices[Org],"Medium"),IF(AND(Practices_SubPractices[CP]=9,Practices_SubPractices[Org] ="Medium"),SUMIFS(Practices_SubPractices[C],Practices_SubPractices[CP],"9",Practices_SubPractices[Org],"Medium"),IF(AND(Practices_SubPractices[CP]=10,Practices_SubPractices[Org] ="Medium"),SUMIFS(Practices_SubPractices[C],Practices_SubPractices[CP],"10",Practices_SubPractices[Org],"Medium"),IF(AND(Practices_SubPractices[CP]=1,Practices_SubPractices[Org]="Large"),SUMIFS(Practices_SubPractices[C],Practices_SubPractices[CP],"1",Practices_SubPractices[Org],"Large"),IF(AND(Practices_SubPractices[CP]=2,Practices_SubPractices[Org]="Large"),SUMIFS(Practices_SubPractices[C],Practices_SubPractices[CP],"2",Practices_SubPractices[Org],"Large"),IF(AND(Practices_SubPractices[CP]=3,Practices_SubPractices[Org]="Large"),SUMIFS(Practices_SubPractices[C],Practices_SubPractices[CP],"3",Practices_SubPractices[Org],"Large"),IF(AND(Practices_SubPractices[CP]=4,Practices_SubPractices[Org]="Large"),SUMIFS(Practices_SubPractices[C],Practices_SubPractices[CP],"4",Practices_SubPractices[Org],"Large"),IF(AND(Practices_SubPractices[CP]=5,Practices_SubPractices[Org]="Large"),SUMIFS(Practices_SubPractices[C],Practices_SubPractices[CP],"5",Practices_SubPractices[Org],"Large"),IF(AND(Practices_SubPractices[CP]=6,Practices_SubPractices[Org]="Large"),SUMIFS(Practices_SubPractices[C],Practices_SubPractices[CP],"6",Practices_SubPractices[Org],"Large"),IF(AND(Practices_SubPractices[CP]=7,Practices_SubPractices[Org] ="Large"),SUMIFS(Practices_SubPractices[C],Practices_SubPractices[CP],"7",Practices_SubPractices[Org],"Large"),IF(AND(Practices_SubPractices[CP]=8,Practices_SubPractices[Org] ="Large"),SUMIFS(Practices_SubPractices[C],Practices_SubPractices[CP],"8",Practices_SubPractices[Org],"Large"),IF(AND(Practices_SubPractices[CP]=9,Practices_SubPractices[Org] ="Large"),SUMIFS(Practices_SubPractices[C],Practices_SubPractices[CP],"9",Practices_SubPractices[Org],"Large"),IF(AND(Practices_SubPractices[CP]=10,Practices_SubPractices[Org] ="Large"),SUMIFS(Practices_SubPractices[C],Practices_SubPractices[CP],"10",Practices_SubPractices[Org],"Large"),"TBD"))))))))))))))))))))))))))))))</f>
        <v>2</v>
      </c>
      <c r="Q123" s="77">
        <f>IF(AND(Practices_SubPractices[CP]=1,Practices_SubPractices[Org]="Small"),SUMIFS(Practices_SubPractices[D],Practices_SubPractices[CP],"1",Practices_SubPractices[Org],"Small"),IF(AND(Practices_SubPractices[CP]=2,Practices_SubPractices[Org]="Small"),SUMIFS(Practices_SubPractices[D],Practices_SubPractices[CP],"2",Practices_SubPractices[Org],"Small"),IF(AND(Practices_SubPractices[CP]=3,Practices_SubPractices[Org]="Small"),SUMIFS(Practices_SubPractices[D],Practices_SubPractices[CP],"3",Practices_SubPractices[Org],"Small"),IF(AND(Practices_SubPractices[CP]=4,Practices_SubPractices[Org]="Small"),SUMIFS(Practices_SubPractices[D],Practices_SubPractices[CP],"4",Practices_SubPractices[Org],"Small"),IF(AND(Practices_SubPractices[CP]=5,Practices_SubPractices[Org]="Small"),SUMIFS(Practices_SubPractices[D],Practices_SubPractices[CP],"5",Practices_SubPractices[Org],"Small"),IF(AND(Practices_SubPractices[CP]=6,Practices_SubPractices[Org]="Small"),SUMIFS(Practices_SubPractices[D],Practices_SubPractices[CP],"6",Practices_SubPractices[Org],"Small"),IF(AND(Practices_SubPractices[CP]=7,Practices_SubPractices[Org] ="Small"),SUMIFS(Practices_SubPractices[D],Practices_SubPractices[CP],"7",Practices_SubPractices[Org],"Small"),IF(AND(Practices_SubPractices[CP]=8,Practices_SubPractices[Org] ="Small"),SUMIFS(Practices_SubPractices[D],Practices_SubPractices[CP],"8",Practices_SubPractices[Org],"Small"),IF(AND(Practices_SubPractices[CP]=9,Practices_SubPractices[Org] ="Small"),SUMIFS(Practices_SubPractices[D],Practices_SubPractices[CP],"9",Practices_SubPractices[Org],"Small"),IF(AND(Practices_SubPractices[CP]=10,Practices_SubPractices[Org] ="Small"),SUMIFS(Practices_SubPractices[D],Practices_SubPractices[CP],"10",Practices_SubPractices[Org],"Small"),IF(AND(Practices_SubPractices[CP]=1,Practices_SubPractices[Org]="Medium"),SUMIFS(Practices_SubPractices[D],Practices_SubPractices[CP],"1",Practices_SubPractices[Org],"Medium"),IF(AND(Practices_SubPractices[CP]=2,Practices_SubPractices[Org]="Medium"),SUMIFS(Practices_SubPractices[D],Practices_SubPractices[CP],"2",Practices_SubPractices[Org],"Medium"),IF(AND(Practices_SubPractices[CP]=3,Practices_SubPractices[Org]="Medium"),SUMIFS(Practices_SubPractices[D],Practices_SubPractices[CP],"3",Practices_SubPractices[Org],"Medium"),IF(AND(Practices_SubPractices[CP]=4,Practices_SubPractices[Org]="Medium"),SUMIFS(Practices_SubPractices[D],Practices_SubPractices[CP],"4",Practices_SubPractices[Org],"Medium"),IF(AND(Practices_SubPractices[CP]=5,Practices_SubPractices[Org]="Medium"),SUMIFS(Practices_SubPractices[D],Practices_SubPractices[CP],"5",Practices_SubPractices[Org],"Medium"),IF(AND(Practices_SubPractices[CP]=6,Practices_SubPractices[Org]="Medium"),SUMIFS(Practices_SubPractices[D],Practices_SubPractices[CP],"6",Practices_SubPractices[Org],"Medium"),IF(AND(Practices_SubPractices[CP]=7,Practices_SubPractices[Org] ="Medium"),SUMIFS(Practices_SubPractices[D],Practices_SubPractices[CP],"7",Practices_SubPractices[Org],"Medium"),IF(AND(Practices_SubPractices[CP]=8,Practices_SubPractices[Org] ="Medium"),SUMIFS(Practices_SubPractices[D],Practices_SubPractices[CP],"8",Practices_SubPractices[Org],"Medium"),IF(AND(Practices_SubPractices[CP]=9,Practices_SubPractices[Org] ="Medium"),SUMIFS(Practices_SubPractices[D],Practices_SubPractices[CP],"9",Practices_SubPractices[Org],"Medium"),IF(AND(Practices_SubPractices[CP]=10,Practices_SubPractices[Org] ="Medium"),SUMIFS(Practices_SubPractices[D],Practices_SubPractices[CP],"10",Practices_SubPractices[Org],"Medium"),IF(AND(Practices_SubPractices[CP]=1,Practices_SubPractices[Org]="Large"),SUMIFS(Practices_SubPractices[D],Practices_SubPractices[CP],"1",Practices_SubPractices[Org],"Large"),IF(AND(Practices_SubPractices[CP]=2,Practices_SubPractices[Org]="Large"),SUMIFS(Practices_SubPractices[D],Practices_SubPractices[CP],"2",Practices_SubPractices[Org],"Large"),IF(AND(Practices_SubPractices[CP]=3,Practices_SubPractices[Org]="Large"),SUMIFS(Practices_SubPractices[D],Practices_SubPractices[CP],"3",Practices_SubPractices[Org],"Large"),IF(AND(Practices_SubPractices[CP]=4,Practices_SubPractices[Org]="Large"),SUMIFS(Practices_SubPractices[D],Practices_SubPractices[CP],"4",Practices_SubPractices[Org],"Large"),IF(AND(Practices_SubPractices[CP]=5,Practices_SubPractices[Org]="Large"),SUMIFS(Practices_SubPractices[D],Practices_SubPractices[CP],"5",Practices_SubPractices[Org],"Large"),IF(AND(Practices_SubPractices[CP]=6,Practices_SubPractices[Org]="Large"),SUMIFS(Practices_SubPractices[D],Practices_SubPractices[CP],"6",Practices_SubPractices[Org],"Large"),IF(AND(Practices_SubPractices[CP]=7,Practices_SubPractices[Org] ="Large"),SUMIFS(Practices_SubPractices[D],Practices_SubPractices[CP],"7",Practices_SubPractices[Org],"Large"),IF(AND(Practices_SubPractices[CP]=8,Practices_SubPractices[Org] ="Large"),SUMIFS(Practices_SubPractices[D],Practices_SubPractices[CP],"8",Practices_SubPractices[Org],"Large"),IF(AND(Practices_SubPractices[CP]=9,Practices_SubPractices[Org] ="Large"),SUMIFS(Practices_SubPractices[D],Practices_SubPractices[CP],"9",Practices_SubPractices[Org],"Large"),IF(AND(Practices_SubPractices[CP]=10,Practices_SubPractices[Org] ="Large"),SUMIFS(Practices_SubPractices[D],Practices_SubPractices[CP],"10",Practices_SubPractices[Org],"Large"),"TBD"))))))))))))))))))))))))))))))</f>
        <v>13</v>
      </c>
      <c r="R123" s="77">
        <f>IF(AND(Practices_SubPractices[CP]=1,Practices_SubPractices[Org]="Small"),SUMIFS(Practices_SubPractices[E],Practices_SubPractices[CP],"1",Practices_SubPractices[Org],"Small"),IF(AND(Practices_SubPractices[CP]=2,Practices_SubPractices[Org]="Small"),SUMIFS(Practices_SubPractices[E],Practices_SubPractices[CP],"2",Practices_SubPractices[Org],"Small"),IF(AND(Practices_SubPractices[CP]=3,Practices_SubPractices[Org]="Small"),SUMIFS(Practices_SubPractices[E],Practices_SubPractices[CP],"3",Practices_SubPractices[Org],"Small"),IF(AND(Practices_SubPractices[CP]=4,Practices_SubPractices[Org]="Small"),SUMIFS(Practices_SubPractices[E],Practices_SubPractices[CP],"4",Practices_SubPractices[Org],"Small"),IF(AND(Practices_SubPractices[CP]=5,Practices_SubPractices[Org]="Small"),SUMIFS(Practices_SubPractices[E],Practices_SubPractices[CP],"5",Practices_SubPractices[Org],"Small"),IF(AND(Practices_SubPractices[CP]=6,Practices_SubPractices[Org]="Small"),SUMIFS(Practices_SubPractices[E],Practices_SubPractices[CP],"6",Practices_SubPractices[Org],"Small"),IF(AND(Practices_SubPractices[CP]=7,Practices_SubPractices[Org] ="Small"),SUMIFS(Practices_SubPractices[E],Practices_SubPractices[CP],"7",Practices_SubPractices[Org],"Small"),IF(AND(Practices_SubPractices[CP]=8,Practices_SubPractices[Org] ="Small"),SUMIFS(Practices_SubPractices[E],Practices_SubPractices[CP],"8",Practices_SubPractices[Org],"Small"),IF(AND(Practices_SubPractices[CP]=9,Practices_SubPractices[Org] ="Small"),SUMIFS(Practices_SubPractices[E],Practices_SubPractices[CP],"9",Practices_SubPractices[Org],"Small"),IF(AND(Practices_SubPractices[CP]=10,Practices_SubPractices[Org] ="Small"),SUMIFS(Practices_SubPractices[E],Practices_SubPractices[CP],"10",Practices_SubPractices[Org],"Small"),IF(AND(Practices_SubPractices[CP]=1,Practices_SubPractices[Org]="Medium"),SUMIFS(Practices_SubPractices[E],Practices_SubPractices[CP],"1",Practices_SubPractices[Org],"Medium"),IF(AND(Practices_SubPractices[CP]=2,Practices_SubPractices[Org]="Medium"),SUMIFS(Practices_SubPractices[E],Practices_SubPractices[CP],"2",Practices_SubPractices[Org],"Medium"),IF(AND(Practices_SubPractices[CP]=3,Practices_SubPractices[Org]="Medium"),SUMIFS(Practices_SubPractices[E],Practices_SubPractices[CP],"3",Practices_SubPractices[Org],"Medium"),IF(AND(Practices_SubPractices[CP]=4,Practices_SubPractices[Org]="Medium"),SUMIFS(Practices_SubPractices[E],Practices_SubPractices[CP],"4",Practices_SubPractices[Org],"Medium"),IF(AND(Practices_SubPractices[CP]=5,Practices_SubPractices[Org]="Medium"),SUMIFS(Practices_SubPractices[E],Practices_SubPractices[CP],"5",Practices_SubPractices[Org],"Medium"),IF(AND(Practices_SubPractices[CP]=6,Practices_SubPractices[Org]="Medium"),SUMIFS(Practices_SubPractices[E],Practices_SubPractices[CP],"6",Practices_SubPractices[Org],"Medium"),IF(AND(Practices_SubPractices[CP]=7,Practices_SubPractices[Org] ="Medium"),SUMIFS(Practices_SubPractices[E],Practices_SubPractices[CP],"7",Practices_SubPractices[Org],"Medium"),IF(AND(Practices_SubPractices[CP]=8,Practices_SubPractices[Org] ="Medium"),SUMIFS(Practices_SubPractices[E],Practices_SubPractices[CP],"8",Practices_SubPractices[Org],"Medium"),IF(AND(Practices_SubPractices[CP]=9,Practices_SubPractices[Org] ="Medium"),SUMIFS(Practices_SubPractices[E],Practices_SubPractices[CP],"9",Practices_SubPractices[Org],"Medium"),IF(AND(Practices_SubPractices[CP]=10,Practices_SubPractices[Org] ="Medium"),SUMIFS(Practices_SubPractices[E],Practices_SubPractices[CP],"10",Practices_SubPractices[Org],"Medium"),IF(AND(Practices_SubPractices[CP]=1,Practices_SubPractices[Org]="Large"),SUMIFS(Practices_SubPractices[E],Practices_SubPractices[CP],"1",Practices_SubPractices[Org],"Large"),IF(AND(Practices_SubPractices[CP]=2,Practices_SubPractices[Org]="Large"),SUMIFS(Practices_SubPractices[E],Practices_SubPractices[CP],"2",Practices_SubPractices[Org],"Large"),IF(AND(Practices_SubPractices[CP]=3,Practices_SubPractices[Org]="Large"),SUMIFS(Practices_SubPractices[E],Practices_SubPractices[CP],"3",Practices_SubPractices[Org],"Large"),IF(AND(Practices_SubPractices[CP]=4,Practices_SubPractices[Org]="Large"),SUMIFS(Practices_SubPractices[E],Practices_SubPractices[CP],"4",Practices_SubPractices[Org],"Large"),IF(AND(Practices_SubPractices[CP]=5,Practices_SubPractices[Org]="Large"),SUMIFS(Practices_SubPractices[E],Practices_SubPractices[CP],"5",Practices_SubPractices[Org],"Large"),IF(AND(Practices_SubPractices[CP]=6,Practices_SubPractices[Org]="Large"),SUMIFS(Practices_SubPractices[E],Practices_SubPractices[CP],"6",Practices_SubPractices[Org],"Large"),IF(AND(Practices_SubPractices[CP]=7,Practices_SubPractices[Org] ="Large"),SUMIFS(Practices_SubPractices[E],Practices_SubPractices[CP],"7",Practices_SubPractices[Org],"Large"),IF(AND(Practices_SubPractices[CP]=8,Practices_SubPractices[Org] ="Large"),SUMIFS(Practices_SubPractices[E],Practices_SubPractices[CP],"8",Practices_SubPractices[Org],"Large"),IF(AND(Practices_SubPractices[CP]=9,Practices_SubPractices[Org] ="Large"),SUMIFS(Practices_SubPractices[E],Practices_SubPractices[CP],"9",Practices_SubPractices[Org],"Large"),IF(AND(Practices_SubPractices[CP]=10,Practices_SubPractices[Org] ="Large"),SUMIFS(Practices_SubPractices[E],Practices_SubPractices[CP],"10",Practices_SubPractices[Org],"Large"),"TBD"))))))))))))))))))))))))))))))</f>
        <v>12</v>
      </c>
      <c r="S123" s="87" t="s">
        <v>445</v>
      </c>
    </row>
    <row r="124" spans="1:19" x14ac:dyDescent="0.35">
      <c r="A124" s="73">
        <v>114</v>
      </c>
      <c r="B124" s="73">
        <v>7</v>
      </c>
      <c r="C124" s="80" t="s">
        <v>12</v>
      </c>
      <c r="D124" s="73" t="str">
        <f>Practices_SubPractices[[#This Row],[CP]]&amp;LEFT(Practices_SubPractices[[#This Row],[Org]],1)</f>
        <v>7L</v>
      </c>
      <c r="E124" s="73" t="s">
        <v>265</v>
      </c>
      <c r="F124" s="74" t="s">
        <v>139</v>
      </c>
      <c r="G124" s="74" t="s">
        <v>141</v>
      </c>
      <c r="H124" s="74" t="s">
        <v>247</v>
      </c>
      <c r="I124" s="75">
        <v>2</v>
      </c>
      <c r="J124" s="75">
        <v>2</v>
      </c>
      <c r="K124" s="75">
        <v>0</v>
      </c>
      <c r="L124" s="75">
        <v>2</v>
      </c>
      <c r="M124" s="75">
        <v>1</v>
      </c>
      <c r="N124" s="76"/>
      <c r="O124" s="77">
        <f>IF(AND(Practices_SubPractices[CP]=1,Practices_SubPractices[Org]="Small"),SUMIFS(Practices_SubPractices[B],Practices_SubPractices[CP],"1",Practices_SubPractices[Org],"Small"),IF(AND(Practices_SubPractices[CP]=2,Practices_SubPractices[Org]="Small"),SUMIFS(Practices_SubPractices[B],Practices_SubPractices[CP],"2",Practices_SubPractices[Org],"Small"),IF(AND(Practices_SubPractices[CP]=3,Practices_SubPractices[Org]="Small"),SUMIFS(Practices_SubPractices[B],Practices_SubPractices[CP],"3",Practices_SubPractices[Org],"Small"),IF(AND(Practices_SubPractices[CP]=4,Practices_SubPractices[Org]="Small"),SUMIFS(Practices_SubPractices[B],Practices_SubPractices[CP],"4",Practices_SubPractices[Org],"Small"),IF(AND(Practices_SubPractices[CP]=5,Practices_SubPractices[Org]="Small"),SUMIFS(Practices_SubPractices[B],Practices_SubPractices[CP],"5",Practices_SubPractices[Org],"Small"),IF(AND(Practices_SubPractices[CP]=6,Practices_SubPractices[Org]="Small"),SUMIFS(Practices_SubPractices[B],Practices_SubPractices[CP],"6",Practices_SubPractices[Org],"Small"),IF(AND(Practices_SubPractices[CP]=7,Practices_SubPractices[Org] ="Small"),SUMIFS(Practices_SubPractices[B],Practices_SubPractices[CP],"7",Practices_SubPractices[Org],"Small"),IF(AND(Practices_SubPractices[CP]=8,Practices_SubPractices[Org] ="Small"),SUMIFS(Practices_SubPractices[B],Practices_SubPractices[CP],"8",Practices_SubPractices[Org],"Small"),IF(AND(Practices_SubPractices[CP]=9,Practices_SubPractices[Org] ="Small"),SUMIFS(Practices_SubPractices[B],Practices_SubPractices[CP],"9",Practices_SubPractices[Org],"Small"),IF(AND(Practices_SubPractices[CP]=10,Practices_SubPractices[Org] ="Small"),SUMIFS(Practices_SubPractices[B],Practices_SubPractices[CP],"10",Practices_SubPractices[Org],"Small"),IF(AND(Practices_SubPractices[CP]=1,Practices_SubPractices[Org]="Medium"),SUMIFS(Practices_SubPractices[B],Practices_SubPractices[CP],"1",Practices_SubPractices[Org],"Medium"),IF(AND(Practices_SubPractices[CP]=2,Practices_SubPractices[Org]="Medium"),SUMIFS(Practices_SubPractices[B],Practices_SubPractices[CP],"2",Practices_SubPractices[Org],"Medium"),IF(AND(Practices_SubPractices[CP]=3,Practices_SubPractices[Org]="Medium"),SUMIFS(Practices_SubPractices[B],Practices_SubPractices[CP],"3",Practices_SubPractices[Org],"Medium"),IF(AND(Practices_SubPractices[CP]=4,Practices_SubPractices[Org]="Medium"),SUMIFS(Practices_SubPractices[B],Practices_SubPractices[CP],"4",Practices_SubPractices[Org],"Medium"),IF(AND(Practices_SubPractices[CP]=5,Practices_SubPractices[Org]="Medium"),SUMIFS(Practices_SubPractices[B],Practices_SubPractices[CP],"5",Practices_SubPractices[Org],"Medium"),IF(AND(Practices_SubPractices[CP]=6,Practices_SubPractices[Org]="Medium"),SUMIFS(Practices_SubPractices[B],Practices_SubPractices[CP],"6",Practices_SubPractices[Org],"Medium"),IF(AND(Practices_SubPractices[CP]=7,Practices_SubPractices[Org] ="Medium"),SUMIFS(Practices_SubPractices[B],Practices_SubPractices[CP],"7",Practices_SubPractices[Org],"Medium"),IF(AND(Practices_SubPractices[CP]=8,Practices_SubPractices[Org] ="Medium"),SUMIFS(Practices_SubPractices[B],Practices_SubPractices[CP],"8",Practices_SubPractices[Org],"Medium"),IF(AND(Practices_SubPractices[CP]=9,Practices_SubPractices[Org] ="Medium"),SUMIFS(Practices_SubPractices[B],Practices_SubPractices[CP],"9",Practices_SubPractices[Org],"Medium"),IF(AND(Practices_SubPractices[CP]=10,Practices_SubPractices[Org] ="Medium"),SUMIFS(Practices_SubPractices[B],Practices_SubPractices[CP],"10",Practices_SubPractices[Org],"Medium"),IF(AND(Practices_SubPractices[CP]=1,Practices_SubPractices[Org]="Large"),SUMIFS(Practices_SubPractices[B],Practices_SubPractices[CP],"1",Practices_SubPractices[Org],"Large"),IF(AND(Practices_SubPractices[CP]=2,Practices_SubPractices[Org]="Large"),SUMIFS(Practices_SubPractices[B],Practices_SubPractices[CP],"2",Practices_SubPractices[Org],"Large"),IF(AND(Practices_SubPractices[CP]=3,Practices_SubPractices[Org]="Large"),SUMIFS(Practices_SubPractices[B],Practices_SubPractices[CP],"3",Practices_SubPractices[Org],"Large"),IF(AND(Practices_SubPractices[CP]=4,Practices_SubPractices[Org]="Large"),SUMIFS(Practices_SubPractices[B],Practices_SubPractices[CP],"4",Practices_SubPractices[Org],"Large"),IF(AND(Practices_SubPractices[CP]=5,Practices_SubPractices[Org]="Large"),SUMIFS(Practices_SubPractices[B],Practices_SubPractices[CP],"5",Practices_SubPractices[Org],"Large"),IF(AND(Practices_SubPractices[CP]=6,Practices_SubPractices[Org]="Large"),SUMIFS(Practices_SubPractices[B],Practices_SubPractices[CP],"6",Practices_SubPractices[Org],"Large"),IF(AND(Practices_SubPractices[CP]=7,Practices_SubPractices[Org] ="Large"),SUMIFS(Practices_SubPractices[B],Practices_SubPractices[CP],"7",Practices_SubPractices[Org],"Large"),IF(AND(Practices_SubPractices[CP]=8,Practices_SubPractices[Org] ="Large"),SUMIFS(Practices_SubPractices[B],Practices_SubPractices[CP],"8",Practices_SubPractices[Org],"Large"),IF(AND(Practices_SubPractices[CP]=9,Practices_SubPractices[Org] ="Large"),SUMIFS(Practices_SubPractices[B],Practices_SubPractices[CP],"9",Practices_SubPractices[Org],"Large"),IF(AND(Practices_SubPractices[CP]=10,Practices_SubPractices[Org] ="Large"),SUMIFS(Practices_SubPractices[B],Practices_SubPractices[CP],"10",Practices_SubPractices[Org],"Large"),"TBD"))))))))))))))))))))))))))))))</f>
        <v>11</v>
      </c>
      <c r="P124" s="77">
        <f>IF(AND(Practices_SubPractices[CP]=1,Practices_SubPractices[Org]="Small"),SUMIFS(Practices_SubPractices[C],Practices_SubPractices[CP],"1",Practices_SubPractices[Org],"Small"),IF(AND(Practices_SubPractices[CP]=2,Practices_SubPractices[Org]="Small"),SUMIFS(Practices_SubPractices[C],Practices_SubPractices[CP],"2",Practices_SubPractices[Org],"Small"),IF(AND(Practices_SubPractices[CP]=3,Practices_SubPractices[Org]="Small"),SUMIFS(Practices_SubPractices[C],Practices_SubPractices[CP],"3",Practices_SubPractices[Org],"Small"),IF(AND(Practices_SubPractices[CP]=4,Practices_SubPractices[Org]="Small"),SUMIFS(Practices_SubPractices[C],Practices_SubPractices[CP],"4",Practices_SubPractices[Org],"Small"),IF(AND(Practices_SubPractices[CP]=5,Practices_SubPractices[Org]="Small"),SUMIFS(Practices_SubPractices[C],Practices_SubPractices[CP],"5",Practices_SubPractices[Org],"Small"),IF(AND(Practices_SubPractices[CP]=6,Practices_SubPractices[Org]="Small"),SUMIFS(Practices_SubPractices[C],Practices_SubPractices[CP],"6",Practices_SubPractices[Org],"Small"),IF(AND(Practices_SubPractices[CP]=7,Practices_SubPractices[Org] ="Small"),SUMIFS(Practices_SubPractices[C],Practices_SubPractices[CP],"7",Practices_SubPractices[Org],"Small"),IF(AND(Practices_SubPractices[CP]=8,Practices_SubPractices[Org] ="Small"),SUMIFS(Practices_SubPractices[C],Practices_SubPractices[CP],"8",Practices_SubPractices[Org],"Small"),IF(AND(Practices_SubPractices[CP]=9,Practices_SubPractices[Org] ="Small"),SUMIFS(Practices_SubPractices[C],Practices_SubPractices[CP],"9",Practices_SubPractices[Org],"Small"),IF(AND(Practices_SubPractices[CP]=10,Practices_SubPractices[Org] ="Small"),SUMIFS(Practices_SubPractices[C],Practices_SubPractices[CP],"10",Practices_SubPractices[Org],"Small"),IF(AND(Practices_SubPractices[CP]=1,Practices_SubPractices[Org]="Medium"),SUMIFS(Practices_SubPractices[C],Practices_SubPractices[CP],"1",Practices_SubPractices[Org],"Medium"),IF(AND(Practices_SubPractices[CP]=2,Practices_SubPractices[Org]="Medium"),SUMIFS(Practices_SubPractices[C],Practices_SubPractices[CP],"2",Practices_SubPractices[Org],"Medium"),IF(AND(Practices_SubPractices[CP]=3,Practices_SubPractices[Org]="Medium"),SUMIFS(Practices_SubPractices[C],Practices_SubPractices[CP],"3",Practices_SubPractices[Org],"Medium"),IF(AND(Practices_SubPractices[CP]=4,Practices_SubPractices[Org]="Medium"),SUMIFS(Practices_SubPractices[C],Practices_SubPractices[CP],"4",Practices_SubPractices[Org],"Medium"),IF(AND(Practices_SubPractices[CP]=5,Practices_SubPractices[Org]="Medium"),SUMIFS(Practices_SubPractices[C],Practices_SubPractices[CP],"5",Practices_SubPractices[Org],"Medium"),IF(AND(Practices_SubPractices[CP]=6,Practices_SubPractices[Org]="Medium"),SUMIFS(Practices_SubPractices[C],Practices_SubPractices[CP],"6",Practices_SubPractices[Org],"Medium"),IF(AND(Practices_SubPractices[CP]=7,Practices_SubPractices[Org] ="Medium"),SUMIFS(Practices_SubPractices[C],Practices_SubPractices[CP],"7",Practices_SubPractices[Org],"Medium"),IF(AND(Practices_SubPractices[CP]=8,Practices_SubPractices[Org] ="Medium"),SUMIFS(Practices_SubPractices[C],Practices_SubPractices[CP],"8",Practices_SubPractices[Org],"Medium"),IF(AND(Practices_SubPractices[CP]=9,Practices_SubPractices[Org] ="Medium"),SUMIFS(Practices_SubPractices[C],Practices_SubPractices[CP],"9",Practices_SubPractices[Org],"Medium"),IF(AND(Practices_SubPractices[CP]=10,Practices_SubPractices[Org] ="Medium"),SUMIFS(Practices_SubPractices[C],Practices_SubPractices[CP],"10",Practices_SubPractices[Org],"Medium"),IF(AND(Practices_SubPractices[CP]=1,Practices_SubPractices[Org]="Large"),SUMIFS(Practices_SubPractices[C],Practices_SubPractices[CP],"1",Practices_SubPractices[Org],"Large"),IF(AND(Practices_SubPractices[CP]=2,Practices_SubPractices[Org]="Large"),SUMIFS(Practices_SubPractices[C],Practices_SubPractices[CP],"2",Practices_SubPractices[Org],"Large"),IF(AND(Practices_SubPractices[CP]=3,Practices_SubPractices[Org]="Large"),SUMIFS(Practices_SubPractices[C],Practices_SubPractices[CP],"3",Practices_SubPractices[Org],"Large"),IF(AND(Practices_SubPractices[CP]=4,Practices_SubPractices[Org]="Large"),SUMIFS(Practices_SubPractices[C],Practices_SubPractices[CP],"4",Practices_SubPractices[Org],"Large"),IF(AND(Practices_SubPractices[CP]=5,Practices_SubPractices[Org]="Large"),SUMIFS(Practices_SubPractices[C],Practices_SubPractices[CP],"5",Practices_SubPractices[Org],"Large"),IF(AND(Practices_SubPractices[CP]=6,Practices_SubPractices[Org]="Large"),SUMIFS(Practices_SubPractices[C],Practices_SubPractices[CP],"6",Practices_SubPractices[Org],"Large"),IF(AND(Practices_SubPractices[CP]=7,Practices_SubPractices[Org] ="Large"),SUMIFS(Practices_SubPractices[C],Practices_SubPractices[CP],"7",Practices_SubPractices[Org],"Large"),IF(AND(Practices_SubPractices[CP]=8,Practices_SubPractices[Org] ="Large"),SUMIFS(Practices_SubPractices[C],Practices_SubPractices[CP],"8",Practices_SubPractices[Org],"Large"),IF(AND(Practices_SubPractices[CP]=9,Practices_SubPractices[Org] ="Large"),SUMIFS(Practices_SubPractices[C],Practices_SubPractices[CP],"9",Practices_SubPractices[Org],"Large"),IF(AND(Practices_SubPractices[CP]=10,Practices_SubPractices[Org] ="Large"),SUMIFS(Practices_SubPractices[C],Practices_SubPractices[CP],"10",Practices_SubPractices[Org],"Large"),"TBD"))))))))))))))))))))))))))))))</f>
        <v>1</v>
      </c>
      <c r="Q124" s="77">
        <f>IF(AND(Practices_SubPractices[CP]=1,Practices_SubPractices[Org]="Small"),SUMIFS(Practices_SubPractices[D],Practices_SubPractices[CP],"1",Practices_SubPractices[Org],"Small"),IF(AND(Practices_SubPractices[CP]=2,Practices_SubPractices[Org]="Small"),SUMIFS(Practices_SubPractices[D],Practices_SubPractices[CP],"2",Practices_SubPractices[Org],"Small"),IF(AND(Practices_SubPractices[CP]=3,Practices_SubPractices[Org]="Small"),SUMIFS(Practices_SubPractices[D],Practices_SubPractices[CP],"3",Practices_SubPractices[Org],"Small"),IF(AND(Practices_SubPractices[CP]=4,Practices_SubPractices[Org]="Small"),SUMIFS(Practices_SubPractices[D],Practices_SubPractices[CP],"4",Practices_SubPractices[Org],"Small"),IF(AND(Practices_SubPractices[CP]=5,Practices_SubPractices[Org]="Small"),SUMIFS(Practices_SubPractices[D],Practices_SubPractices[CP],"5",Practices_SubPractices[Org],"Small"),IF(AND(Practices_SubPractices[CP]=6,Practices_SubPractices[Org]="Small"),SUMIFS(Practices_SubPractices[D],Practices_SubPractices[CP],"6",Practices_SubPractices[Org],"Small"),IF(AND(Practices_SubPractices[CP]=7,Practices_SubPractices[Org] ="Small"),SUMIFS(Practices_SubPractices[D],Practices_SubPractices[CP],"7",Practices_SubPractices[Org],"Small"),IF(AND(Practices_SubPractices[CP]=8,Practices_SubPractices[Org] ="Small"),SUMIFS(Practices_SubPractices[D],Practices_SubPractices[CP],"8",Practices_SubPractices[Org],"Small"),IF(AND(Practices_SubPractices[CP]=9,Practices_SubPractices[Org] ="Small"),SUMIFS(Practices_SubPractices[D],Practices_SubPractices[CP],"9",Practices_SubPractices[Org],"Small"),IF(AND(Practices_SubPractices[CP]=10,Practices_SubPractices[Org] ="Small"),SUMIFS(Practices_SubPractices[D],Practices_SubPractices[CP],"10",Practices_SubPractices[Org],"Small"),IF(AND(Practices_SubPractices[CP]=1,Practices_SubPractices[Org]="Medium"),SUMIFS(Practices_SubPractices[D],Practices_SubPractices[CP],"1",Practices_SubPractices[Org],"Medium"),IF(AND(Practices_SubPractices[CP]=2,Practices_SubPractices[Org]="Medium"),SUMIFS(Practices_SubPractices[D],Practices_SubPractices[CP],"2",Practices_SubPractices[Org],"Medium"),IF(AND(Practices_SubPractices[CP]=3,Practices_SubPractices[Org]="Medium"),SUMIFS(Practices_SubPractices[D],Practices_SubPractices[CP],"3",Practices_SubPractices[Org],"Medium"),IF(AND(Practices_SubPractices[CP]=4,Practices_SubPractices[Org]="Medium"),SUMIFS(Practices_SubPractices[D],Practices_SubPractices[CP],"4",Practices_SubPractices[Org],"Medium"),IF(AND(Practices_SubPractices[CP]=5,Practices_SubPractices[Org]="Medium"),SUMIFS(Practices_SubPractices[D],Practices_SubPractices[CP],"5",Practices_SubPractices[Org],"Medium"),IF(AND(Practices_SubPractices[CP]=6,Practices_SubPractices[Org]="Medium"),SUMIFS(Practices_SubPractices[D],Practices_SubPractices[CP],"6",Practices_SubPractices[Org],"Medium"),IF(AND(Practices_SubPractices[CP]=7,Practices_SubPractices[Org] ="Medium"),SUMIFS(Practices_SubPractices[D],Practices_SubPractices[CP],"7",Practices_SubPractices[Org],"Medium"),IF(AND(Practices_SubPractices[CP]=8,Practices_SubPractices[Org] ="Medium"),SUMIFS(Practices_SubPractices[D],Practices_SubPractices[CP],"8",Practices_SubPractices[Org],"Medium"),IF(AND(Practices_SubPractices[CP]=9,Practices_SubPractices[Org] ="Medium"),SUMIFS(Practices_SubPractices[D],Practices_SubPractices[CP],"9",Practices_SubPractices[Org],"Medium"),IF(AND(Practices_SubPractices[CP]=10,Practices_SubPractices[Org] ="Medium"),SUMIFS(Practices_SubPractices[D],Practices_SubPractices[CP],"10",Practices_SubPractices[Org],"Medium"),IF(AND(Practices_SubPractices[CP]=1,Practices_SubPractices[Org]="Large"),SUMIFS(Practices_SubPractices[D],Practices_SubPractices[CP],"1",Practices_SubPractices[Org],"Large"),IF(AND(Practices_SubPractices[CP]=2,Practices_SubPractices[Org]="Large"),SUMIFS(Practices_SubPractices[D],Practices_SubPractices[CP],"2",Practices_SubPractices[Org],"Large"),IF(AND(Practices_SubPractices[CP]=3,Practices_SubPractices[Org]="Large"),SUMIFS(Practices_SubPractices[D],Practices_SubPractices[CP],"3",Practices_SubPractices[Org],"Large"),IF(AND(Practices_SubPractices[CP]=4,Practices_SubPractices[Org]="Large"),SUMIFS(Practices_SubPractices[D],Practices_SubPractices[CP],"4",Practices_SubPractices[Org],"Large"),IF(AND(Practices_SubPractices[CP]=5,Practices_SubPractices[Org]="Large"),SUMIFS(Practices_SubPractices[D],Practices_SubPractices[CP],"5",Practices_SubPractices[Org],"Large"),IF(AND(Practices_SubPractices[CP]=6,Practices_SubPractices[Org]="Large"),SUMIFS(Practices_SubPractices[D],Practices_SubPractices[CP],"6",Practices_SubPractices[Org],"Large"),IF(AND(Practices_SubPractices[CP]=7,Practices_SubPractices[Org] ="Large"),SUMIFS(Practices_SubPractices[D],Practices_SubPractices[CP],"7",Practices_SubPractices[Org],"Large"),IF(AND(Practices_SubPractices[CP]=8,Practices_SubPractices[Org] ="Large"),SUMIFS(Practices_SubPractices[D],Practices_SubPractices[CP],"8",Practices_SubPractices[Org],"Large"),IF(AND(Practices_SubPractices[CP]=9,Practices_SubPractices[Org] ="Large"),SUMIFS(Practices_SubPractices[D],Practices_SubPractices[CP],"9",Practices_SubPractices[Org],"Large"),IF(AND(Practices_SubPractices[CP]=10,Practices_SubPractices[Org] ="Large"),SUMIFS(Practices_SubPractices[D],Practices_SubPractices[CP],"10",Practices_SubPractices[Org],"Large"),"TBD"))))))))))))))))))))))))))))))</f>
        <v>11</v>
      </c>
      <c r="R124" s="77">
        <f>IF(AND(Practices_SubPractices[CP]=1,Practices_SubPractices[Org]="Small"),SUMIFS(Practices_SubPractices[E],Practices_SubPractices[CP],"1",Practices_SubPractices[Org],"Small"),IF(AND(Practices_SubPractices[CP]=2,Practices_SubPractices[Org]="Small"),SUMIFS(Practices_SubPractices[E],Practices_SubPractices[CP],"2",Practices_SubPractices[Org],"Small"),IF(AND(Practices_SubPractices[CP]=3,Practices_SubPractices[Org]="Small"),SUMIFS(Practices_SubPractices[E],Practices_SubPractices[CP],"3",Practices_SubPractices[Org],"Small"),IF(AND(Practices_SubPractices[CP]=4,Practices_SubPractices[Org]="Small"),SUMIFS(Practices_SubPractices[E],Practices_SubPractices[CP],"4",Practices_SubPractices[Org],"Small"),IF(AND(Practices_SubPractices[CP]=5,Practices_SubPractices[Org]="Small"),SUMIFS(Practices_SubPractices[E],Practices_SubPractices[CP],"5",Practices_SubPractices[Org],"Small"),IF(AND(Practices_SubPractices[CP]=6,Practices_SubPractices[Org]="Small"),SUMIFS(Practices_SubPractices[E],Practices_SubPractices[CP],"6",Practices_SubPractices[Org],"Small"),IF(AND(Practices_SubPractices[CP]=7,Practices_SubPractices[Org] ="Small"),SUMIFS(Practices_SubPractices[E],Practices_SubPractices[CP],"7",Practices_SubPractices[Org],"Small"),IF(AND(Practices_SubPractices[CP]=8,Practices_SubPractices[Org] ="Small"),SUMIFS(Practices_SubPractices[E],Practices_SubPractices[CP],"8",Practices_SubPractices[Org],"Small"),IF(AND(Practices_SubPractices[CP]=9,Practices_SubPractices[Org] ="Small"),SUMIFS(Practices_SubPractices[E],Practices_SubPractices[CP],"9",Practices_SubPractices[Org],"Small"),IF(AND(Practices_SubPractices[CP]=10,Practices_SubPractices[Org] ="Small"),SUMIFS(Practices_SubPractices[E],Practices_SubPractices[CP],"10",Practices_SubPractices[Org],"Small"),IF(AND(Practices_SubPractices[CP]=1,Practices_SubPractices[Org]="Medium"),SUMIFS(Practices_SubPractices[E],Practices_SubPractices[CP],"1",Practices_SubPractices[Org],"Medium"),IF(AND(Practices_SubPractices[CP]=2,Practices_SubPractices[Org]="Medium"),SUMIFS(Practices_SubPractices[E],Practices_SubPractices[CP],"2",Practices_SubPractices[Org],"Medium"),IF(AND(Practices_SubPractices[CP]=3,Practices_SubPractices[Org]="Medium"),SUMIFS(Practices_SubPractices[E],Practices_SubPractices[CP],"3",Practices_SubPractices[Org],"Medium"),IF(AND(Practices_SubPractices[CP]=4,Practices_SubPractices[Org]="Medium"),SUMIFS(Practices_SubPractices[E],Practices_SubPractices[CP],"4",Practices_SubPractices[Org],"Medium"),IF(AND(Practices_SubPractices[CP]=5,Practices_SubPractices[Org]="Medium"),SUMIFS(Practices_SubPractices[E],Practices_SubPractices[CP],"5",Practices_SubPractices[Org],"Medium"),IF(AND(Practices_SubPractices[CP]=6,Practices_SubPractices[Org]="Medium"),SUMIFS(Practices_SubPractices[E],Practices_SubPractices[CP],"6",Practices_SubPractices[Org],"Medium"),IF(AND(Practices_SubPractices[CP]=7,Practices_SubPractices[Org] ="Medium"),SUMIFS(Practices_SubPractices[E],Practices_SubPractices[CP],"7",Practices_SubPractices[Org],"Medium"),IF(AND(Practices_SubPractices[CP]=8,Practices_SubPractices[Org] ="Medium"),SUMIFS(Practices_SubPractices[E],Practices_SubPractices[CP],"8",Practices_SubPractices[Org],"Medium"),IF(AND(Practices_SubPractices[CP]=9,Practices_SubPractices[Org] ="Medium"),SUMIFS(Practices_SubPractices[E],Practices_SubPractices[CP],"9",Practices_SubPractices[Org],"Medium"),IF(AND(Practices_SubPractices[CP]=10,Practices_SubPractices[Org] ="Medium"),SUMIFS(Practices_SubPractices[E],Practices_SubPractices[CP],"10",Practices_SubPractices[Org],"Medium"),IF(AND(Practices_SubPractices[CP]=1,Practices_SubPractices[Org]="Large"),SUMIFS(Practices_SubPractices[E],Practices_SubPractices[CP],"1",Practices_SubPractices[Org],"Large"),IF(AND(Practices_SubPractices[CP]=2,Practices_SubPractices[Org]="Large"),SUMIFS(Practices_SubPractices[E],Practices_SubPractices[CP],"2",Practices_SubPractices[Org],"Large"),IF(AND(Practices_SubPractices[CP]=3,Practices_SubPractices[Org]="Large"),SUMIFS(Practices_SubPractices[E],Practices_SubPractices[CP],"3",Practices_SubPractices[Org],"Large"),IF(AND(Practices_SubPractices[CP]=4,Practices_SubPractices[Org]="Large"),SUMIFS(Practices_SubPractices[E],Practices_SubPractices[CP],"4",Practices_SubPractices[Org],"Large"),IF(AND(Practices_SubPractices[CP]=5,Practices_SubPractices[Org]="Large"),SUMIFS(Practices_SubPractices[E],Practices_SubPractices[CP],"5",Practices_SubPractices[Org],"Large"),IF(AND(Practices_SubPractices[CP]=6,Practices_SubPractices[Org]="Large"),SUMIFS(Practices_SubPractices[E],Practices_SubPractices[CP],"6",Practices_SubPractices[Org],"Large"),IF(AND(Practices_SubPractices[CP]=7,Practices_SubPractices[Org] ="Large"),SUMIFS(Practices_SubPractices[E],Practices_SubPractices[CP],"7",Practices_SubPractices[Org],"Large"),IF(AND(Practices_SubPractices[CP]=8,Practices_SubPractices[Org] ="Large"),SUMIFS(Practices_SubPractices[E],Practices_SubPractices[CP],"8",Practices_SubPractices[Org],"Large"),IF(AND(Practices_SubPractices[CP]=9,Practices_SubPractices[Org] ="Large"),SUMIFS(Practices_SubPractices[E],Practices_SubPractices[CP],"9",Practices_SubPractices[Org],"Large"),IF(AND(Practices_SubPractices[CP]=10,Practices_SubPractices[Org] ="Large"),SUMIFS(Practices_SubPractices[E],Practices_SubPractices[CP],"10",Practices_SubPractices[Org],"Large"),"TBD"))))))))))))))))))))))))))))))</f>
        <v>4</v>
      </c>
      <c r="S124" s="87" t="s">
        <v>446</v>
      </c>
    </row>
    <row r="125" spans="1:19" x14ac:dyDescent="0.35">
      <c r="A125" s="73">
        <v>115</v>
      </c>
      <c r="B125" s="73">
        <v>7</v>
      </c>
      <c r="C125" s="80" t="s">
        <v>12</v>
      </c>
      <c r="D125" s="73" t="str">
        <f>Practices_SubPractices[[#This Row],[CP]]&amp;LEFT(Practices_SubPractices[[#This Row],[Org]],1)</f>
        <v>7L</v>
      </c>
      <c r="E125" s="73" t="s">
        <v>266</v>
      </c>
      <c r="F125" s="74" t="s">
        <v>140</v>
      </c>
      <c r="G125" s="74" t="s">
        <v>142</v>
      </c>
      <c r="H125" s="74" t="s">
        <v>248</v>
      </c>
      <c r="I125" s="75">
        <v>2</v>
      </c>
      <c r="J125" s="75">
        <v>2</v>
      </c>
      <c r="K125" s="75">
        <v>1</v>
      </c>
      <c r="L125" s="75">
        <v>2</v>
      </c>
      <c r="M125" s="75">
        <v>1</v>
      </c>
      <c r="N125" s="76"/>
      <c r="O125" s="77">
        <f>IF(AND(Practices_SubPractices[CP]=1,Practices_SubPractices[Org]="Small"),SUMIFS(Practices_SubPractices[B],Practices_SubPractices[CP],"1",Practices_SubPractices[Org],"Small"),IF(AND(Practices_SubPractices[CP]=2,Practices_SubPractices[Org]="Small"),SUMIFS(Practices_SubPractices[B],Practices_SubPractices[CP],"2",Practices_SubPractices[Org],"Small"),IF(AND(Practices_SubPractices[CP]=3,Practices_SubPractices[Org]="Small"),SUMIFS(Practices_SubPractices[B],Practices_SubPractices[CP],"3",Practices_SubPractices[Org],"Small"),IF(AND(Practices_SubPractices[CP]=4,Practices_SubPractices[Org]="Small"),SUMIFS(Practices_SubPractices[B],Practices_SubPractices[CP],"4",Practices_SubPractices[Org],"Small"),IF(AND(Practices_SubPractices[CP]=5,Practices_SubPractices[Org]="Small"),SUMIFS(Practices_SubPractices[B],Practices_SubPractices[CP],"5",Practices_SubPractices[Org],"Small"),IF(AND(Practices_SubPractices[CP]=6,Practices_SubPractices[Org]="Small"),SUMIFS(Practices_SubPractices[B],Practices_SubPractices[CP],"6",Practices_SubPractices[Org],"Small"),IF(AND(Practices_SubPractices[CP]=7,Practices_SubPractices[Org] ="Small"),SUMIFS(Practices_SubPractices[B],Practices_SubPractices[CP],"7",Practices_SubPractices[Org],"Small"),IF(AND(Practices_SubPractices[CP]=8,Practices_SubPractices[Org] ="Small"),SUMIFS(Practices_SubPractices[B],Practices_SubPractices[CP],"8",Practices_SubPractices[Org],"Small"),IF(AND(Practices_SubPractices[CP]=9,Practices_SubPractices[Org] ="Small"),SUMIFS(Practices_SubPractices[B],Practices_SubPractices[CP],"9",Practices_SubPractices[Org],"Small"),IF(AND(Practices_SubPractices[CP]=10,Practices_SubPractices[Org] ="Small"),SUMIFS(Practices_SubPractices[B],Practices_SubPractices[CP],"10",Practices_SubPractices[Org],"Small"),IF(AND(Practices_SubPractices[CP]=1,Practices_SubPractices[Org]="Medium"),SUMIFS(Practices_SubPractices[B],Practices_SubPractices[CP],"1",Practices_SubPractices[Org],"Medium"),IF(AND(Practices_SubPractices[CP]=2,Practices_SubPractices[Org]="Medium"),SUMIFS(Practices_SubPractices[B],Practices_SubPractices[CP],"2",Practices_SubPractices[Org],"Medium"),IF(AND(Practices_SubPractices[CP]=3,Practices_SubPractices[Org]="Medium"),SUMIFS(Practices_SubPractices[B],Practices_SubPractices[CP],"3",Practices_SubPractices[Org],"Medium"),IF(AND(Practices_SubPractices[CP]=4,Practices_SubPractices[Org]="Medium"),SUMIFS(Practices_SubPractices[B],Practices_SubPractices[CP],"4",Practices_SubPractices[Org],"Medium"),IF(AND(Practices_SubPractices[CP]=5,Practices_SubPractices[Org]="Medium"),SUMIFS(Practices_SubPractices[B],Practices_SubPractices[CP],"5",Practices_SubPractices[Org],"Medium"),IF(AND(Practices_SubPractices[CP]=6,Practices_SubPractices[Org]="Medium"),SUMIFS(Practices_SubPractices[B],Practices_SubPractices[CP],"6",Practices_SubPractices[Org],"Medium"),IF(AND(Practices_SubPractices[CP]=7,Practices_SubPractices[Org] ="Medium"),SUMIFS(Practices_SubPractices[B],Practices_SubPractices[CP],"7",Practices_SubPractices[Org],"Medium"),IF(AND(Practices_SubPractices[CP]=8,Practices_SubPractices[Org] ="Medium"),SUMIFS(Practices_SubPractices[B],Practices_SubPractices[CP],"8",Practices_SubPractices[Org],"Medium"),IF(AND(Practices_SubPractices[CP]=9,Practices_SubPractices[Org] ="Medium"),SUMIFS(Practices_SubPractices[B],Practices_SubPractices[CP],"9",Practices_SubPractices[Org],"Medium"),IF(AND(Practices_SubPractices[CP]=10,Practices_SubPractices[Org] ="Medium"),SUMIFS(Practices_SubPractices[B],Practices_SubPractices[CP],"10",Practices_SubPractices[Org],"Medium"),IF(AND(Practices_SubPractices[CP]=1,Practices_SubPractices[Org]="Large"),SUMIFS(Practices_SubPractices[B],Practices_SubPractices[CP],"1",Practices_SubPractices[Org],"Large"),IF(AND(Practices_SubPractices[CP]=2,Practices_SubPractices[Org]="Large"),SUMIFS(Practices_SubPractices[B],Practices_SubPractices[CP],"2",Practices_SubPractices[Org],"Large"),IF(AND(Practices_SubPractices[CP]=3,Practices_SubPractices[Org]="Large"),SUMIFS(Practices_SubPractices[B],Practices_SubPractices[CP],"3",Practices_SubPractices[Org],"Large"),IF(AND(Practices_SubPractices[CP]=4,Practices_SubPractices[Org]="Large"),SUMIFS(Practices_SubPractices[B],Practices_SubPractices[CP],"4",Practices_SubPractices[Org],"Large"),IF(AND(Practices_SubPractices[CP]=5,Practices_SubPractices[Org]="Large"),SUMIFS(Practices_SubPractices[B],Practices_SubPractices[CP],"5",Practices_SubPractices[Org],"Large"),IF(AND(Practices_SubPractices[CP]=6,Practices_SubPractices[Org]="Large"),SUMIFS(Practices_SubPractices[B],Practices_SubPractices[CP],"6",Practices_SubPractices[Org],"Large"),IF(AND(Practices_SubPractices[CP]=7,Practices_SubPractices[Org] ="Large"),SUMIFS(Practices_SubPractices[B],Practices_SubPractices[CP],"7",Practices_SubPractices[Org],"Large"),IF(AND(Practices_SubPractices[CP]=8,Practices_SubPractices[Org] ="Large"),SUMIFS(Practices_SubPractices[B],Practices_SubPractices[CP],"8",Practices_SubPractices[Org],"Large"),IF(AND(Practices_SubPractices[CP]=9,Practices_SubPractices[Org] ="Large"),SUMIFS(Practices_SubPractices[B],Practices_SubPractices[CP],"9",Practices_SubPractices[Org],"Large"),IF(AND(Practices_SubPractices[CP]=10,Practices_SubPractices[Org] ="Large"),SUMIFS(Practices_SubPractices[B],Practices_SubPractices[CP],"10",Practices_SubPractices[Org],"Large"),"TBD"))))))))))))))))))))))))))))))</f>
        <v>11</v>
      </c>
      <c r="P125" s="77">
        <f>IF(AND(Practices_SubPractices[CP]=1,Practices_SubPractices[Org]="Small"),SUMIFS(Practices_SubPractices[C],Practices_SubPractices[CP],"1",Practices_SubPractices[Org],"Small"),IF(AND(Practices_SubPractices[CP]=2,Practices_SubPractices[Org]="Small"),SUMIFS(Practices_SubPractices[C],Practices_SubPractices[CP],"2",Practices_SubPractices[Org],"Small"),IF(AND(Practices_SubPractices[CP]=3,Practices_SubPractices[Org]="Small"),SUMIFS(Practices_SubPractices[C],Practices_SubPractices[CP],"3",Practices_SubPractices[Org],"Small"),IF(AND(Practices_SubPractices[CP]=4,Practices_SubPractices[Org]="Small"),SUMIFS(Practices_SubPractices[C],Practices_SubPractices[CP],"4",Practices_SubPractices[Org],"Small"),IF(AND(Practices_SubPractices[CP]=5,Practices_SubPractices[Org]="Small"),SUMIFS(Practices_SubPractices[C],Practices_SubPractices[CP],"5",Practices_SubPractices[Org],"Small"),IF(AND(Practices_SubPractices[CP]=6,Practices_SubPractices[Org]="Small"),SUMIFS(Practices_SubPractices[C],Practices_SubPractices[CP],"6",Practices_SubPractices[Org],"Small"),IF(AND(Practices_SubPractices[CP]=7,Practices_SubPractices[Org] ="Small"),SUMIFS(Practices_SubPractices[C],Practices_SubPractices[CP],"7",Practices_SubPractices[Org],"Small"),IF(AND(Practices_SubPractices[CP]=8,Practices_SubPractices[Org] ="Small"),SUMIFS(Practices_SubPractices[C],Practices_SubPractices[CP],"8",Practices_SubPractices[Org],"Small"),IF(AND(Practices_SubPractices[CP]=9,Practices_SubPractices[Org] ="Small"),SUMIFS(Practices_SubPractices[C],Practices_SubPractices[CP],"9",Practices_SubPractices[Org],"Small"),IF(AND(Practices_SubPractices[CP]=10,Practices_SubPractices[Org] ="Small"),SUMIFS(Practices_SubPractices[C],Practices_SubPractices[CP],"10",Practices_SubPractices[Org],"Small"),IF(AND(Practices_SubPractices[CP]=1,Practices_SubPractices[Org]="Medium"),SUMIFS(Practices_SubPractices[C],Practices_SubPractices[CP],"1",Practices_SubPractices[Org],"Medium"),IF(AND(Practices_SubPractices[CP]=2,Practices_SubPractices[Org]="Medium"),SUMIFS(Practices_SubPractices[C],Practices_SubPractices[CP],"2",Practices_SubPractices[Org],"Medium"),IF(AND(Practices_SubPractices[CP]=3,Practices_SubPractices[Org]="Medium"),SUMIFS(Practices_SubPractices[C],Practices_SubPractices[CP],"3",Practices_SubPractices[Org],"Medium"),IF(AND(Practices_SubPractices[CP]=4,Practices_SubPractices[Org]="Medium"),SUMIFS(Practices_SubPractices[C],Practices_SubPractices[CP],"4",Practices_SubPractices[Org],"Medium"),IF(AND(Practices_SubPractices[CP]=5,Practices_SubPractices[Org]="Medium"),SUMIFS(Practices_SubPractices[C],Practices_SubPractices[CP],"5",Practices_SubPractices[Org],"Medium"),IF(AND(Practices_SubPractices[CP]=6,Practices_SubPractices[Org]="Medium"),SUMIFS(Practices_SubPractices[C],Practices_SubPractices[CP],"6",Practices_SubPractices[Org],"Medium"),IF(AND(Practices_SubPractices[CP]=7,Practices_SubPractices[Org] ="Medium"),SUMIFS(Practices_SubPractices[C],Practices_SubPractices[CP],"7",Practices_SubPractices[Org],"Medium"),IF(AND(Practices_SubPractices[CP]=8,Practices_SubPractices[Org] ="Medium"),SUMIFS(Practices_SubPractices[C],Practices_SubPractices[CP],"8",Practices_SubPractices[Org],"Medium"),IF(AND(Practices_SubPractices[CP]=9,Practices_SubPractices[Org] ="Medium"),SUMIFS(Practices_SubPractices[C],Practices_SubPractices[CP],"9",Practices_SubPractices[Org],"Medium"),IF(AND(Practices_SubPractices[CP]=10,Practices_SubPractices[Org] ="Medium"),SUMIFS(Practices_SubPractices[C],Practices_SubPractices[CP],"10",Practices_SubPractices[Org],"Medium"),IF(AND(Practices_SubPractices[CP]=1,Practices_SubPractices[Org]="Large"),SUMIFS(Practices_SubPractices[C],Practices_SubPractices[CP],"1",Practices_SubPractices[Org],"Large"),IF(AND(Practices_SubPractices[CP]=2,Practices_SubPractices[Org]="Large"),SUMIFS(Practices_SubPractices[C],Practices_SubPractices[CP],"2",Practices_SubPractices[Org],"Large"),IF(AND(Practices_SubPractices[CP]=3,Practices_SubPractices[Org]="Large"),SUMIFS(Practices_SubPractices[C],Practices_SubPractices[CP],"3",Practices_SubPractices[Org],"Large"),IF(AND(Practices_SubPractices[CP]=4,Practices_SubPractices[Org]="Large"),SUMIFS(Practices_SubPractices[C],Practices_SubPractices[CP],"4",Practices_SubPractices[Org],"Large"),IF(AND(Practices_SubPractices[CP]=5,Practices_SubPractices[Org]="Large"),SUMIFS(Practices_SubPractices[C],Practices_SubPractices[CP],"5",Practices_SubPractices[Org],"Large"),IF(AND(Practices_SubPractices[CP]=6,Practices_SubPractices[Org]="Large"),SUMIFS(Practices_SubPractices[C],Practices_SubPractices[CP],"6",Practices_SubPractices[Org],"Large"),IF(AND(Practices_SubPractices[CP]=7,Practices_SubPractices[Org] ="Large"),SUMIFS(Practices_SubPractices[C],Practices_SubPractices[CP],"7",Practices_SubPractices[Org],"Large"),IF(AND(Practices_SubPractices[CP]=8,Practices_SubPractices[Org] ="Large"),SUMIFS(Practices_SubPractices[C],Practices_SubPractices[CP],"8",Practices_SubPractices[Org],"Large"),IF(AND(Practices_SubPractices[CP]=9,Practices_SubPractices[Org] ="Large"),SUMIFS(Practices_SubPractices[C],Practices_SubPractices[CP],"9",Practices_SubPractices[Org],"Large"),IF(AND(Practices_SubPractices[CP]=10,Practices_SubPractices[Org] ="Large"),SUMIFS(Practices_SubPractices[C],Practices_SubPractices[CP],"10",Practices_SubPractices[Org],"Large"),"TBD"))))))))))))))))))))))))))))))</f>
        <v>1</v>
      </c>
      <c r="Q125" s="77">
        <f>IF(AND(Practices_SubPractices[CP]=1,Practices_SubPractices[Org]="Small"),SUMIFS(Practices_SubPractices[D],Practices_SubPractices[CP],"1",Practices_SubPractices[Org],"Small"),IF(AND(Practices_SubPractices[CP]=2,Practices_SubPractices[Org]="Small"),SUMIFS(Practices_SubPractices[D],Practices_SubPractices[CP],"2",Practices_SubPractices[Org],"Small"),IF(AND(Practices_SubPractices[CP]=3,Practices_SubPractices[Org]="Small"),SUMIFS(Practices_SubPractices[D],Practices_SubPractices[CP],"3",Practices_SubPractices[Org],"Small"),IF(AND(Practices_SubPractices[CP]=4,Practices_SubPractices[Org]="Small"),SUMIFS(Practices_SubPractices[D],Practices_SubPractices[CP],"4",Practices_SubPractices[Org],"Small"),IF(AND(Practices_SubPractices[CP]=5,Practices_SubPractices[Org]="Small"),SUMIFS(Practices_SubPractices[D],Practices_SubPractices[CP],"5",Practices_SubPractices[Org],"Small"),IF(AND(Practices_SubPractices[CP]=6,Practices_SubPractices[Org]="Small"),SUMIFS(Practices_SubPractices[D],Practices_SubPractices[CP],"6",Practices_SubPractices[Org],"Small"),IF(AND(Practices_SubPractices[CP]=7,Practices_SubPractices[Org] ="Small"),SUMIFS(Practices_SubPractices[D],Practices_SubPractices[CP],"7",Practices_SubPractices[Org],"Small"),IF(AND(Practices_SubPractices[CP]=8,Practices_SubPractices[Org] ="Small"),SUMIFS(Practices_SubPractices[D],Practices_SubPractices[CP],"8",Practices_SubPractices[Org],"Small"),IF(AND(Practices_SubPractices[CP]=9,Practices_SubPractices[Org] ="Small"),SUMIFS(Practices_SubPractices[D],Practices_SubPractices[CP],"9",Practices_SubPractices[Org],"Small"),IF(AND(Practices_SubPractices[CP]=10,Practices_SubPractices[Org] ="Small"),SUMIFS(Practices_SubPractices[D],Practices_SubPractices[CP],"10",Practices_SubPractices[Org],"Small"),IF(AND(Practices_SubPractices[CP]=1,Practices_SubPractices[Org]="Medium"),SUMIFS(Practices_SubPractices[D],Practices_SubPractices[CP],"1",Practices_SubPractices[Org],"Medium"),IF(AND(Practices_SubPractices[CP]=2,Practices_SubPractices[Org]="Medium"),SUMIFS(Practices_SubPractices[D],Practices_SubPractices[CP],"2",Practices_SubPractices[Org],"Medium"),IF(AND(Practices_SubPractices[CP]=3,Practices_SubPractices[Org]="Medium"),SUMIFS(Practices_SubPractices[D],Practices_SubPractices[CP],"3",Practices_SubPractices[Org],"Medium"),IF(AND(Practices_SubPractices[CP]=4,Practices_SubPractices[Org]="Medium"),SUMIFS(Practices_SubPractices[D],Practices_SubPractices[CP],"4",Practices_SubPractices[Org],"Medium"),IF(AND(Practices_SubPractices[CP]=5,Practices_SubPractices[Org]="Medium"),SUMIFS(Practices_SubPractices[D],Practices_SubPractices[CP],"5",Practices_SubPractices[Org],"Medium"),IF(AND(Practices_SubPractices[CP]=6,Practices_SubPractices[Org]="Medium"),SUMIFS(Practices_SubPractices[D],Practices_SubPractices[CP],"6",Practices_SubPractices[Org],"Medium"),IF(AND(Practices_SubPractices[CP]=7,Practices_SubPractices[Org] ="Medium"),SUMIFS(Practices_SubPractices[D],Practices_SubPractices[CP],"7",Practices_SubPractices[Org],"Medium"),IF(AND(Practices_SubPractices[CP]=8,Practices_SubPractices[Org] ="Medium"),SUMIFS(Practices_SubPractices[D],Practices_SubPractices[CP],"8",Practices_SubPractices[Org],"Medium"),IF(AND(Practices_SubPractices[CP]=9,Practices_SubPractices[Org] ="Medium"),SUMIFS(Practices_SubPractices[D],Practices_SubPractices[CP],"9",Practices_SubPractices[Org],"Medium"),IF(AND(Practices_SubPractices[CP]=10,Practices_SubPractices[Org] ="Medium"),SUMIFS(Practices_SubPractices[D],Practices_SubPractices[CP],"10",Practices_SubPractices[Org],"Medium"),IF(AND(Practices_SubPractices[CP]=1,Practices_SubPractices[Org]="Large"),SUMIFS(Practices_SubPractices[D],Practices_SubPractices[CP],"1",Practices_SubPractices[Org],"Large"),IF(AND(Practices_SubPractices[CP]=2,Practices_SubPractices[Org]="Large"),SUMIFS(Practices_SubPractices[D],Practices_SubPractices[CP],"2",Practices_SubPractices[Org],"Large"),IF(AND(Practices_SubPractices[CP]=3,Practices_SubPractices[Org]="Large"),SUMIFS(Practices_SubPractices[D],Practices_SubPractices[CP],"3",Practices_SubPractices[Org],"Large"),IF(AND(Practices_SubPractices[CP]=4,Practices_SubPractices[Org]="Large"),SUMIFS(Practices_SubPractices[D],Practices_SubPractices[CP],"4",Practices_SubPractices[Org],"Large"),IF(AND(Practices_SubPractices[CP]=5,Practices_SubPractices[Org]="Large"),SUMIFS(Practices_SubPractices[D],Practices_SubPractices[CP],"5",Practices_SubPractices[Org],"Large"),IF(AND(Practices_SubPractices[CP]=6,Practices_SubPractices[Org]="Large"),SUMIFS(Practices_SubPractices[D],Practices_SubPractices[CP],"6",Practices_SubPractices[Org],"Large"),IF(AND(Practices_SubPractices[CP]=7,Practices_SubPractices[Org] ="Large"),SUMIFS(Practices_SubPractices[D],Practices_SubPractices[CP],"7",Practices_SubPractices[Org],"Large"),IF(AND(Practices_SubPractices[CP]=8,Practices_SubPractices[Org] ="Large"),SUMIFS(Practices_SubPractices[D],Practices_SubPractices[CP],"8",Practices_SubPractices[Org],"Large"),IF(AND(Practices_SubPractices[CP]=9,Practices_SubPractices[Org] ="Large"),SUMIFS(Practices_SubPractices[D],Practices_SubPractices[CP],"9",Practices_SubPractices[Org],"Large"),IF(AND(Practices_SubPractices[CP]=10,Practices_SubPractices[Org] ="Large"),SUMIFS(Practices_SubPractices[D],Practices_SubPractices[CP],"10",Practices_SubPractices[Org],"Large"),"TBD"))))))))))))))))))))))))))))))</f>
        <v>11</v>
      </c>
      <c r="R125" s="77">
        <f>IF(AND(Practices_SubPractices[CP]=1,Practices_SubPractices[Org]="Small"),SUMIFS(Practices_SubPractices[E],Practices_SubPractices[CP],"1",Practices_SubPractices[Org],"Small"),IF(AND(Practices_SubPractices[CP]=2,Practices_SubPractices[Org]="Small"),SUMIFS(Practices_SubPractices[E],Practices_SubPractices[CP],"2",Practices_SubPractices[Org],"Small"),IF(AND(Practices_SubPractices[CP]=3,Practices_SubPractices[Org]="Small"),SUMIFS(Practices_SubPractices[E],Practices_SubPractices[CP],"3",Practices_SubPractices[Org],"Small"),IF(AND(Practices_SubPractices[CP]=4,Practices_SubPractices[Org]="Small"),SUMIFS(Practices_SubPractices[E],Practices_SubPractices[CP],"4",Practices_SubPractices[Org],"Small"),IF(AND(Practices_SubPractices[CP]=5,Practices_SubPractices[Org]="Small"),SUMIFS(Practices_SubPractices[E],Practices_SubPractices[CP],"5",Practices_SubPractices[Org],"Small"),IF(AND(Practices_SubPractices[CP]=6,Practices_SubPractices[Org]="Small"),SUMIFS(Practices_SubPractices[E],Practices_SubPractices[CP],"6",Practices_SubPractices[Org],"Small"),IF(AND(Practices_SubPractices[CP]=7,Practices_SubPractices[Org] ="Small"),SUMIFS(Practices_SubPractices[E],Practices_SubPractices[CP],"7",Practices_SubPractices[Org],"Small"),IF(AND(Practices_SubPractices[CP]=8,Practices_SubPractices[Org] ="Small"),SUMIFS(Practices_SubPractices[E],Practices_SubPractices[CP],"8",Practices_SubPractices[Org],"Small"),IF(AND(Practices_SubPractices[CP]=9,Practices_SubPractices[Org] ="Small"),SUMIFS(Practices_SubPractices[E],Practices_SubPractices[CP],"9",Practices_SubPractices[Org],"Small"),IF(AND(Practices_SubPractices[CP]=10,Practices_SubPractices[Org] ="Small"),SUMIFS(Practices_SubPractices[E],Practices_SubPractices[CP],"10",Practices_SubPractices[Org],"Small"),IF(AND(Practices_SubPractices[CP]=1,Practices_SubPractices[Org]="Medium"),SUMIFS(Practices_SubPractices[E],Practices_SubPractices[CP],"1",Practices_SubPractices[Org],"Medium"),IF(AND(Practices_SubPractices[CP]=2,Practices_SubPractices[Org]="Medium"),SUMIFS(Practices_SubPractices[E],Practices_SubPractices[CP],"2",Practices_SubPractices[Org],"Medium"),IF(AND(Practices_SubPractices[CP]=3,Practices_SubPractices[Org]="Medium"),SUMIFS(Practices_SubPractices[E],Practices_SubPractices[CP],"3",Practices_SubPractices[Org],"Medium"),IF(AND(Practices_SubPractices[CP]=4,Practices_SubPractices[Org]="Medium"),SUMIFS(Practices_SubPractices[E],Practices_SubPractices[CP],"4",Practices_SubPractices[Org],"Medium"),IF(AND(Practices_SubPractices[CP]=5,Practices_SubPractices[Org]="Medium"),SUMIFS(Practices_SubPractices[E],Practices_SubPractices[CP],"5",Practices_SubPractices[Org],"Medium"),IF(AND(Practices_SubPractices[CP]=6,Practices_SubPractices[Org]="Medium"),SUMIFS(Practices_SubPractices[E],Practices_SubPractices[CP],"6",Practices_SubPractices[Org],"Medium"),IF(AND(Practices_SubPractices[CP]=7,Practices_SubPractices[Org] ="Medium"),SUMIFS(Practices_SubPractices[E],Practices_SubPractices[CP],"7",Practices_SubPractices[Org],"Medium"),IF(AND(Practices_SubPractices[CP]=8,Practices_SubPractices[Org] ="Medium"),SUMIFS(Practices_SubPractices[E],Practices_SubPractices[CP],"8",Practices_SubPractices[Org],"Medium"),IF(AND(Practices_SubPractices[CP]=9,Practices_SubPractices[Org] ="Medium"),SUMIFS(Practices_SubPractices[E],Practices_SubPractices[CP],"9",Practices_SubPractices[Org],"Medium"),IF(AND(Practices_SubPractices[CP]=10,Practices_SubPractices[Org] ="Medium"),SUMIFS(Practices_SubPractices[E],Practices_SubPractices[CP],"10",Practices_SubPractices[Org],"Medium"),IF(AND(Practices_SubPractices[CP]=1,Practices_SubPractices[Org]="Large"),SUMIFS(Practices_SubPractices[E],Practices_SubPractices[CP],"1",Practices_SubPractices[Org],"Large"),IF(AND(Practices_SubPractices[CP]=2,Practices_SubPractices[Org]="Large"),SUMIFS(Practices_SubPractices[E],Practices_SubPractices[CP],"2",Practices_SubPractices[Org],"Large"),IF(AND(Practices_SubPractices[CP]=3,Practices_SubPractices[Org]="Large"),SUMIFS(Practices_SubPractices[E],Practices_SubPractices[CP],"3",Practices_SubPractices[Org],"Large"),IF(AND(Practices_SubPractices[CP]=4,Practices_SubPractices[Org]="Large"),SUMIFS(Practices_SubPractices[E],Practices_SubPractices[CP],"4",Practices_SubPractices[Org],"Large"),IF(AND(Practices_SubPractices[CP]=5,Practices_SubPractices[Org]="Large"),SUMIFS(Practices_SubPractices[E],Practices_SubPractices[CP],"5",Practices_SubPractices[Org],"Large"),IF(AND(Practices_SubPractices[CP]=6,Practices_SubPractices[Org]="Large"),SUMIFS(Practices_SubPractices[E],Practices_SubPractices[CP],"6",Practices_SubPractices[Org],"Large"),IF(AND(Practices_SubPractices[CP]=7,Practices_SubPractices[Org] ="Large"),SUMIFS(Practices_SubPractices[E],Practices_SubPractices[CP],"7",Practices_SubPractices[Org],"Large"),IF(AND(Practices_SubPractices[CP]=8,Practices_SubPractices[Org] ="Large"),SUMIFS(Practices_SubPractices[E],Practices_SubPractices[CP],"8",Practices_SubPractices[Org],"Large"),IF(AND(Practices_SubPractices[CP]=9,Practices_SubPractices[Org] ="Large"),SUMIFS(Practices_SubPractices[E],Practices_SubPractices[CP],"9",Practices_SubPractices[Org],"Large"),IF(AND(Practices_SubPractices[CP]=10,Practices_SubPractices[Org] ="Large"),SUMIFS(Practices_SubPractices[E],Practices_SubPractices[CP],"10",Practices_SubPractices[Org],"Large"),"TBD"))))))))))))))))))))))))))))))</f>
        <v>4</v>
      </c>
      <c r="S125" s="87" t="s">
        <v>400</v>
      </c>
    </row>
    <row r="126" spans="1:19" x14ac:dyDescent="0.35">
      <c r="A126" s="73">
        <v>116</v>
      </c>
      <c r="B126" s="73">
        <v>8</v>
      </c>
      <c r="C126" s="80" t="s">
        <v>12</v>
      </c>
      <c r="D126" s="73" t="str">
        <f>Practices_SubPractices[[#This Row],[CP]]&amp;LEFT(Practices_SubPractices[[#This Row],[Org]],1)</f>
        <v>8L</v>
      </c>
      <c r="E126" s="73" t="s">
        <v>265</v>
      </c>
      <c r="F126" s="74" t="s">
        <v>149</v>
      </c>
      <c r="G126" s="74" t="s">
        <v>155</v>
      </c>
      <c r="H126" s="74" t="s">
        <v>252</v>
      </c>
      <c r="I126" s="75">
        <v>2</v>
      </c>
      <c r="J126" s="75">
        <v>2</v>
      </c>
      <c r="K126" s="75">
        <v>0</v>
      </c>
      <c r="L126" s="75">
        <v>2</v>
      </c>
      <c r="M126" s="75">
        <v>1</v>
      </c>
      <c r="N126" s="76"/>
      <c r="O126" s="77">
        <f>IF(AND(Practices_SubPractices[CP]=1,Practices_SubPractices[Org]="Small"),SUMIFS(Practices_SubPractices[B],Practices_SubPractices[CP],"1",Practices_SubPractices[Org],"Small"),IF(AND(Practices_SubPractices[CP]=2,Practices_SubPractices[Org]="Small"),SUMIFS(Practices_SubPractices[B],Practices_SubPractices[CP],"2",Practices_SubPractices[Org],"Small"),IF(AND(Practices_SubPractices[CP]=3,Practices_SubPractices[Org]="Small"),SUMIFS(Practices_SubPractices[B],Practices_SubPractices[CP],"3",Practices_SubPractices[Org],"Small"),IF(AND(Practices_SubPractices[CP]=4,Practices_SubPractices[Org]="Small"),SUMIFS(Practices_SubPractices[B],Practices_SubPractices[CP],"4",Practices_SubPractices[Org],"Small"),IF(AND(Practices_SubPractices[CP]=5,Practices_SubPractices[Org]="Small"),SUMIFS(Practices_SubPractices[B],Practices_SubPractices[CP],"5",Practices_SubPractices[Org],"Small"),IF(AND(Practices_SubPractices[CP]=6,Practices_SubPractices[Org]="Small"),SUMIFS(Practices_SubPractices[B],Practices_SubPractices[CP],"6",Practices_SubPractices[Org],"Small"),IF(AND(Practices_SubPractices[CP]=7,Practices_SubPractices[Org] ="Small"),SUMIFS(Practices_SubPractices[B],Practices_SubPractices[CP],"7",Practices_SubPractices[Org],"Small"),IF(AND(Practices_SubPractices[CP]=8,Practices_SubPractices[Org] ="Small"),SUMIFS(Practices_SubPractices[B],Practices_SubPractices[CP],"8",Practices_SubPractices[Org],"Small"),IF(AND(Practices_SubPractices[CP]=9,Practices_SubPractices[Org] ="Small"),SUMIFS(Practices_SubPractices[B],Practices_SubPractices[CP],"9",Practices_SubPractices[Org],"Small"),IF(AND(Practices_SubPractices[CP]=10,Practices_SubPractices[Org] ="Small"),SUMIFS(Practices_SubPractices[B],Practices_SubPractices[CP],"10",Practices_SubPractices[Org],"Small"),IF(AND(Practices_SubPractices[CP]=1,Practices_SubPractices[Org]="Medium"),SUMIFS(Practices_SubPractices[B],Practices_SubPractices[CP],"1",Practices_SubPractices[Org],"Medium"),IF(AND(Practices_SubPractices[CP]=2,Practices_SubPractices[Org]="Medium"),SUMIFS(Practices_SubPractices[B],Practices_SubPractices[CP],"2",Practices_SubPractices[Org],"Medium"),IF(AND(Practices_SubPractices[CP]=3,Practices_SubPractices[Org]="Medium"),SUMIFS(Practices_SubPractices[B],Practices_SubPractices[CP],"3",Practices_SubPractices[Org],"Medium"),IF(AND(Practices_SubPractices[CP]=4,Practices_SubPractices[Org]="Medium"),SUMIFS(Practices_SubPractices[B],Practices_SubPractices[CP],"4",Practices_SubPractices[Org],"Medium"),IF(AND(Practices_SubPractices[CP]=5,Practices_SubPractices[Org]="Medium"),SUMIFS(Practices_SubPractices[B],Practices_SubPractices[CP],"5",Practices_SubPractices[Org],"Medium"),IF(AND(Practices_SubPractices[CP]=6,Practices_SubPractices[Org]="Medium"),SUMIFS(Practices_SubPractices[B],Practices_SubPractices[CP],"6",Practices_SubPractices[Org],"Medium"),IF(AND(Practices_SubPractices[CP]=7,Practices_SubPractices[Org] ="Medium"),SUMIFS(Practices_SubPractices[B],Practices_SubPractices[CP],"7",Practices_SubPractices[Org],"Medium"),IF(AND(Practices_SubPractices[CP]=8,Practices_SubPractices[Org] ="Medium"),SUMIFS(Practices_SubPractices[B],Practices_SubPractices[CP],"8",Practices_SubPractices[Org],"Medium"),IF(AND(Practices_SubPractices[CP]=9,Practices_SubPractices[Org] ="Medium"),SUMIFS(Practices_SubPractices[B],Practices_SubPractices[CP],"9",Practices_SubPractices[Org],"Medium"),IF(AND(Practices_SubPractices[CP]=10,Practices_SubPractices[Org] ="Medium"),SUMIFS(Practices_SubPractices[B],Practices_SubPractices[CP],"10",Practices_SubPractices[Org],"Medium"),IF(AND(Practices_SubPractices[CP]=1,Practices_SubPractices[Org]="Large"),SUMIFS(Practices_SubPractices[B],Practices_SubPractices[CP],"1",Practices_SubPractices[Org],"Large"),IF(AND(Practices_SubPractices[CP]=2,Practices_SubPractices[Org]="Large"),SUMIFS(Practices_SubPractices[B],Practices_SubPractices[CP],"2",Practices_SubPractices[Org],"Large"),IF(AND(Practices_SubPractices[CP]=3,Practices_SubPractices[Org]="Large"),SUMIFS(Practices_SubPractices[B],Practices_SubPractices[CP],"3",Practices_SubPractices[Org],"Large"),IF(AND(Practices_SubPractices[CP]=4,Practices_SubPractices[Org]="Large"),SUMIFS(Practices_SubPractices[B],Practices_SubPractices[CP],"4",Practices_SubPractices[Org],"Large"),IF(AND(Practices_SubPractices[CP]=5,Practices_SubPractices[Org]="Large"),SUMIFS(Practices_SubPractices[B],Practices_SubPractices[CP],"5",Practices_SubPractices[Org],"Large"),IF(AND(Practices_SubPractices[CP]=6,Practices_SubPractices[Org]="Large"),SUMIFS(Practices_SubPractices[B],Practices_SubPractices[CP],"6",Practices_SubPractices[Org],"Large"),IF(AND(Practices_SubPractices[CP]=7,Practices_SubPractices[Org] ="Large"),SUMIFS(Practices_SubPractices[B],Practices_SubPractices[CP],"7",Practices_SubPractices[Org],"Large"),IF(AND(Practices_SubPractices[CP]=8,Practices_SubPractices[Org] ="Large"),SUMIFS(Practices_SubPractices[B],Practices_SubPractices[CP],"8",Practices_SubPractices[Org],"Large"),IF(AND(Practices_SubPractices[CP]=9,Practices_SubPractices[Org] ="Large"),SUMIFS(Practices_SubPractices[B],Practices_SubPractices[CP],"9",Practices_SubPractices[Org],"Large"),IF(AND(Practices_SubPractices[CP]=10,Practices_SubPractices[Org] ="Large"),SUMIFS(Practices_SubPractices[B],Practices_SubPractices[CP],"10",Practices_SubPractices[Org],"Large"),"TBD"))))))))))))))))))))))))))))))</f>
        <v>14</v>
      </c>
      <c r="P126" s="77">
        <f>IF(AND(Practices_SubPractices[CP]=1,Practices_SubPractices[Org]="Small"),SUMIFS(Practices_SubPractices[C],Practices_SubPractices[CP],"1",Practices_SubPractices[Org],"Small"),IF(AND(Practices_SubPractices[CP]=2,Practices_SubPractices[Org]="Small"),SUMIFS(Practices_SubPractices[C],Practices_SubPractices[CP],"2",Practices_SubPractices[Org],"Small"),IF(AND(Practices_SubPractices[CP]=3,Practices_SubPractices[Org]="Small"),SUMIFS(Practices_SubPractices[C],Practices_SubPractices[CP],"3",Practices_SubPractices[Org],"Small"),IF(AND(Practices_SubPractices[CP]=4,Practices_SubPractices[Org]="Small"),SUMIFS(Practices_SubPractices[C],Practices_SubPractices[CP],"4",Practices_SubPractices[Org],"Small"),IF(AND(Practices_SubPractices[CP]=5,Practices_SubPractices[Org]="Small"),SUMIFS(Practices_SubPractices[C],Practices_SubPractices[CP],"5",Practices_SubPractices[Org],"Small"),IF(AND(Practices_SubPractices[CP]=6,Practices_SubPractices[Org]="Small"),SUMIFS(Practices_SubPractices[C],Practices_SubPractices[CP],"6",Practices_SubPractices[Org],"Small"),IF(AND(Practices_SubPractices[CP]=7,Practices_SubPractices[Org] ="Small"),SUMIFS(Practices_SubPractices[C],Practices_SubPractices[CP],"7",Practices_SubPractices[Org],"Small"),IF(AND(Practices_SubPractices[CP]=8,Practices_SubPractices[Org] ="Small"),SUMIFS(Practices_SubPractices[C],Practices_SubPractices[CP],"8",Practices_SubPractices[Org],"Small"),IF(AND(Practices_SubPractices[CP]=9,Practices_SubPractices[Org] ="Small"),SUMIFS(Practices_SubPractices[C],Practices_SubPractices[CP],"9",Practices_SubPractices[Org],"Small"),IF(AND(Practices_SubPractices[CP]=10,Practices_SubPractices[Org] ="Small"),SUMIFS(Practices_SubPractices[C],Practices_SubPractices[CP],"10",Practices_SubPractices[Org],"Small"),IF(AND(Practices_SubPractices[CP]=1,Practices_SubPractices[Org]="Medium"),SUMIFS(Practices_SubPractices[C],Practices_SubPractices[CP],"1",Practices_SubPractices[Org],"Medium"),IF(AND(Practices_SubPractices[CP]=2,Practices_SubPractices[Org]="Medium"),SUMIFS(Practices_SubPractices[C],Practices_SubPractices[CP],"2",Practices_SubPractices[Org],"Medium"),IF(AND(Practices_SubPractices[CP]=3,Practices_SubPractices[Org]="Medium"),SUMIFS(Practices_SubPractices[C],Practices_SubPractices[CP],"3",Practices_SubPractices[Org],"Medium"),IF(AND(Practices_SubPractices[CP]=4,Practices_SubPractices[Org]="Medium"),SUMIFS(Practices_SubPractices[C],Practices_SubPractices[CP],"4",Practices_SubPractices[Org],"Medium"),IF(AND(Practices_SubPractices[CP]=5,Practices_SubPractices[Org]="Medium"),SUMIFS(Practices_SubPractices[C],Practices_SubPractices[CP],"5",Practices_SubPractices[Org],"Medium"),IF(AND(Practices_SubPractices[CP]=6,Practices_SubPractices[Org]="Medium"),SUMIFS(Practices_SubPractices[C],Practices_SubPractices[CP],"6",Practices_SubPractices[Org],"Medium"),IF(AND(Practices_SubPractices[CP]=7,Practices_SubPractices[Org] ="Medium"),SUMIFS(Practices_SubPractices[C],Practices_SubPractices[CP],"7",Practices_SubPractices[Org],"Medium"),IF(AND(Practices_SubPractices[CP]=8,Practices_SubPractices[Org] ="Medium"),SUMIFS(Practices_SubPractices[C],Practices_SubPractices[CP],"8",Practices_SubPractices[Org],"Medium"),IF(AND(Practices_SubPractices[CP]=9,Practices_SubPractices[Org] ="Medium"),SUMIFS(Practices_SubPractices[C],Practices_SubPractices[CP],"9",Practices_SubPractices[Org],"Medium"),IF(AND(Practices_SubPractices[CP]=10,Practices_SubPractices[Org] ="Medium"),SUMIFS(Practices_SubPractices[C],Practices_SubPractices[CP],"10",Practices_SubPractices[Org],"Medium"),IF(AND(Practices_SubPractices[CP]=1,Practices_SubPractices[Org]="Large"),SUMIFS(Practices_SubPractices[C],Practices_SubPractices[CP],"1",Practices_SubPractices[Org],"Large"),IF(AND(Practices_SubPractices[CP]=2,Practices_SubPractices[Org]="Large"),SUMIFS(Practices_SubPractices[C],Practices_SubPractices[CP],"2",Practices_SubPractices[Org],"Large"),IF(AND(Practices_SubPractices[CP]=3,Practices_SubPractices[Org]="Large"),SUMIFS(Practices_SubPractices[C],Practices_SubPractices[CP],"3",Practices_SubPractices[Org],"Large"),IF(AND(Practices_SubPractices[CP]=4,Practices_SubPractices[Org]="Large"),SUMIFS(Practices_SubPractices[C],Practices_SubPractices[CP],"4",Practices_SubPractices[Org],"Large"),IF(AND(Practices_SubPractices[CP]=5,Practices_SubPractices[Org]="Large"),SUMIFS(Practices_SubPractices[C],Practices_SubPractices[CP],"5",Practices_SubPractices[Org],"Large"),IF(AND(Practices_SubPractices[CP]=6,Practices_SubPractices[Org]="Large"),SUMIFS(Practices_SubPractices[C],Practices_SubPractices[CP],"6",Practices_SubPractices[Org],"Large"),IF(AND(Practices_SubPractices[CP]=7,Practices_SubPractices[Org] ="Large"),SUMIFS(Practices_SubPractices[C],Practices_SubPractices[CP],"7",Practices_SubPractices[Org],"Large"),IF(AND(Practices_SubPractices[CP]=8,Practices_SubPractices[Org] ="Large"),SUMIFS(Practices_SubPractices[C],Practices_SubPractices[CP],"8",Practices_SubPractices[Org],"Large"),IF(AND(Practices_SubPractices[CP]=9,Practices_SubPractices[Org] ="Large"),SUMIFS(Practices_SubPractices[C],Practices_SubPractices[CP],"9",Practices_SubPractices[Org],"Large"),IF(AND(Practices_SubPractices[CP]=10,Practices_SubPractices[Org] ="Large"),SUMIFS(Practices_SubPractices[C],Practices_SubPractices[CP],"10",Practices_SubPractices[Org],"Large"),"TBD"))))))))))))))))))))))))))))))</f>
        <v>5</v>
      </c>
      <c r="Q126" s="77">
        <f>IF(AND(Practices_SubPractices[CP]=1,Practices_SubPractices[Org]="Small"),SUMIFS(Practices_SubPractices[D],Practices_SubPractices[CP],"1",Practices_SubPractices[Org],"Small"),IF(AND(Practices_SubPractices[CP]=2,Practices_SubPractices[Org]="Small"),SUMIFS(Practices_SubPractices[D],Practices_SubPractices[CP],"2",Practices_SubPractices[Org],"Small"),IF(AND(Practices_SubPractices[CP]=3,Practices_SubPractices[Org]="Small"),SUMIFS(Practices_SubPractices[D],Practices_SubPractices[CP],"3",Practices_SubPractices[Org],"Small"),IF(AND(Practices_SubPractices[CP]=4,Practices_SubPractices[Org]="Small"),SUMIFS(Practices_SubPractices[D],Practices_SubPractices[CP],"4",Practices_SubPractices[Org],"Small"),IF(AND(Practices_SubPractices[CP]=5,Practices_SubPractices[Org]="Small"),SUMIFS(Practices_SubPractices[D],Practices_SubPractices[CP],"5",Practices_SubPractices[Org],"Small"),IF(AND(Practices_SubPractices[CP]=6,Practices_SubPractices[Org]="Small"),SUMIFS(Practices_SubPractices[D],Practices_SubPractices[CP],"6",Practices_SubPractices[Org],"Small"),IF(AND(Practices_SubPractices[CP]=7,Practices_SubPractices[Org] ="Small"),SUMIFS(Practices_SubPractices[D],Practices_SubPractices[CP],"7",Practices_SubPractices[Org],"Small"),IF(AND(Practices_SubPractices[CP]=8,Practices_SubPractices[Org] ="Small"),SUMIFS(Practices_SubPractices[D],Practices_SubPractices[CP],"8",Practices_SubPractices[Org],"Small"),IF(AND(Practices_SubPractices[CP]=9,Practices_SubPractices[Org] ="Small"),SUMIFS(Practices_SubPractices[D],Practices_SubPractices[CP],"9",Practices_SubPractices[Org],"Small"),IF(AND(Practices_SubPractices[CP]=10,Practices_SubPractices[Org] ="Small"),SUMIFS(Practices_SubPractices[D],Practices_SubPractices[CP],"10",Practices_SubPractices[Org],"Small"),IF(AND(Practices_SubPractices[CP]=1,Practices_SubPractices[Org]="Medium"),SUMIFS(Practices_SubPractices[D],Practices_SubPractices[CP],"1",Practices_SubPractices[Org],"Medium"),IF(AND(Practices_SubPractices[CP]=2,Practices_SubPractices[Org]="Medium"),SUMIFS(Practices_SubPractices[D],Practices_SubPractices[CP],"2",Practices_SubPractices[Org],"Medium"),IF(AND(Practices_SubPractices[CP]=3,Practices_SubPractices[Org]="Medium"),SUMIFS(Practices_SubPractices[D],Practices_SubPractices[CP],"3",Practices_SubPractices[Org],"Medium"),IF(AND(Practices_SubPractices[CP]=4,Practices_SubPractices[Org]="Medium"),SUMIFS(Practices_SubPractices[D],Practices_SubPractices[CP],"4",Practices_SubPractices[Org],"Medium"),IF(AND(Practices_SubPractices[CP]=5,Practices_SubPractices[Org]="Medium"),SUMIFS(Practices_SubPractices[D],Practices_SubPractices[CP],"5",Practices_SubPractices[Org],"Medium"),IF(AND(Practices_SubPractices[CP]=6,Practices_SubPractices[Org]="Medium"),SUMIFS(Practices_SubPractices[D],Practices_SubPractices[CP],"6",Practices_SubPractices[Org],"Medium"),IF(AND(Practices_SubPractices[CP]=7,Practices_SubPractices[Org] ="Medium"),SUMIFS(Practices_SubPractices[D],Practices_SubPractices[CP],"7",Practices_SubPractices[Org],"Medium"),IF(AND(Practices_SubPractices[CP]=8,Practices_SubPractices[Org] ="Medium"),SUMIFS(Practices_SubPractices[D],Practices_SubPractices[CP],"8",Practices_SubPractices[Org],"Medium"),IF(AND(Practices_SubPractices[CP]=9,Practices_SubPractices[Org] ="Medium"),SUMIFS(Practices_SubPractices[D],Practices_SubPractices[CP],"9",Practices_SubPractices[Org],"Medium"),IF(AND(Practices_SubPractices[CP]=10,Practices_SubPractices[Org] ="Medium"),SUMIFS(Practices_SubPractices[D],Practices_SubPractices[CP],"10",Practices_SubPractices[Org],"Medium"),IF(AND(Practices_SubPractices[CP]=1,Practices_SubPractices[Org]="Large"),SUMIFS(Practices_SubPractices[D],Practices_SubPractices[CP],"1",Practices_SubPractices[Org],"Large"),IF(AND(Practices_SubPractices[CP]=2,Practices_SubPractices[Org]="Large"),SUMIFS(Practices_SubPractices[D],Practices_SubPractices[CP],"2",Practices_SubPractices[Org],"Large"),IF(AND(Practices_SubPractices[CP]=3,Practices_SubPractices[Org]="Large"),SUMIFS(Practices_SubPractices[D],Practices_SubPractices[CP],"3",Practices_SubPractices[Org],"Large"),IF(AND(Practices_SubPractices[CP]=4,Practices_SubPractices[Org]="Large"),SUMIFS(Practices_SubPractices[D],Practices_SubPractices[CP],"4",Practices_SubPractices[Org],"Large"),IF(AND(Practices_SubPractices[CP]=5,Practices_SubPractices[Org]="Large"),SUMIFS(Practices_SubPractices[D],Practices_SubPractices[CP],"5",Practices_SubPractices[Org],"Large"),IF(AND(Practices_SubPractices[CP]=6,Practices_SubPractices[Org]="Large"),SUMIFS(Practices_SubPractices[D],Practices_SubPractices[CP],"6",Practices_SubPractices[Org],"Large"),IF(AND(Practices_SubPractices[CP]=7,Practices_SubPractices[Org] ="Large"),SUMIFS(Practices_SubPractices[D],Practices_SubPractices[CP],"7",Practices_SubPractices[Org],"Large"),IF(AND(Practices_SubPractices[CP]=8,Practices_SubPractices[Org] ="Large"),SUMIFS(Practices_SubPractices[D],Practices_SubPractices[CP],"8",Practices_SubPractices[Org],"Large"),IF(AND(Practices_SubPractices[CP]=9,Practices_SubPractices[Org] ="Large"),SUMIFS(Practices_SubPractices[D],Practices_SubPractices[CP],"9",Practices_SubPractices[Org],"Large"),IF(AND(Practices_SubPractices[CP]=10,Practices_SubPractices[Org] ="Large"),SUMIFS(Practices_SubPractices[D],Practices_SubPractices[CP],"10",Practices_SubPractices[Org],"Large"),"TBD"))))))))))))))))))))))))))))))</f>
        <v>14</v>
      </c>
      <c r="R126" s="77">
        <f>IF(AND(Practices_SubPractices[CP]=1,Practices_SubPractices[Org]="Small"),SUMIFS(Practices_SubPractices[E],Practices_SubPractices[CP],"1",Practices_SubPractices[Org],"Small"),IF(AND(Practices_SubPractices[CP]=2,Practices_SubPractices[Org]="Small"),SUMIFS(Practices_SubPractices[E],Practices_SubPractices[CP],"2",Practices_SubPractices[Org],"Small"),IF(AND(Practices_SubPractices[CP]=3,Practices_SubPractices[Org]="Small"),SUMIFS(Practices_SubPractices[E],Practices_SubPractices[CP],"3",Practices_SubPractices[Org],"Small"),IF(AND(Practices_SubPractices[CP]=4,Practices_SubPractices[Org]="Small"),SUMIFS(Practices_SubPractices[E],Practices_SubPractices[CP],"4",Practices_SubPractices[Org],"Small"),IF(AND(Practices_SubPractices[CP]=5,Practices_SubPractices[Org]="Small"),SUMIFS(Practices_SubPractices[E],Practices_SubPractices[CP],"5",Practices_SubPractices[Org],"Small"),IF(AND(Practices_SubPractices[CP]=6,Practices_SubPractices[Org]="Small"),SUMIFS(Practices_SubPractices[E],Practices_SubPractices[CP],"6",Practices_SubPractices[Org],"Small"),IF(AND(Practices_SubPractices[CP]=7,Practices_SubPractices[Org] ="Small"),SUMIFS(Practices_SubPractices[E],Practices_SubPractices[CP],"7",Practices_SubPractices[Org],"Small"),IF(AND(Practices_SubPractices[CP]=8,Practices_SubPractices[Org] ="Small"),SUMIFS(Practices_SubPractices[E],Practices_SubPractices[CP],"8",Practices_SubPractices[Org],"Small"),IF(AND(Practices_SubPractices[CP]=9,Practices_SubPractices[Org] ="Small"),SUMIFS(Practices_SubPractices[E],Practices_SubPractices[CP],"9",Practices_SubPractices[Org],"Small"),IF(AND(Practices_SubPractices[CP]=10,Practices_SubPractices[Org] ="Small"),SUMIFS(Practices_SubPractices[E],Practices_SubPractices[CP],"10",Practices_SubPractices[Org],"Small"),IF(AND(Practices_SubPractices[CP]=1,Practices_SubPractices[Org]="Medium"),SUMIFS(Practices_SubPractices[E],Practices_SubPractices[CP],"1",Practices_SubPractices[Org],"Medium"),IF(AND(Practices_SubPractices[CP]=2,Practices_SubPractices[Org]="Medium"),SUMIFS(Practices_SubPractices[E],Practices_SubPractices[CP],"2",Practices_SubPractices[Org],"Medium"),IF(AND(Practices_SubPractices[CP]=3,Practices_SubPractices[Org]="Medium"),SUMIFS(Practices_SubPractices[E],Practices_SubPractices[CP],"3",Practices_SubPractices[Org],"Medium"),IF(AND(Practices_SubPractices[CP]=4,Practices_SubPractices[Org]="Medium"),SUMIFS(Practices_SubPractices[E],Practices_SubPractices[CP],"4",Practices_SubPractices[Org],"Medium"),IF(AND(Practices_SubPractices[CP]=5,Practices_SubPractices[Org]="Medium"),SUMIFS(Practices_SubPractices[E],Practices_SubPractices[CP],"5",Practices_SubPractices[Org],"Medium"),IF(AND(Practices_SubPractices[CP]=6,Practices_SubPractices[Org]="Medium"),SUMIFS(Practices_SubPractices[E],Practices_SubPractices[CP],"6",Practices_SubPractices[Org],"Medium"),IF(AND(Practices_SubPractices[CP]=7,Practices_SubPractices[Org] ="Medium"),SUMIFS(Practices_SubPractices[E],Practices_SubPractices[CP],"7",Practices_SubPractices[Org],"Medium"),IF(AND(Practices_SubPractices[CP]=8,Practices_SubPractices[Org] ="Medium"),SUMIFS(Practices_SubPractices[E],Practices_SubPractices[CP],"8",Practices_SubPractices[Org],"Medium"),IF(AND(Practices_SubPractices[CP]=9,Practices_SubPractices[Org] ="Medium"),SUMIFS(Practices_SubPractices[E],Practices_SubPractices[CP],"9",Practices_SubPractices[Org],"Medium"),IF(AND(Practices_SubPractices[CP]=10,Practices_SubPractices[Org] ="Medium"),SUMIFS(Practices_SubPractices[E],Practices_SubPractices[CP],"10",Practices_SubPractices[Org],"Medium"),IF(AND(Practices_SubPractices[CP]=1,Practices_SubPractices[Org]="Large"),SUMIFS(Practices_SubPractices[E],Practices_SubPractices[CP],"1",Practices_SubPractices[Org],"Large"),IF(AND(Practices_SubPractices[CP]=2,Practices_SubPractices[Org]="Large"),SUMIFS(Practices_SubPractices[E],Practices_SubPractices[CP],"2",Practices_SubPractices[Org],"Large"),IF(AND(Practices_SubPractices[CP]=3,Practices_SubPractices[Org]="Large"),SUMIFS(Practices_SubPractices[E],Practices_SubPractices[CP],"3",Practices_SubPractices[Org],"Large"),IF(AND(Practices_SubPractices[CP]=4,Practices_SubPractices[Org]="Large"),SUMIFS(Practices_SubPractices[E],Practices_SubPractices[CP],"4",Practices_SubPractices[Org],"Large"),IF(AND(Practices_SubPractices[CP]=5,Practices_SubPractices[Org]="Large"),SUMIFS(Practices_SubPractices[E],Practices_SubPractices[CP],"5",Practices_SubPractices[Org],"Large"),IF(AND(Practices_SubPractices[CP]=6,Practices_SubPractices[Org]="Large"),SUMIFS(Practices_SubPractices[E],Practices_SubPractices[CP],"6",Practices_SubPractices[Org],"Large"),IF(AND(Practices_SubPractices[CP]=7,Practices_SubPractices[Org] ="Large"),SUMIFS(Practices_SubPractices[E],Practices_SubPractices[CP],"7",Practices_SubPractices[Org],"Large"),IF(AND(Practices_SubPractices[CP]=8,Practices_SubPractices[Org] ="Large"),SUMIFS(Practices_SubPractices[E],Practices_SubPractices[CP],"8",Practices_SubPractices[Org],"Large"),IF(AND(Practices_SubPractices[CP]=9,Practices_SubPractices[Org] ="Large"),SUMIFS(Practices_SubPractices[E],Practices_SubPractices[CP],"9",Practices_SubPractices[Org],"Large"),IF(AND(Practices_SubPractices[CP]=10,Practices_SubPractices[Org] ="Large"),SUMIFS(Practices_SubPractices[E],Practices_SubPractices[CP],"10",Practices_SubPractices[Org],"Large"),"TBD"))))))))))))))))))))))))))))))</f>
        <v>9</v>
      </c>
      <c r="S126" s="87" t="s">
        <v>447</v>
      </c>
    </row>
    <row r="127" spans="1:19" x14ac:dyDescent="0.35">
      <c r="A127" s="73">
        <v>117</v>
      </c>
      <c r="B127" s="73">
        <v>8</v>
      </c>
      <c r="C127" s="80" t="s">
        <v>12</v>
      </c>
      <c r="D127" s="73" t="str">
        <f>Practices_SubPractices[[#This Row],[CP]]&amp;LEFT(Practices_SubPractices[[#This Row],[Org]],1)</f>
        <v>8L</v>
      </c>
      <c r="E127" s="73" t="s">
        <v>266</v>
      </c>
      <c r="F127" s="74" t="s">
        <v>150</v>
      </c>
      <c r="G127" s="74" t="s">
        <v>156</v>
      </c>
      <c r="H127" s="74" t="s">
        <v>250</v>
      </c>
      <c r="I127" s="75">
        <v>1</v>
      </c>
      <c r="J127" s="75">
        <v>1</v>
      </c>
      <c r="K127" s="75">
        <v>0</v>
      </c>
      <c r="L127" s="75">
        <v>1</v>
      </c>
      <c r="M127" s="75">
        <v>1</v>
      </c>
      <c r="N127" s="76"/>
      <c r="O127" s="77">
        <f>IF(AND(Practices_SubPractices[CP]=1,Practices_SubPractices[Org]="Small"),SUMIFS(Practices_SubPractices[B],Practices_SubPractices[CP],"1",Practices_SubPractices[Org],"Small"),IF(AND(Practices_SubPractices[CP]=2,Practices_SubPractices[Org]="Small"),SUMIFS(Practices_SubPractices[B],Practices_SubPractices[CP],"2",Practices_SubPractices[Org],"Small"),IF(AND(Practices_SubPractices[CP]=3,Practices_SubPractices[Org]="Small"),SUMIFS(Practices_SubPractices[B],Practices_SubPractices[CP],"3",Practices_SubPractices[Org],"Small"),IF(AND(Practices_SubPractices[CP]=4,Practices_SubPractices[Org]="Small"),SUMIFS(Practices_SubPractices[B],Practices_SubPractices[CP],"4",Practices_SubPractices[Org],"Small"),IF(AND(Practices_SubPractices[CP]=5,Practices_SubPractices[Org]="Small"),SUMIFS(Practices_SubPractices[B],Practices_SubPractices[CP],"5",Practices_SubPractices[Org],"Small"),IF(AND(Practices_SubPractices[CP]=6,Practices_SubPractices[Org]="Small"),SUMIFS(Practices_SubPractices[B],Practices_SubPractices[CP],"6",Practices_SubPractices[Org],"Small"),IF(AND(Practices_SubPractices[CP]=7,Practices_SubPractices[Org] ="Small"),SUMIFS(Practices_SubPractices[B],Practices_SubPractices[CP],"7",Practices_SubPractices[Org],"Small"),IF(AND(Practices_SubPractices[CP]=8,Practices_SubPractices[Org] ="Small"),SUMIFS(Practices_SubPractices[B],Practices_SubPractices[CP],"8",Practices_SubPractices[Org],"Small"),IF(AND(Practices_SubPractices[CP]=9,Practices_SubPractices[Org] ="Small"),SUMIFS(Practices_SubPractices[B],Practices_SubPractices[CP],"9",Practices_SubPractices[Org],"Small"),IF(AND(Practices_SubPractices[CP]=10,Practices_SubPractices[Org] ="Small"),SUMIFS(Practices_SubPractices[B],Practices_SubPractices[CP],"10",Practices_SubPractices[Org],"Small"),IF(AND(Practices_SubPractices[CP]=1,Practices_SubPractices[Org]="Medium"),SUMIFS(Practices_SubPractices[B],Practices_SubPractices[CP],"1",Practices_SubPractices[Org],"Medium"),IF(AND(Practices_SubPractices[CP]=2,Practices_SubPractices[Org]="Medium"),SUMIFS(Practices_SubPractices[B],Practices_SubPractices[CP],"2",Practices_SubPractices[Org],"Medium"),IF(AND(Practices_SubPractices[CP]=3,Practices_SubPractices[Org]="Medium"),SUMIFS(Practices_SubPractices[B],Practices_SubPractices[CP],"3",Practices_SubPractices[Org],"Medium"),IF(AND(Practices_SubPractices[CP]=4,Practices_SubPractices[Org]="Medium"),SUMIFS(Practices_SubPractices[B],Practices_SubPractices[CP],"4",Practices_SubPractices[Org],"Medium"),IF(AND(Practices_SubPractices[CP]=5,Practices_SubPractices[Org]="Medium"),SUMIFS(Practices_SubPractices[B],Practices_SubPractices[CP],"5",Practices_SubPractices[Org],"Medium"),IF(AND(Practices_SubPractices[CP]=6,Practices_SubPractices[Org]="Medium"),SUMIFS(Practices_SubPractices[B],Practices_SubPractices[CP],"6",Practices_SubPractices[Org],"Medium"),IF(AND(Practices_SubPractices[CP]=7,Practices_SubPractices[Org] ="Medium"),SUMIFS(Practices_SubPractices[B],Practices_SubPractices[CP],"7",Practices_SubPractices[Org],"Medium"),IF(AND(Practices_SubPractices[CP]=8,Practices_SubPractices[Org] ="Medium"),SUMIFS(Practices_SubPractices[B],Practices_SubPractices[CP],"8",Practices_SubPractices[Org],"Medium"),IF(AND(Practices_SubPractices[CP]=9,Practices_SubPractices[Org] ="Medium"),SUMIFS(Practices_SubPractices[B],Practices_SubPractices[CP],"9",Practices_SubPractices[Org],"Medium"),IF(AND(Practices_SubPractices[CP]=10,Practices_SubPractices[Org] ="Medium"),SUMIFS(Practices_SubPractices[B],Practices_SubPractices[CP],"10",Practices_SubPractices[Org],"Medium"),IF(AND(Practices_SubPractices[CP]=1,Practices_SubPractices[Org]="Large"),SUMIFS(Practices_SubPractices[B],Practices_SubPractices[CP],"1",Practices_SubPractices[Org],"Large"),IF(AND(Practices_SubPractices[CP]=2,Practices_SubPractices[Org]="Large"),SUMIFS(Practices_SubPractices[B],Practices_SubPractices[CP],"2",Practices_SubPractices[Org],"Large"),IF(AND(Practices_SubPractices[CP]=3,Practices_SubPractices[Org]="Large"),SUMIFS(Practices_SubPractices[B],Practices_SubPractices[CP],"3",Practices_SubPractices[Org],"Large"),IF(AND(Practices_SubPractices[CP]=4,Practices_SubPractices[Org]="Large"),SUMIFS(Practices_SubPractices[B],Practices_SubPractices[CP],"4",Practices_SubPractices[Org],"Large"),IF(AND(Practices_SubPractices[CP]=5,Practices_SubPractices[Org]="Large"),SUMIFS(Practices_SubPractices[B],Practices_SubPractices[CP],"5",Practices_SubPractices[Org],"Large"),IF(AND(Practices_SubPractices[CP]=6,Practices_SubPractices[Org]="Large"),SUMIFS(Practices_SubPractices[B],Practices_SubPractices[CP],"6",Practices_SubPractices[Org],"Large"),IF(AND(Practices_SubPractices[CP]=7,Practices_SubPractices[Org] ="Large"),SUMIFS(Practices_SubPractices[B],Practices_SubPractices[CP],"7",Practices_SubPractices[Org],"Large"),IF(AND(Practices_SubPractices[CP]=8,Practices_SubPractices[Org] ="Large"),SUMIFS(Practices_SubPractices[B],Practices_SubPractices[CP],"8",Practices_SubPractices[Org],"Large"),IF(AND(Practices_SubPractices[CP]=9,Practices_SubPractices[Org] ="Large"),SUMIFS(Practices_SubPractices[B],Practices_SubPractices[CP],"9",Practices_SubPractices[Org],"Large"),IF(AND(Practices_SubPractices[CP]=10,Practices_SubPractices[Org] ="Large"),SUMIFS(Practices_SubPractices[B],Practices_SubPractices[CP],"10",Practices_SubPractices[Org],"Large"),"TBD"))))))))))))))))))))))))))))))</f>
        <v>14</v>
      </c>
      <c r="P127" s="77">
        <f>IF(AND(Practices_SubPractices[CP]=1,Practices_SubPractices[Org]="Small"),SUMIFS(Practices_SubPractices[C],Practices_SubPractices[CP],"1",Practices_SubPractices[Org],"Small"),IF(AND(Practices_SubPractices[CP]=2,Practices_SubPractices[Org]="Small"),SUMIFS(Practices_SubPractices[C],Practices_SubPractices[CP],"2",Practices_SubPractices[Org],"Small"),IF(AND(Practices_SubPractices[CP]=3,Practices_SubPractices[Org]="Small"),SUMIFS(Practices_SubPractices[C],Practices_SubPractices[CP],"3",Practices_SubPractices[Org],"Small"),IF(AND(Practices_SubPractices[CP]=4,Practices_SubPractices[Org]="Small"),SUMIFS(Practices_SubPractices[C],Practices_SubPractices[CP],"4",Practices_SubPractices[Org],"Small"),IF(AND(Practices_SubPractices[CP]=5,Practices_SubPractices[Org]="Small"),SUMIFS(Practices_SubPractices[C],Practices_SubPractices[CP],"5",Practices_SubPractices[Org],"Small"),IF(AND(Practices_SubPractices[CP]=6,Practices_SubPractices[Org]="Small"),SUMIFS(Practices_SubPractices[C],Practices_SubPractices[CP],"6",Practices_SubPractices[Org],"Small"),IF(AND(Practices_SubPractices[CP]=7,Practices_SubPractices[Org] ="Small"),SUMIFS(Practices_SubPractices[C],Practices_SubPractices[CP],"7",Practices_SubPractices[Org],"Small"),IF(AND(Practices_SubPractices[CP]=8,Practices_SubPractices[Org] ="Small"),SUMIFS(Practices_SubPractices[C],Practices_SubPractices[CP],"8",Practices_SubPractices[Org],"Small"),IF(AND(Practices_SubPractices[CP]=9,Practices_SubPractices[Org] ="Small"),SUMIFS(Practices_SubPractices[C],Practices_SubPractices[CP],"9",Practices_SubPractices[Org],"Small"),IF(AND(Practices_SubPractices[CP]=10,Practices_SubPractices[Org] ="Small"),SUMIFS(Practices_SubPractices[C],Practices_SubPractices[CP],"10",Practices_SubPractices[Org],"Small"),IF(AND(Practices_SubPractices[CP]=1,Practices_SubPractices[Org]="Medium"),SUMIFS(Practices_SubPractices[C],Practices_SubPractices[CP],"1",Practices_SubPractices[Org],"Medium"),IF(AND(Practices_SubPractices[CP]=2,Practices_SubPractices[Org]="Medium"),SUMIFS(Practices_SubPractices[C],Practices_SubPractices[CP],"2",Practices_SubPractices[Org],"Medium"),IF(AND(Practices_SubPractices[CP]=3,Practices_SubPractices[Org]="Medium"),SUMIFS(Practices_SubPractices[C],Practices_SubPractices[CP],"3",Practices_SubPractices[Org],"Medium"),IF(AND(Practices_SubPractices[CP]=4,Practices_SubPractices[Org]="Medium"),SUMIFS(Practices_SubPractices[C],Practices_SubPractices[CP],"4",Practices_SubPractices[Org],"Medium"),IF(AND(Practices_SubPractices[CP]=5,Practices_SubPractices[Org]="Medium"),SUMIFS(Practices_SubPractices[C],Practices_SubPractices[CP],"5",Practices_SubPractices[Org],"Medium"),IF(AND(Practices_SubPractices[CP]=6,Practices_SubPractices[Org]="Medium"),SUMIFS(Practices_SubPractices[C],Practices_SubPractices[CP],"6",Practices_SubPractices[Org],"Medium"),IF(AND(Practices_SubPractices[CP]=7,Practices_SubPractices[Org] ="Medium"),SUMIFS(Practices_SubPractices[C],Practices_SubPractices[CP],"7",Practices_SubPractices[Org],"Medium"),IF(AND(Practices_SubPractices[CP]=8,Practices_SubPractices[Org] ="Medium"),SUMIFS(Practices_SubPractices[C],Practices_SubPractices[CP],"8",Practices_SubPractices[Org],"Medium"),IF(AND(Practices_SubPractices[CP]=9,Practices_SubPractices[Org] ="Medium"),SUMIFS(Practices_SubPractices[C],Practices_SubPractices[CP],"9",Practices_SubPractices[Org],"Medium"),IF(AND(Practices_SubPractices[CP]=10,Practices_SubPractices[Org] ="Medium"),SUMIFS(Practices_SubPractices[C],Practices_SubPractices[CP],"10",Practices_SubPractices[Org],"Medium"),IF(AND(Practices_SubPractices[CP]=1,Practices_SubPractices[Org]="Large"),SUMIFS(Practices_SubPractices[C],Practices_SubPractices[CP],"1",Practices_SubPractices[Org],"Large"),IF(AND(Practices_SubPractices[CP]=2,Practices_SubPractices[Org]="Large"),SUMIFS(Practices_SubPractices[C],Practices_SubPractices[CP],"2",Practices_SubPractices[Org],"Large"),IF(AND(Practices_SubPractices[CP]=3,Practices_SubPractices[Org]="Large"),SUMIFS(Practices_SubPractices[C],Practices_SubPractices[CP],"3",Practices_SubPractices[Org],"Large"),IF(AND(Practices_SubPractices[CP]=4,Practices_SubPractices[Org]="Large"),SUMIFS(Practices_SubPractices[C],Practices_SubPractices[CP],"4",Practices_SubPractices[Org],"Large"),IF(AND(Practices_SubPractices[CP]=5,Practices_SubPractices[Org]="Large"),SUMIFS(Practices_SubPractices[C],Practices_SubPractices[CP],"5",Practices_SubPractices[Org],"Large"),IF(AND(Practices_SubPractices[CP]=6,Practices_SubPractices[Org]="Large"),SUMIFS(Practices_SubPractices[C],Practices_SubPractices[CP],"6",Practices_SubPractices[Org],"Large"),IF(AND(Practices_SubPractices[CP]=7,Practices_SubPractices[Org] ="Large"),SUMIFS(Practices_SubPractices[C],Practices_SubPractices[CP],"7",Practices_SubPractices[Org],"Large"),IF(AND(Practices_SubPractices[CP]=8,Practices_SubPractices[Org] ="Large"),SUMIFS(Practices_SubPractices[C],Practices_SubPractices[CP],"8",Practices_SubPractices[Org],"Large"),IF(AND(Practices_SubPractices[CP]=9,Practices_SubPractices[Org] ="Large"),SUMIFS(Practices_SubPractices[C],Practices_SubPractices[CP],"9",Practices_SubPractices[Org],"Large"),IF(AND(Practices_SubPractices[CP]=10,Practices_SubPractices[Org] ="Large"),SUMIFS(Practices_SubPractices[C],Practices_SubPractices[CP],"10",Practices_SubPractices[Org],"Large"),"TBD"))))))))))))))))))))))))))))))</f>
        <v>5</v>
      </c>
      <c r="Q127" s="77">
        <f>IF(AND(Practices_SubPractices[CP]=1,Practices_SubPractices[Org]="Small"),SUMIFS(Practices_SubPractices[D],Practices_SubPractices[CP],"1",Practices_SubPractices[Org],"Small"),IF(AND(Practices_SubPractices[CP]=2,Practices_SubPractices[Org]="Small"),SUMIFS(Practices_SubPractices[D],Practices_SubPractices[CP],"2",Practices_SubPractices[Org],"Small"),IF(AND(Practices_SubPractices[CP]=3,Practices_SubPractices[Org]="Small"),SUMIFS(Practices_SubPractices[D],Practices_SubPractices[CP],"3",Practices_SubPractices[Org],"Small"),IF(AND(Practices_SubPractices[CP]=4,Practices_SubPractices[Org]="Small"),SUMIFS(Practices_SubPractices[D],Practices_SubPractices[CP],"4",Practices_SubPractices[Org],"Small"),IF(AND(Practices_SubPractices[CP]=5,Practices_SubPractices[Org]="Small"),SUMIFS(Practices_SubPractices[D],Practices_SubPractices[CP],"5",Practices_SubPractices[Org],"Small"),IF(AND(Practices_SubPractices[CP]=6,Practices_SubPractices[Org]="Small"),SUMIFS(Practices_SubPractices[D],Practices_SubPractices[CP],"6",Practices_SubPractices[Org],"Small"),IF(AND(Practices_SubPractices[CP]=7,Practices_SubPractices[Org] ="Small"),SUMIFS(Practices_SubPractices[D],Practices_SubPractices[CP],"7",Practices_SubPractices[Org],"Small"),IF(AND(Practices_SubPractices[CP]=8,Practices_SubPractices[Org] ="Small"),SUMIFS(Practices_SubPractices[D],Practices_SubPractices[CP],"8",Practices_SubPractices[Org],"Small"),IF(AND(Practices_SubPractices[CP]=9,Practices_SubPractices[Org] ="Small"),SUMIFS(Practices_SubPractices[D],Practices_SubPractices[CP],"9",Practices_SubPractices[Org],"Small"),IF(AND(Practices_SubPractices[CP]=10,Practices_SubPractices[Org] ="Small"),SUMIFS(Practices_SubPractices[D],Practices_SubPractices[CP],"10",Practices_SubPractices[Org],"Small"),IF(AND(Practices_SubPractices[CP]=1,Practices_SubPractices[Org]="Medium"),SUMIFS(Practices_SubPractices[D],Practices_SubPractices[CP],"1",Practices_SubPractices[Org],"Medium"),IF(AND(Practices_SubPractices[CP]=2,Practices_SubPractices[Org]="Medium"),SUMIFS(Practices_SubPractices[D],Practices_SubPractices[CP],"2",Practices_SubPractices[Org],"Medium"),IF(AND(Practices_SubPractices[CP]=3,Practices_SubPractices[Org]="Medium"),SUMIFS(Practices_SubPractices[D],Practices_SubPractices[CP],"3",Practices_SubPractices[Org],"Medium"),IF(AND(Practices_SubPractices[CP]=4,Practices_SubPractices[Org]="Medium"),SUMIFS(Practices_SubPractices[D],Practices_SubPractices[CP],"4",Practices_SubPractices[Org],"Medium"),IF(AND(Practices_SubPractices[CP]=5,Practices_SubPractices[Org]="Medium"),SUMIFS(Practices_SubPractices[D],Practices_SubPractices[CP],"5",Practices_SubPractices[Org],"Medium"),IF(AND(Practices_SubPractices[CP]=6,Practices_SubPractices[Org]="Medium"),SUMIFS(Practices_SubPractices[D],Practices_SubPractices[CP],"6",Practices_SubPractices[Org],"Medium"),IF(AND(Practices_SubPractices[CP]=7,Practices_SubPractices[Org] ="Medium"),SUMIFS(Practices_SubPractices[D],Practices_SubPractices[CP],"7",Practices_SubPractices[Org],"Medium"),IF(AND(Practices_SubPractices[CP]=8,Practices_SubPractices[Org] ="Medium"),SUMIFS(Practices_SubPractices[D],Practices_SubPractices[CP],"8",Practices_SubPractices[Org],"Medium"),IF(AND(Practices_SubPractices[CP]=9,Practices_SubPractices[Org] ="Medium"),SUMIFS(Practices_SubPractices[D],Practices_SubPractices[CP],"9",Practices_SubPractices[Org],"Medium"),IF(AND(Practices_SubPractices[CP]=10,Practices_SubPractices[Org] ="Medium"),SUMIFS(Practices_SubPractices[D],Practices_SubPractices[CP],"10",Practices_SubPractices[Org],"Medium"),IF(AND(Practices_SubPractices[CP]=1,Practices_SubPractices[Org]="Large"),SUMIFS(Practices_SubPractices[D],Practices_SubPractices[CP],"1",Practices_SubPractices[Org],"Large"),IF(AND(Practices_SubPractices[CP]=2,Practices_SubPractices[Org]="Large"),SUMIFS(Practices_SubPractices[D],Practices_SubPractices[CP],"2",Practices_SubPractices[Org],"Large"),IF(AND(Practices_SubPractices[CP]=3,Practices_SubPractices[Org]="Large"),SUMIFS(Practices_SubPractices[D],Practices_SubPractices[CP],"3",Practices_SubPractices[Org],"Large"),IF(AND(Practices_SubPractices[CP]=4,Practices_SubPractices[Org]="Large"),SUMIFS(Practices_SubPractices[D],Practices_SubPractices[CP],"4",Practices_SubPractices[Org],"Large"),IF(AND(Practices_SubPractices[CP]=5,Practices_SubPractices[Org]="Large"),SUMIFS(Practices_SubPractices[D],Practices_SubPractices[CP],"5",Practices_SubPractices[Org],"Large"),IF(AND(Practices_SubPractices[CP]=6,Practices_SubPractices[Org]="Large"),SUMIFS(Practices_SubPractices[D],Practices_SubPractices[CP],"6",Practices_SubPractices[Org],"Large"),IF(AND(Practices_SubPractices[CP]=7,Practices_SubPractices[Org] ="Large"),SUMIFS(Practices_SubPractices[D],Practices_SubPractices[CP],"7",Practices_SubPractices[Org],"Large"),IF(AND(Practices_SubPractices[CP]=8,Practices_SubPractices[Org] ="Large"),SUMIFS(Practices_SubPractices[D],Practices_SubPractices[CP],"8",Practices_SubPractices[Org],"Large"),IF(AND(Practices_SubPractices[CP]=9,Practices_SubPractices[Org] ="Large"),SUMIFS(Practices_SubPractices[D],Practices_SubPractices[CP],"9",Practices_SubPractices[Org],"Large"),IF(AND(Practices_SubPractices[CP]=10,Practices_SubPractices[Org] ="Large"),SUMIFS(Practices_SubPractices[D],Practices_SubPractices[CP],"10",Practices_SubPractices[Org],"Large"),"TBD"))))))))))))))))))))))))))))))</f>
        <v>14</v>
      </c>
      <c r="R127" s="77">
        <f>IF(AND(Practices_SubPractices[CP]=1,Practices_SubPractices[Org]="Small"),SUMIFS(Practices_SubPractices[E],Practices_SubPractices[CP],"1",Practices_SubPractices[Org],"Small"),IF(AND(Practices_SubPractices[CP]=2,Practices_SubPractices[Org]="Small"),SUMIFS(Practices_SubPractices[E],Practices_SubPractices[CP],"2",Practices_SubPractices[Org],"Small"),IF(AND(Practices_SubPractices[CP]=3,Practices_SubPractices[Org]="Small"),SUMIFS(Practices_SubPractices[E],Practices_SubPractices[CP],"3",Practices_SubPractices[Org],"Small"),IF(AND(Practices_SubPractices[CP]=4,Practices_SubPractices[Org]="Small"),SUMIFS(Practices_SubPractices[E],Practices_SubPractices[CP],"4",Practices_SubPractices[Org],"Small"),IF(AND(Practices_SubPractices[CP]=5,Practices_SubPractices[Org]="Small"),SUMIFS(Practices_SubPractices[E],Practices_SubPractices[CP],"5",Practices_SubPractices[Org],"Small"),IF(AND(Practices_SubPractices[CP]=6,Practices_SubPractices[Org]="Small"),SUMIFS(Practices_SubPractices[E],Practices_SubPractices[CP],"6",Practices_SubPractices[Org],"Small"),IF(AND(Practices_SubPractices[CP]=7,Practices_SubPractices[Org] ="Small"),SUMIFS(Practices_SubPractices[E],Practices_SubPractices[CP],"7",Practices_SubPractices[Org],"Small"),IF(AND(Practices_SubPractices[CP]=8,Practices_SubPractices[Org] ="Small"),SUMIFS(Practices_SubPractices[E],Practices_SubPractices[CP],"8",Practices_SubPractices[Org],"Small"),IF(AND(Practices_SubPractices[CP]=9,Practices_SubPractices[Org] ="Small"),SUMIFS(Practices_SubPractices[E],Practices_SubPractices[CP],"9",Practices_SubPractices[Org],"Small"),IF(AND(Practices_SubPractices[CP]=10,Practices_SubPractices[Org] ="Small"),SUMIFS(Practices_SubPractices[E],Practices_SubPractices[CP],"10",Practices_SubPractices[Org],"Small"),IF(AND(Practices_SubPractices[CP]=1,Practices_SubPractices[Org]="Medium"),SUMIFS(Practices_SubPractices[E],Practices_SubPractices[CP],"1",Practices_SubPractices[Org],"Medium"),IF(AND(Practices_SubPractices[CP]=2,Practices_SubPractices[Org]="Medium"),SUMIFS(Practices_SubPractices[E],Practices_SubPractices[CP],"2",Practices_SubPractices[Org],"Medium"),IF(AND(Practices_SubPractices[CP]=3,Practices_SubPractices[Org]="Medium"),SUMIFS(Practices_SubPractices[E],Practices_SubPractices[CP],"3",Practices_SubPractices[Org],"Medium"),IF(AND(Practices_SubPractices[CP]=4,Practices_SubPractices[Org]="Medium"),SUMIFS(Practices_SubPractices[E],Practices_SubPractices[CP],"4",Practices_SubPractices[Org],"Medium"),IF(AND(Practices_SubPractices[CP]=5,Practices_SubPractices[Org]="Medium"),SUMIFS(Practices_SubPractices[E],Practices_SubPractices[CP],"5",Practices_SubPractices[Org],"Medium"),IF(AND(Practices_SubPractices[CP]=6,Practices_SubPractices[Org]="Medium"),SUMIFS(Practices_SubPractices[E],Practices_SubPractices[CP],"6",Practices_SubPractices[Org],"Medium"),IF(AND(Practices_SubPractices[CP]=7,Practices_SubPractices[Org] ="Medium"),SUMIFS(Practices_SubPractices[E],Practices_SubPractices[CP],"7",Practices_SubPractices[Org],"Medium"),IF(AND(Practices_SubPractices[CP]=8,Practices_SubPractices[Org] ="Medium"),SUMIFS(Practices_SubPractices[E],Practices_SubPractices[CP],"8",Practices_SubPractices[Org],"Medium"),IF(AND(Practices_SubPractices[CP]=9,Practices_SubPractices[Org] ="Medium"),SUMIFS(Practices_SubPractices[E],Practices_SubPractices[CP],"9",Practices_SubPractices[Org],"Medium"),IF(AND(Practices_SubPractices[CP]=10,Practices_SubPractices[Org] ="Medium"),SUMIFS(Practices_SubPractices[E],Practices_SubPractices[CP],"10",Practices_SubPractices[Org],"Medium"),IF(AND(Practices_SubPractices[CP]=1,Practices_SubPractices[Org]="Large"),SUMIFS(Practices_SubPractices[E],Practices_SubPractices[CP],"1",Practices_SubPractices[Org],"Large"),IF(AND(Practices_SubPractices[CP]=2,Practices_SubPractices[Org]="Large"),SUMIFS(Practices_SubPractices[E],Practices_SubPractices[CP],"2",Practices_SubPractices[Org],"Large"),IF(AND(Practices_SubPractices[CP]=3,Practices_SubPractices[Org]="Large"),SUMIFS(Practices_SubPractices[E],Practices_SubPractices[CP],"3",Practices_SubPractices[Org],"Large"),IF(AND(Practices_SubPractices[CP]=4,Practices_SubPractices[Org]="Large"),SUMIFS(Practices_SubPractices[E],Practices_SubPractices[CP],"4",Practices_SubPractices[Org],"Large"),IF(AND(Practices_SubPractices[CP]=5,Practices_SubPractices[Org]="Large"),SUMIFS(Practices_SubPractices[E],Practices_SubPractices[CP],"5",Practices_SubPractices[Org],"Large"),IF(AND(Practices_SubPractices[CP]=6,Practices_SubPractices[Org]="Large"),SUMIFS(Practices_SubPractices[E],Practices_SubPractices[CP],"6",Practices_SubPractices[Org],"Large"),IF(AND(Practices_SubPractices[CP]=7,Practices_SubPractices[Org] ="Large"),SUMIFS(Practices_SubPractices[E],Practices_SubPractices[CP],"7",Practices_SubPractices[Org],"Large"),IF(AND(Practices_SubPractices[CP]=8,Practices_SubPractices[Org] ="Large"),SUMIFS(Practices_SubPractices[E],Practices_SubPractices[CP],"8",Practices_SubPractices[Org],"Large"),IF(AND(Practices_SubPractices[CP]=9,Practices_SubPractices[Org] ="Large"),SUMIFS(Practices_SubPractices[E],Practices_SubPractices[CP],"9",Practices_SubPractices[Org],"Large"),IF(AND(Practices_SubPractices[CP]=10,Practices_SubPractices[Org] ="Large"),SUMIFS(Practices_SubPractices[E],Practices_SubPractices[CP],"10",Practices_SubPractices[Org],"Large"),"TBD"))))))))))))))))))))))))))))))</f>
        <v>9</v>
      </c>
      <c r="S127" s="87" t="s">
        <v>402</v>
      </c>
    </row>
    <row r="128" spans="1:19" x14ac:dyDescent="0.35">
      <c r="A128" s="73">
        <v>118</v>
      </c>
      <c r="B128" s="73">
        <v>8</v>
      </c>
      <c r="C128" s="80" t="s">
        <v>12</v>
      </c>
      <c r="D128" s="73" t="str">
        <f>Practices_SubPractices[[#This Row],[CP]]&amp;LEFT(Practices_SubPractices[[#This Row],[Org]],1)</f>
        <v>8L</v>
      </c>
      <c r="E128" s="73" t="s">
        <v>267</v>
      </c>
      <c r="F128" s="74" t="s">
        <v>151</v>
      </c>
      <c r="G128" s="74" t="s">
        <v>157</v>
      </c>
      <c r="H128" s="74" t="s">
        <v>254</v>
      </c>
      <c r="I128" s="75">
        <v>2</v>
      </c>
      <c r="J128" s="75">
        <v>2</v>
      </c>
      <c r="K128" s="75">
        <v>0</v>
      </c>
      <c r="L128" s="75">
        <v>2</v>
      </c>
      <c r="M128" s="75">
        <v>1</v>
      </c>
      <c r="N128" s="76"/>
      <c r="O128" s="77">
        <f>IF(AND(Practices_SubPractices[CP]=1,Practices_SubPractices[Org]="Small"),SUMIFS(Practices_SubPractices[B],Practices_SubPractices[CP],"1",Practices_SubPractices[Org],"Small"),IF(AND(Practices_SubPractices[CP]=2,Practices_SubPractices[Org]="Small"),SUMIFS(Practices_SubPractices[B],Practices_SubPractices[CP],"2",Practices_SubPractices[Org],"Small"),IF(AND(Practices_SubPractices[CP]=3,Practices_SubPractices[Org]="Small"),SUMIFS(Practices_SubPractices[B],Practices_SubPractices[CP],"3",Practices_SubPractices[Org],"Small"),IF(AND(Practices_SubPractices[CP]=4,Practices_SubPractices[Org]="Small"),SUMIFS(Practices_SubPractices[B],Practices_SubPractices[CP],"4",Practices_SubPractices[Org],"Small"),IF(AND(Practices_SubPractices[CP]=5,Practices_SubPractices[Org]="Small"),SUMIFS(Practices_SubPractices[B],Practices_SubPractices[CP],"5",Practices_SubPractices[Org],"Small"),IF(AND(Practices_SubPractices[CP]=6,Practices_SubPractices[Org]="Small"),SUMIFS(Practices_SubPractices[B],Practices_SubPractices[CP],"6",Practices_SubPractices[Org],"Small"),IF(AND(Practices_SubPractices[CP]=7,Practices_SubPractices[Org] ="Small"),SUMIFS(Practices_SubPractices[B],Practices_SubPractices[CP],"7",Practices_SubPractices[Org],"Small"),IF(AND(Practices_SubPractices[CP]=8,Practices_SubPractices[Org] ="Small"),SUMIFS(Practices_SubPractices[B],Practices_SubPractices[CP],"8",Practices_SubPractices[Org],"Small"),IF(AND(Practices_SubPractices[CP]=9,Practices_SubPractices[Org] ="Small"),SUMIFS(Practices_SubPractices[B],Practices_SubPractices[CP],"9",Practices_SubPractices[Org],"Small"),IF(AND(Practices_SubPractices[CP]=10,Practices_SubPractices[Org] ="Small"),SUMIFS(Practices_SubPractices[B],Practices_SubPractices[CP],"10",Practices_SubPractices[Org],"Small"),IF(AND(Practices_SubPractices[CP]=1,Practices_SubPractices[Org]="Medium"),SUMIFS(Practices_SubPractices[B],Practices_SubPractices[CP],"1",Practices_SubPractices[Org],"Medium"),IF(AND(Practices_SubPractices[CP]=2,Practices_SubPractices[Org]="Medium"),SUMIFS(Practices_SubPractices[B],Practices_SubPractices[CP],"2",Practices_SubPractices[Org],"Medium"),IF(AND(Practices_SubPractices[CP]=3,Practices_SubPractices[Org]="Medium"),SUMIFS(Practices_SubPractices[B],Practices_SubPractices[CP],"3",Practices_SubPractices[Org],"Medium"),IF(AND(Practices_SubPractices[CP]=4,Practices_SubPractices[Org]="Medium"),SUMIFS(Practices_SubPractices[B],Practices_SubPractices[CP],"4",Practices_SubPractices[Org],"Medium"),IF(AND(Practices_SubPractices[CP]=5,Practices_SubPractices[Org]="Medium"),SUMIFS(Practices_SubPractices[B],Practices_SubPractices[CP],"5",Practices_SubPractices[Org],"Medium"),IF(AND(Practices_SubPractices[CP]=6,Practices_SubPractices[Org]="Medium"),SUMIFS(Practices_SubPractices[B],Practices_SubPractices[CP],"6",Practices_SubPractices[Org],"Medium"),IF(AND(Practices_SubPractices[CP]=7,Practices_SubPractices[Org] ="Medium"),SUMIFS(Practices_SubPractices[B],Practices_SubPractices[CP],"7",Practices_SubPractices[Org],"Medium"),IF(AND(Practices_SubPractices[CP]=8,Practices_SubPractices[Org] ="Medium"),SUMIFS(Practices_SubPractices[B],Practices_SubPractices[CP],"8",Practices_SubPractices[Org],"Medium"),IF(AND(Practices_SubPractices[CP]=9,Practices_SubPractices[Org] ="Medium"),SUMIFS(Practices_SubPractices[B],Practices_SubPractices[CP],"9",Practices_SubPractices[Org],"Medium"),IF(AND(Practices_SubPractices[CP]=10,Practices_SubPractices[Org] ="Medium"),SUMIFS(Practices_SubPractices[B],Practices_SubPractices[CP],"10",Practices_SubPractices[Org],"Medium"),IF(AND(Practices_SubPractices[CP]=1,Practices_SubPractices[Org]="Large"),SUMIFS(Practices_SubPractices[B],Practices_SubPractices[CP],"1",Practices_SubPractices[Org],"Large"),IF(AND(Practices_SubPractices[CP]=2,Practices_SubPractices[Org]="Large"),SUMIFS(Practices_SubPractices[B],Practices_SubPractices[CP],"2",Practices_SubPractices[Org],"Large"),IF(AND(Practices_SubPractices[CP]=3,Practices_SubPractices[Org]="Large"),SUMIFS(Practices_SubPractices[B],Practices_SubPractices[CP],"3",Practices_SubPractices[Org],"Large"),IF(AND(Practices_SubPractices[CP]=4,Practices_SubPractices[Org]="Large"),SUMIFS(Practices_SubPractices[B],Practices_SubPractices[CP],"4",Practices_SubPractices[Org],"Large"),IF(AND(Practices_SubPractices[CP]=5,Practices_SubPractices[Org]="Large"),SUMIFS(Practices_SubPractices[B],Practices_SubPractices[CP],"5",Practices_SubPractices[Org],"Large"),IF(AND(Practices_SubPractices[CP]=6,Practices_SubPractices[Org]="Large"),SUMIFS(Practices_SubPractices[B],Practices_SubPractices[CP],"6",Practices_SubPractices[Org],"Large"),IF(AND(Practices_SubPractices[CP]=7,Practices_SubPractices[Org] ="Large"),SUMIFS(Practices_SubPractices[B],Practices_SubPractices[CP],"7",Practices_SubPractices[Org],"Large"),IF(AND(Practices_SubPractices[CP]=8,Practices_SubPractices[Org] ="Large"),SUMIFS(Practices_SubPractices[B],Practices_SubPractices[CP],"8",Practices_SubPractices[Org],"Large"),IF(AND(Practices_SubPractices[CP]=9,Practices_SubPractices[Org] ="Large"),SUMIFS(Practices_SubPractices[B],Practices_SubPractices[CP],"9",Practices_SubPractices[Org],"Large"),IF(AND(Practices_SubPractices[CP]=10,Practices_SubPractices[Org] ="Large"),SUMIFS(Practices_SubPractices[B],Practices_SubPractices[CP],"10",Practices_SubPractices[Org],"Large"),"TBD"))))))))))))))))))))))))))))))</f>
        <v>14</v>
      </c>
      <c r="P128" s="77">
        <f>IF(AND(Practices_SubPractices[CP]=1,Practices_SubPractices[Org]="Small"),SUMIFS(Practices_SubPractices[C],Practices_SubPractices[CP],"1",Practices_SubPractices[Org],"Small"),IF(AND(Practices_SubPractices[CP]=2,Practices_SubPractices[Org]="Small"),SUMIFS(Practices_SubPractices[C],Practices_SubPractices[CP],"2",Practices_SubPractices[Org],"Small"),IF(AND(Practices_SubPractices[CP]=3,Practices_SubPractices[Org]="Small"),SUMIFS(Practices_SubPractices[C],Practices_SubPractices[CP],"3",Practices_SubPractices[Org],"Small"),IF(AND(Practices_SubPractices[CP]=4,Practices_SubPractices[Org]="Small"),SUMIFS(Practices_SubPractices[C],Practices_SubPractices[CP],"4",Practices_SubPractices[Org],"Small"),IF(AND(Practices_SubPractices[CP]=5,Practices_SubPractices[Org]="Small"),SUMIFS(Practices_SubPractices[C],Practices_SubPractices[CP],"5",Practices_SubPractices[Org],"Small"),IF(AND(Practices_SubPractices[CP]=6,Practices_SubPractices[Org]="Small"),SUMIFS(Practices_SubPractices[C],Practices_SubPractices[CP],"6",Practices_SubPractices[Org],"Small"),IF(AND(Practices_SubPractices[CP]=7,Practices_SubPractices[Org] ="Small"),SUMIFS(Practices_SubPractices[C],Practices_SubPractices[CP],"7",Practices_SubPractices[Org],"Small"),IF(AND(Practices_SubPractices[CP]=8,Practices_SubPractices[Org] ="Small"),SUMIFS(Practices_SubPractices[C],Practices_SubPractices[CP],"8",Practices_SubPractices[Org],"Small"),IF(AND(Practices_SubPractices[CP]=9,Practices_SubPractices[Org] ="Small"),SUMIFS(Practices_SubPractices[C],Practices_SubPractices[CP],"9",Practices_SubPractices[Org],"Small"),IF(AND(Practices_SubPractices[CP]=10,Practices_SubPractices[Org] ="Small"),SUMIFS(Practices_SubPractices[C],Practices_SubPractices[CP],"10",Practices_SubPractices[Org],"Small"),IF(AND(Practices_SubPractices[CP]=1,Practices_SubPractices[Org]="Medium"),SUMIFS(Practices_SubPractices[C],Practices_SubPractices[CP],"1",Practices_SubPractices[Org],"Medium"),IF(AND(Practices_SubPractices[CP]=2,Practices_SubPractices[Org]="Medium"),SUMIFS(Practices_SubPractices[C],Practices_SubPractices[CP],"2",Practices_SubPractices[Org],"Medium"),IF(AND(Practices_SubPractices[CP]=3,Practices_SubPractices[Org]="Medium"),SUMIFS(Practices_SubPractices[C],Practices_SubPractices[CP],"3",Practices_SubPractices[Org],"Medium"),IF(AND(Practices_SubPractices[CP]=4,Practices_SubPractices[Org]="Medium"),SUMIFS(Practices_SubPractices[C],Practices_SubPractices[CP],"4",Practices_SubPractices[Org],"Medium"),IF(AND(Practices_SubPractices[CP]=5,Practices_SubPractices[Org]="Medium"),SUMIFS(Practices_SubPractices[C],Practices_SubPractices[CP],"5",Practices_SubPractices[Org],"Medium"),IF(AND(Practices_SubPractices[CP]=6,Practices_SubPractices[Org]="Medium"),SUMIFS(Practices_SubPractices[C],Practices_SubPractices[CP],"6",Practices_SubPractices[Org],"Medium"),IF(AND(Practices_SubPractices[CP]=7,Practices_SubPractices[Org] ="Medium"),SUMIFS(Practices_SubPractices[C],Practices_SubPractices[CP],"7",Practices_SubPractices[Org],"Medium"),IF(AND(Practices_SubPractices[CP]=8,Practices_SubPractices[Org] ="Medium"),SUMIFS(Practices_SubPractices[C],Practices_SubPractices[CP],"8",Practices_SubPractices[Org],"Medium"),IF(AND(Practices_SubPractices[CP]=9,Practices_SubPractices[Org] ="Medium"),SUMIFS(Practices_SubPractices[C],Practices_SubPractices[CP],"9",Practices_SubPractices[Org],"Medium"),IF(AND(Practices_SubPractices[CP]=10,Practices_SubPractices[Org] ="Medium"),SUMIFS(Practices_SubPractices[C],Practices_SubPractices[CP],"10",Practices_SubPractices[Org],"Medium"),IF(AND(Practices_SubPractices[CP]=1,Practices_SubPractices[Org]="Large"),SUMIFS(Practices_SubPractices[C],Practices_SubPractices[CP],"1",Practices_SubPractices[Org],"Large"),IF(AND(Practices_SubPractices[CP]=2,Practices_SubPractices[Org]="Large"),SUMIFS(Practices_SubPractices[C],Practices_SubPractices[CP],"2",Practices_SubPractices[Org],"Large"),IF(AND(Practices_SubPractices[CP]=3,Practices_SubPractices[Org]="Large"),SUMIFS(Practices_SubPractices[C],Practices_SubPractices[CP],"3",Practices_SubPractices[Org],"Large"),IF(AND(Practices_SubPractices[CP]=4,Practices_SubPractices[Org]="Large"),SUMIFS(Practices_SubPractices[C],Practices_SubPractices[CP],"4",Practices_SubPractices[Org],"Large"),IF(AND(Practices_SubPractices[CP]=5,Practices_SubPractices[Org]="Large"),SUMIFS(Practices_SubPractices[C],Practices_SubPractices[CP],"5",Practices_SubPractices[Org],"Large"),IF(AND(Practices_SubPractices[CP]=6,Practices_SubPractices[Org]="Large"),SUMIFS(Practices_SubPractices[C],Practices_SubPractices[CP],"6",Practices_SubPractices[Org],"Large"),IF(AND(Practices_SubPractices[CP]=7,Practices_SubPractices[Org] ="Large"),SUMIFS(Practices_SubPractices[C],Practices_SubPractices[CP],"7",Practices_SubPractices[Org],"Large"),IF(AND(Practices_SubPractices[CP]=8,Practices_SubPractices[Org] ="Large"),SUMIFS(Practices_SubPractices[C],Practices_SubPractices[CP],"8",Practices_SubPractices[Org],"Large"),IF(AND(Practices_SubPractices[CP]=9,Practices_SubPractices[Org] ="Large"),SUMIFS(Practices_SubPractices[C],Practices_SubPractices[CP],"9",Practices_SubPractices[Org],"Large"),IF(AND(Practices_SubPractices[CP]=10,Practices_SubPractices[Org] ="Large"),SUMIFS(Practices_SubPractices[C],Practices_SubPractices[CP],"10",Practices_SubPractices[Org],"Large"),"TBD"))))))))))))))))))))))))))))))</f>
        <v>5</v>
      </c>
      <c r="Q128" s="77">
        <f>IF(AND(Practices_SubPractices[CP]=1,Practices_SubPractices[Org]="Small"),SUMIFS(Practices_SubPractices[D],Practices_SubPractices[CP],"1",Practices_SubPractices[Org],"Small"),IF(AND(Practices_SubPractices[CP]=2,Practices_SubPractices[Org]="Small"),SUMIFS(Practices_SubPractices[D],Practices_SubPractices[CP],"2",Practices_SubPractices[Org],"Small"),IF(AND(Practices_SubPractices[CP]=3,Practices_SubPractices[Org]="Small"),SUMIFS(Practices_SubPractices[D],Practices_SubPractices[CP],"3",Practices_SubPractices[Org],"Small"),IF(AND(Practices_SubPractices[CP]=4,Practices_SubPractices[Org]="Small"),SUMIFS(Practices_SubPractices[D],Practices_SubPractices[CP],"4",Practices_SubPractices[Org],"Small"),IF(AND(Practices_SubPractices[CP]=5,Practices_SubPractices[Org]="Small"),SUMIFS(Practices_SubPractices[D],Practices_SubPractices[CP],"5",Practices_SubPractices[Org],"Small"),IF(AND(Practices_SubPractices[CP]=6,Practices_SubPractices[Org]="Small"),SUMIFS(Practices_SubPractices[D],Practices_SubPractices[CP],"6",Practices_SubPractices[Org],"Small"),IF(AND(Practices_SubPractices[CP]=7,Practices_SubPractices[Org] ="Small"),SUMIFS(Practices_SubPractices[D],Practices_SubPractices[CP],"7",Practices_SubPractices[Org],"Small"),IF(AND(Practices_SubPractices[CP]=8,Practices_SubPractices[Org] ="Small"),SUMIFS(Practices_SubPractices[D],Practices_SubPractices[CP],"8",Practices_SubPractices[Org],"Small"),IF(AND(Practices_SubPractices[CP]=9,Practices_SubPractices[Org] ="Small"),SUMIFS(Practices_SubPractices[D],Practices_SubPractices[CP],"9",Practices_SubPractices[Org],"Small"),IF(AND(Practices_SubPractices[CP]=10,Practices_SubPractices[Org] ="Small"),SUMIFS(Practices_SubPractices[D],Practices_SubPractices[CP],"10",Practices_SubPractices[Org],"Small"),IF(AND(Practices_SubPractices[CP]=1,Practices_SubPractices[Org]="Medium"),SUMIFS(Practices_SubPractices[D],Practices_SubPractices[CP],"1",Practices_SubPractices[Org],"Medium"),IF(AND(Practices_SubPractices[CP]=2,Practices_SubPractices[Org]="Medium"),SUMIFS(Practices_SubPractices[D],Practices_SubPractices[CP],"2",Practices_SubPractices[Org],"Medium"),IF(AND(Practices_SubPractices[CP]=3,Practices_SubPractices[Org]="Medium"),SUMIFS(Practices_SubPractices[D],Practices_SubPractices[CP],"3",Practices_SubPractices[Org],"Medium"),IF(AND(Practices_SubPractices[CP]=4,Practices_SubPractices[Org]="Medium"),SUMIFS(Practices_SubPractices[D],Practices_SubPractices[CP],"4",Practices_SubPractices[Org],"Medium"),IF(AND(Practices_SubPractices[CP]=5,Practices_SubPractices[Org]="Medium"),SUMIFS(Practices_SubPractices[D],Practices_SubPractices[CP],"5",Practices_SubPractices[Org],"Medium"),IF(AND(Practices_SubPractices[CP]=6,Practices_SubPractices[Org]="Medium"),SUMIFS(Practices_SubPractices[D],Practices_SubPractices[CP],"6",Practices_SubPractices[Org],"Medium"),IF(AND(Practices_SubPractices[CP]=7,Practices_SubPractices[Org] ="Medium"),SUMIFS(Practices_SubPractices[D],Practices_SubPractices[CP],"7",Practices_SubPractices[Org],"Medium"),IF(AND(Practices_SubPractices[CP]=8,Practices_SubPractices[Org] ="Medium"),SUMIFS(Practices_SubPractices[D],Practices_SubPractices[CP],"8",Practices_SubPractices[Org],"Medium"),IF(AND(Practices_SubPractices[CP]=9,Practices_SubPractices[Org] ="Medium"),SUMIFS(Practices_SubPractices[D],Practices_SubPractices[CP],"9",Practices_SubPractices[Org],"Medium"),IF(AND(Practices_SubPractices[CP]=10,Practices_SubPractices[Org] ="Medium"),SUMIFS(Practices_SubPractices[D],Practices_SubPractices[CP],"10",Practices_SubPractices[Org],"Medium"),IF(AND(Practices_SubPractices[CP]=1,Practices_SubPractices[Org]="Large"),SUMIFS(Practices_SubPractices[D],Practices_SubPractices[CP],"1",Practices_SubPractices[Org],"Large"),IF(AND(Practices_SubPractices[CP]=2,Practices_SubPractices[Org]="Large"),SUMIFS(Practices_SubPractices[D],Practices_SubPractices[CP],"2",Practices_SubPractices[Org],"Large"),IF(AND(Practices_SubPractices[CP]=3,Practices_SubPractices[Org]="Large"),SUMIFS(Practices_SubPractices[D],Practices_SubPractices[CP],"3",Practices_SubPractices[Org],"Large"),IF(AND(Practices_SubPractices[CP]=4,Practices_SubPractices[Org]="Large"),SUMIFS(Practices_SubPractices[D],Practices_SubPractices[CP],"4",Practices_SubPractices[Org],"Large"),IF(AND(Practices_SubPractices[CP]=5,Practices_SubPractices[Org]="Large"),SUMIFS(Practices_SubPractices[D],Practices_SubPractices[CP],"5",Practices_SubPractices[Org],"Large"),IF(AND(Practices_SubPractices[CP]=6,Practices_SubPractices[Org]="Large"),SUMIFS(Practices_SubPractices[D],Practices_SubPractices[CP],"6",Practices_SubPractices[Org],"Large"),IF(AND(Practices_SubPractices[CP]=7,Practices_SubPractices[Org] ="Large"),SUMIFS(Practices_SubPractices[D],Practices_SubPractices[CP],"7",Practices_SubPractices[Org],"Large"),IF(AND(Practices_SubPractices[CP]=8,Practices_SubPractices[Org] ="Large"),SUMIFS(Practices_SubPractices[D],Practices_SubPractices[CP],"8",Practices_SubPractices[Org],"Large"),IF(AND(Practices_SubPractices[CP]=9,Practices_SubPractices[Org] ="Large"),SUMIFS(Practices_SubPractices[D],Practices_SubPractices[CP],"9",Practices_SubPractices[Org],"Large"),IF(AND(Practices_SubPractices[CP]=10,Practices_SubPractices[Org] ="Large"),SUMIFS(Practices_SubPractices[D],Practices_SubPractices[CP],"10",Practices_SubPractices[Org],"Large"),"TBD"))))))))))))))))))))))))))))))</f>
        <v>14</v>
      </c>
      <c r="R128" s="77">
        <f>IF(AND(Practices_SubPractices[CP]=1,Practices_SubPractices[Org]="Small"),SUMIFS(Practices_SubPractices[E],Practices_SubPractices[CP],"1",Practices_SubPractices[Org],"Small"),IF(AND(Practices_SubPractices[CP]=2,Practices_SubPractices[Org]="Small"),SUMIFS(Practices_SubPractices[E],Practices_SubPractices[CP],"2",Practices_SubPractices[Org],"Small"),IF(AND(Practices_SubPractices[CP]=3,Practices_SubPractices[Org]="Small"),SUMIFS(Practices_SubPractices[E],Practices_SubPractices[CP],"3",Practices_SubPractices[Org],"Small"),IF(AND(Practices_SubPractices[CP]=4,Practices_SubPractices[Org]="Small"),SUMIFS(Practices_SubPractices[E],Practices_SubPractices[CP],"4",Practices_SubPractices[Org],"Small"),IF(AND(Practices_SubPractices[CP]=5,Practices_SubPractices[Org]="Small"),SUMIFS(Practices_SubPractices[E],Practices_SubPractices[CP],"5",Practices_SubPractices[Org],"Small"),IF(AND(Practices_SubPractices[CP]=6,Practices_SubPractices[Org]="Small"),SUMIFS(Practices_SubPractices[E],Practices_SubPractices[CP],"6",Practices_SubPractices[Org],"Small"),IF(AND(Practices_SubPractices[CP]=7,Practices_SubPractices[Org] ="Small"),SUMIFS(Practices_SubPractices[E],Practices_SubPractices[CP],"7",Practices_SubPractices[Org],"Small"),IF(AND(Practices_SubPractices[CP]=8,Practices_SubPractices[Org] ="Small"),SUMIFS(Practices_SubPractices[E],Practices_SubPractices[CP],"8",Practices_SubPractices[Org],"Small"),IF(AND(Practices_SubPractices[CP]=9,Practices_SubPractices[Org] ="Small"),SUMIFS(Practices_SubPractices[E],Practices_SubPractices[CP],"9",Practices_SubPractices[Org],"Small"),IF(AND(Practices_SubPractices[CP]=10,Practices_SubPractices[Org] ="Small"),SUMIFS(Practices_SubPractices[E],Practices_SubPractices[CP],"10",Practices_SubPractices[Org],"Small"),IF(AND(Practices_SubPractices[CP]=1,Practices_SubPractices[Org]="Medium"),SUMIFS(Practices_SubPractices[E],Practices_SubPractices[CP],"1",Practices_SubPractices[Org],"Medium"),IF(AND(Practices_SubPractices[CP]=2,Practices_SubPractices[Org]="Medium"),SUMIFS(Practices_SubPractices[E],Practices_SubPractices[CP],"2",Practices_SubPractices[Org],"Medium"),IF(AND(Practices_SubPractices[CP]=3,Practices_SubPractices[Org]="Medium"),SUMIFS(Practices_SubPractices[E],Practices_SubPractices[CP],"3",Practices_SubPractices[Org],"Medium"),IF(AND(Practices_SubPractices[CP]=4,Practices_SubPractices[Org]="Medium"),SUMIFS(Practices_SubPractices[E],Practices_SubPractices[CP],"4",Practices_SubPractices[Org],"Medium"),IF(AND(Practices_SubPractices[CP]=5,Practices_SubPractices[Org]="Medium"),SUMIFS(Practices_SubPractices[E],Practices_SubPractices[CP],"5",Practices_SubPractices[Org],"Medium"),IF(AND(Practices_SubPractices[CP]=6,Practices_SubPractices[Org]="Medium"),SUMIFS(Practices_SubPractices[E],Practices_SubPractices[CP],"6",Practices_SubPractices[Org],"Medium"),IF(AND(Practices_SubPractices[CP]=7,Practices_SubPractices[Org] ="Medium"),SUMIFS(Practices_SubPractices[E],Practices_SubPractices[CP],"7",Practices_SubPractices[Org],"Medium"),IF(AND(Practices_SubPractices[CP]=8,Practices_SubPractices[Org] ="Medium"),SUMIFS(Practices_SubPractices[E],Practices_SubPractices[CP],"8",Practices_SubPractices[Org],"Medium"),IF(AND(Practices_SubPractices[CP]=9,Practices_SubPractices[Org] ="Medium"),SUMIFS(Practices_SubPractices[E],Practices_SubPractices[CP],"9",Practices_SubPractices[Org],"Medium"),IF(AND(Practices_SubPractices[CP]=10,Practices_SubPractices[Org] ="Medium"),SUMIFS(Practices_SubPractices[E],Practices_SubPractices[CP],"10",Practices_SubPractices[Org],"Medium"),IF(AND(Practices_SubPractices[CP]=1,Practices_SubPractices[Org]="Large"),SUMIFS(Practices_SubPractices[E],Practices_SubPractices[CP],"1",Practices_SubPractices[Org],"Large"),IF(AND(Practices_SubPractices[CP]=2,Practices_SubPractices[Org]="Large"),SUMIFS(Practices_SubPractices[E],Practices_SubPractices[CP],"2",Practices_SubPractices[Org],"Large"),IF(AND(Practices_SubPractices[CP]=3,Practices_SubPractices[Org]="Large"),SUMIFS(Practices_SubPractices[E],Practices_SubPractices[CP],"3",Practices_SubPractices[Org],"Large"),IF(AND(Practices_SubPractices[CP]=4,Practices_SubPractices[Org]="Large"),SUMIFS(Practices_SubPractices[E],Practices_SubPractices[CP],"4",Practices_SubPractices[Org],"Large"),IF(AND(Practices_SubPractices[CP]=5,Practices_SubPractices[Org]="Large"),SUMIFS(Practices_SubPractices[E],Practices_SubPractices[CP],"5",Practices_SubPractices[Org],"Large"),IF(AND(Practices_SubPractices[CP]=6,Practices_SubPractices[Org]="Large"),SUMIFS(Practices_SubPractices[E],Practices_SubPractices[CP],"6",Practices_SubPractices[Org],"Large"),IF(AND(Practices_SubPractices[CP]=7,Practices_SubPractices[Org] ="Large"),SUMIFS(Practices_SubPractices[E],Practices_SubPractices[CP],"7",Practices_SubPractices[Org],"Large"),IF(AND(Practices_SubPractices[CP]=8,Practices_SubPractices[Org] ="Large"),SUMIFS(Practices_SubPractices[E],Practices_SubPractices[CP],"8",Practices_SubPractices[Org],"Large"),IF(AND(Practices_SubPractices[CP]=9,Practices_SubPractices[Org] ="Large"),SUMIFS(Practices_SubPractices[E],Practices_SubPractices[CP],"9",Practices_SubPractices[Org],"Large"),IF(AND(Practices_SubPractices[CP]=10,Practices_SubPractices[Org] ="Large"),SUMIFS(Practices_SubPractices[E],Practices_SubPractices[CP],"10",Practices_SubPractices[Org],"Large"),"TBD"))))))))))))))))))))))))))))))</f>
        <v>9</v>
      </c>
      <c r="S128" s="87" t="s">
        <v>401</v>
      </c>
    </row>
    <row r="129" spans="1:19" x14ac:dyDescent="0.35">
      <c r="A129" s="73">
        <v>119</v>
      </c>
      <c r="B129" s="73">
        <v>8</v>
      </c>
      <c r="C129" s="80" t="s">
        <v>12</v>
      </c>
      <c r="D129" s="73" t="str">
        <f>Practices_SubPractices[[#This Row],[CP]]&amp;LEFT(Practices_SubPractices[[#This Row],[Org]],1)</f>
        <v>8L</v>
      </c>
      <c r="E129" s="73" t="s">
        <v>268</v>
      </c>
      <c r="F129" s="74" t="s">
        <v>152</v>
      </c>
      <c r="G129" s="74" t="s">
        <v>158</v>
      </c>
      <c r="H129" s="74" t="s">
        <v>255</v>
      </c>
      <c r="I129" s="75">
        <v>0</v>
      </c>
      <c r="J129" s="75">
        <v>1</v>
      </c>
      <c r="K129" s="75">
        <v>0</v>
      </c>
      <c r="L129" s="75">
        <v>1</v>
      </c>
      <c r="M129" s="75">
        <v>1</v>
      </c>
      <c r="N129" s="76"/>
      <c r="O129" s="77">
        <f>IF(AND(Practices_SubPractices[CP]=1,Practices_SubPractices[Org]="Small"),SUMIFS(Practices_SubPractices[B],Practices_SubPractices[CP],"1",Practices_SubPractices[Org],"Small"),IF(AND(Practices_SubPractices[CP]=2,Practices_SubPractices[Org]="Small"),SUMIFS(Practices_SubPractices[B],Practices_SubPractices[CP],"2",Practices_SubPractices[Org],"Small"),IF(AND(Practices_SubPractices[CP]=3,Practices_SubPractices[Org]="Small"),SUMIFS(Practices_SubPractices[B],Practices_SubPractices[CP],"3",Practices_SubPractices[Org],"Small"),IF(AND(Practices_SubPractices[CP]=4,Practices_SubPractices[Org]="Small"),SUMIFS(Practices_SubPractices[B],Practices_SubPractices[CP],"4",Practices_SubPractices[Org],"Small"),IF(AND(Practices_SubPractices[CP]=5,Practices_SubPractices[Org]="Small"),SUMIFS(Practices_SubPractices[B],Practices_SubPractices[CP],"5",Practices_SubPractices[Org],"Small"),IF(AND(Practices_SubPractices[CP]=6,Practices_SubPractices[Org]="Small"),SUMIFS(Practices_SubPractices[B],Practices_SubPractices[CP],"6",Practices_SubPractices[Org],"Small"),IF(AND(Practices_SubPractices[CP]=7,Practices_SubPractices[Org] ="Small"),SUMIFS(Practices_SubPractices[B],Practices_SubPractices[CP],"7",Practices_SubPractices[Org],"Small"),IF(AND(Practices_SubPractices[CP]=8,Practices_SubPractices[Org] ="Small"),SUMIFS(Practices_SubPractices[B],Practices_SubPractices[CP],"8",Practices_SubPractices[Org],"Small"),IF(AND(Practices_SubPractices[CP]=9,Practices_SubPractices[Org] ="Small"),SUMIFS(Practices_SubPractices[B],Practices_SubPractices[CP],"9",Practices_SubPractices[Org],"Small"),IF(AND(Practices_SubPractices[CP]=10,Practices_SubPractices[Org] ="Small"),SUMIFS(Practices_SubPractices[B],Practices_SubPractices[CP],"10",Practices_SubPractices[Org],"Small"),IF(AND(Practices_SubPractices[CP]=1,Practices_SubPractices[Org]="Medium"),SUMIFS(Practices_SubPractices[B],Practices_SubPractices[CP],"1",Practices_SubPractices[Org],"Medium"),IF(AND(Practices_SubPractices[CP]=2,Practices_SubPractices[Org]="Medium"),SUMIFS(Practices_SubPractices[B],Practices_SubPractices[CP],"2",Practices_SubPractices[Org],"Medium"),IF(AND(Practices_SubPractices[CP]=3,Practices_SubPractices[Org]="Medium"),SUMIFS(Practices_SubPractices[B],Practices_SubPractices[CP],"3",Practices_SubPractices[Org],"Medium"),IF(AND(Practices_SubPractices[CP]=4,Practices_SubPractices[Org]="Medium"),SUMIFS(Practices_SubPractices[B],Practices_SubPractices[CP],"4",Practices_SubPractices[Org],"Medium"),IF(AND(Practices_SubPractices[CP]=5,Practices_SubPractices[Org]="Medium"),SUMIFS(Practices_SubPractices[B],Practices_SubPractices[CP],"5",Practices_SubPractices[Org],"Medium"),IF(AND(Practices_SubPractices[CP]=6,Practices_SubPractices[Org]="Medium"),SUMIFS(Practices_SubPractices[B],Practices_SubPractices[CP],"6",Practices_SubPractices[Org],"Medium"),IF(AND(Practices_SubPractices[CP]=7,Practices_SubPractices[Org] ="Medium"),SUMIFS(Practices_SubPractices[B],Practices_SubPractices[CP],"7",Practices_SubPractices[Org],"Medium"),IF(AND(Practices_SubPractices[CP]=8,Practices_SubPractices[Org] ="Medium"),SUMIFS(Practices_SubPractices[B],Practices_SubPractices[CP],"8",Practices_SubPractices[Org],"Medium"),IF(AND(Practices_SubPractices[CP]=9,Practices_SubPractices[Org] ="Medium"),SUMIFS(Practices_SubPractices[B],Practices_SubPractices[CP],"9",Practices_SubPractices[Org],"Medium"),IF(AND(Practices_SubPractices[CP]=10,Practices_SubPractices[Org] ="Medium"),SUMIFS(Practices_SubPractices[B],Practices_SubPractices[CP],"10",Practices_SubPractices[Org],"Medium"),IF(AND(Practices_SubPractices[CP]=1,Practices_SubPractices[Org]="Large"),SUMIFS(Practices_SubPractices[B],Practices_SubPractices[CP],"1",Practices_SubPractices[Org],"Large"),IF(AND(Practices_SubPractices[CP]=2,Practices_SubPractices[Org]="Large"),SUMIFS(Practices_SubPractices[B],Practices_SubPractices[CP],"2",Practices_SubPractices[Org],"Large"),IF(AND(Practices_SubPractices[CP]=3,Practices_SubPractices[Org]="Large"),SUMIFS(Practices_SubPractices[B],Practices_SubPractices[CP],"3",Practices_SubPractices[Org],"Large"),IF(AND(Practices_SubPractices[CP]=4,Practices_SubPractices[Org]="Large"),SUMIFS(Practices_SubPractices[B],Practices_SubPractices[CP],"4",Practices_SubPractices[Org],"Large"),IF(AND(Practices_SubPractices[CP]=5,Practices_SubPractices[Org]="Large"),SUMIFS(Practices_SubPractices[B],Practices_SubPractices[CP],"5",Practices_SubPractices[Org],"Large"),IF(AND(Practices_SubPractices[CP]=6,Practices_SubPractices[Org]="Large"),SUMIFS(Practices_SubPractices[B],Practices_SubPractices[CP],"6",Practices_SubPractices[Org],"Large"),IF(AND(Practices_SubPractices[CP]=7,Practices_SubPractices[Org] ="Large"),SUMIFS(Practices_SubPractices[B],Practices_SubPractices[CP],"7",Practices_SubPractices[Org],"Large"),IF(AND(Practices_SubPractices[CP]=8,Practices_SubPractices[Org] ="Large"),SUMIFS(Practices_SubPractices[B],Practices_SubPractices[CP],"8",Practices_SubPractices[Org],"Large"),IF(AND(Practices_SubPractices[CP]=9,Practices_SubPractices[Org] ="Large"),SUMIFS(Practices_SubPractices[B],Practices_SubPractices[CP],"9",Practices_SubPractices[Org],"Large"),IF(AND(Practices_SubPractices[CP]=10,Practices_SubPractices[Org] ="Large"),SUMIFS(Practices_SubPractices[B],Practices_SubPractices[CP],"10",Practices_SubPractices[Org],"Large"),"TBD"))))))))))))))))))))))))))))))</f>
        <v>14</v>
      </c>
      <c r="P129" s="77">
        <f>IF(AND(Practices_SubPractices[CP]=1,Practices_SubPractices[Org]="Small"),SUMIFS(Practices_SubPractices[C],Practices_SubPractices[CP],"1",Practices_SubPractices[Org],"Small"),IF(AND(Practices_SubPractices[CP]=2,Practices_SubPractices[Org]="Small"),SUMIFS(Practices_SubPractices[C],Practices_SubPractices[CP],"2",Practices_SubPractices[Org],"Small"),IF(AND(Practices_SubPractices[CP]=3,Practices_SubPractices[Org]="Small"),SUMIFS(Practices_SubPractices[C],Practices_SubPractices[CP],"3",Practices_SubPractices[Org],"Small"),IF(AND(Practices_SubPractices[CP]=4,Practices_SubPractices[Org]="Small"),SUMIFS(Practices_SubPractices[C],Practices_SubPractices[CP],"4",Practices_SubPractices[Org],"Small"),IF(AND(Practices_SubPractices[CP]=5,Practices_SubPractices[Org]="Small"),SUMIFS(Practices_SubPractices[C],Practices_SubPractices[CP],"5",Practices_SubPractices[Org],"Small"),IF(AND(Practices_SubPractices[CP]=6,Practices_SubPractices[Org]="Small"),SUMIFS(Practices_SubPractices[C],Practices_SubPractices[CP],"6",Practices_SubPractices[Org],"Small"),IF(AND(Practices_SubPractices[CP]=7,Practices_SubPractices[Org] ="Small"),SUMIFS(Practices_SubPractices[C],Practices_SubPractices[CP],"7",Practices_SubPractices[Org],"Small"),IF(AND(Practices_SubPractices[CP]=8,Practices_SubPractices[Org] ="Small"),SUMIFS(Practices_SubPractices[C],Practices_SubPractices[CP],"8",Practices_SubPractices[Org],"Small"),IF(AND(Practices_SubPractices[CP]=9,Practices_SubPractices[Org] ="Small"),SUMIFS(Practices_SubPractices[C],Practices_SubPractices[CP],"9",Practices_SubPractices[Org],"Small"),IF(AND(Practices_SubPractices[CP]=10,Practices_SubPractices[Org] ="Small"),SUMIFS(Practices_SubPractices[C],Practices_SubPractices[CP],"10",Practices_SubPractices[Org],"Small"),IF(AND(Practices_SubPractices[CP]=1,Practices_SubPractices[Org]="Medium"),SUMIFS(Practices_SubPractices[C],Practices_SubPractices[CP],"1",Practices_SubPractices[Org],"Medium"),IF(AND(Practices_SubPractices[CP]=2,Practices_SubPractices[Org]="Medium"),SUMIFS(Practices_SubPractices[C],Practices_SubPractices[CP],"2",Practices_SubPractices[Org],"Medium"),IF(AND(Practices_SubPractices[CP]=3,Practices_SubPractices[Org]="Medium"),SUMIFS(Practices_SubPractices[C],Practices_SubPractices[CP],"3",Practices_SubPractices[Org],"Medium"),IF(AND(Practices_SubPractices[CP]=4,Practices_SubPractices[Org]="Medium"),SUMIFS(Practices_SubPractices[C],Practices_SubPractices[CP],"4",Practices_SubPractices[Org],"Medium"),IF(AND(Practices_SubPractices[CP]=5,Practices_SubPractices[Org]="Medium"),SUMIFS(Practices_SubPractices[C],Practices_SubPractices[CP],"5",Practices_SubPractices[Org],"Medium"),IF(AND(Practices_SubPractices[CP]=6,Practices_SubPractices[Org]="Medium"),SUMIFS(Practices_SubPractices[C],Practices_SubPractices[CP],"6",Practices_SubPractices[Org],"Medium"),IF(AND(Practices_SubPractices[CP]=7,Practices_SubPractices[Org] ="Medium"),SUMIFS(Practices_SubPractices[C],Practices_SubPractices[CP],"7",Practices_SubPractices[Org],"Medium"),IF(AND(Practices_SubPractices[CP]=8,Practices_SubPractices[Org] ="Medium"),SUMIFS(Practices_SubPractices[C],Practices_SubPractices[CP],"8",Practices_SubPractices[Org],"Medium"),IF(AND(Practices_SubPractices[CP]=9,Practices_SubPractices[Org] ="Medium"),SUMIFS(Practices_SubPractices[C],Practices_SubPractices[CP],"9",Practices_SubPractices[Org],"Medium"),IF(AND(Practices_SubPractices[CP]=10,Practices_SubPractices[Org] ="Medium"),SUMIFS(Practices_SubPractices[C],Practices_SubPractices[CP],"10",Practices_SubPractices[Org],"Medium"),IF(AND(Practices_SubPractices[CP]=1,Practices_SubPractices[Org]="Large"),SUMIFS(Practices_SubPractices[C],Practices_SubPractices[CP],"1",Practices_SubPractices[Org],"Large"),IF(AND(Practices_SubPractices[CP]=2,Practices_SubPractices[Org]="Large"),SUMIFS(Practices_SubPractices[C],Practices_SubPractices[CP],"2",Practices_SubPractices[Org],"Large"),IF(AND(Practices_SubPractices[CP]=3,Practices_SubPractices[Org]="Large"),SUMIFS(Practices_SubPractices[C],Practices_SubPractices[CP],"3",Practices_SubPractices[Org],"Large"),IF(AND(Practices_SubPractices[CP]=4,Practices_SubPractices[Org]="Large"),SUMIFS(Practices_SubPractices[C],Practices_SubPractices[CP],"4",Practices_SubPractices[Org],"Large"),IF(AND(Practices_SubPractices[CP]=5,Practices_SubPractices[Org]="Large"),SUMIFS(Practices_SubPractices[C],Practices_SubPractices[CP],"5",Practices_SubPractices[Org],"Large"),IF(AND(Practices_SubPractices[CP]=6,Practices_SubPractices[Org]="Large"),SUMIFS(Practices_SubPractices[C],Practices_SubPractices[CP],"6",Practices_SubPractices[Org],"Large"),IF(AND(Practices_SubPractices[CP]=7,Practices_SubPractices[Org] ="Large"),SUMIFS(Practices_SubPractices[C],Practices_SubPractices[CP],"7",Practices_SubPractices[Org],"Large"),IF(AND(Practices_SubPractices[CP]=8,Practices_SubPractices[Org] ="Large"),SUMIFS(Practices_SubPractices[C],Practices_SubPractices[CP],"8",Practices_SubPractices[Org],"Large"),IF(AND(Practices_SubPractices[CP]=9,Practices_SubPractices[Org] ="Large"),SUMIFS(Practices_SubPractices[C],Practices_SubPractices[CP],"9",Practices_SubPractices[Org],"Large"),IF(AND(Practices_SubPractices[CP]=10,Practices_SubPractices[Org] ="Large"),SUMIFS(Practices_SubPractices[C],Practices_SubPractices[CP],"10",Practices_SubPractices[Org],"Large"),"TBD"))))))))))))))))))))))))))))))</f>
        <v>5</v>
      </c>
      <c r="Q129" s="77">
        <f>IF(AND(Practices_SubPractices[CP]=1,Practices_SubPractices[Org]="Small"),SUMIFS(Practices_SubPractices[D],Practices_SubPractices[CP],"1",Practices_SubPractices[Org],"Small"),IF(AND(Practices_SubPractices[CP]=2,Practices_SubPractices[Org]="Small"),SUMIFS(Practices_SubPractices[D],Practices_SubPractices[CP],"2",Practices_SubPractices[Org],"Small"),IF(AND(Practices_SubPractices[CP]=3,Practices_SubPractices[Org]="Small"),SUMIFS(Practices_SubPractices[D],Practices_SubPractices[CP],"3",Practices_SubPractices[Org],"Small"),IF(AND(Practices_SubPractices[CP]=4,Practices_SubPractices[Org]="Small"),SUMIFS(Practices_SubPractices[D],Practices_SubPractices[CP],"4",Practices_SubPractices[Org],"Small"),IF(AND(Practices_SubPractices[CP]=5,Practices_SubPractices[Org]="Small"),SUMIFS(Practices_SubPractices[D],Practices_SubPractices[CP],"5",Practices_SubPractices[Org],"Small"),IF(AND(Practices_SubPractices[CP]=6,Practices_SubPractices[Org]="Small"),SUMIFS(Practices_SubPractices[D],Practices_SubPractices[CP],"6",Practices_SubPractices[Org],"Small"),IF(AND(Practices_SubPractices[CP]=7,Practices_SubPractices[Org] ="Small"),SUMIFS(Practices_SubPractices[D],Practices_SubPractices[CP],"7",Practices_SubPractices[Org],"Small"),IF(AND(Practices_SubPractices[CP]=8,Practices_SubPractices[Org] ="Small"),SUMIFS(Practices_SubPractices[D],Practices_SubPractices[CP],"8",Practices_SubPractices[Org],"Small"),IF(AND(Practices_SubPractices[CP]=9,Practices_SubPractices[Org] ="Small"),SUMIFS(Practices_SubPractices[D],Practices_SubPractices[CP],"9",Practices_SubPractices[Org],"Small"),IF(AND(Practices_SubPractices[CP]=10,Practices_SubPractices[Org] ="Small"),SUMIFS(Practices_SubPractices[D],Practices_SubPractices[CP],"10",Practices_SubPractices[Org],"Small"),IF(AND(Practices_SubPractices[CP]=1,Practices_SubPractices[Org]="Medium"),SUMIFS(Practices_SubPractices[D],Practices_SubPractices[CP],"1",Practices_SubPractices[Org],"Medium"),IF(AND(Practices_SubPractices[CP]=2,Practices_SubPractices[Org]="Medium"),SUMIFS(Practices_SubPractices[D],Practices_SubPractices[CP],"2",Practices_SubPractices[Org],"Medium"),IF(AND(Practices_SubPractices[CP]=3,Practices_SubPractices[Org]="Medium"),SUMIFS(Practices_SubPractices[D],Practices_SubPractices[CP],"3",Practices_SubPractices[Org],"Medium"),IF(AND(Practices_SubPractices[CP]=4,Practices_SubPractices[Org]="Medium"),SUMIFS(Practices_SubPractices[D],Practices_SubPractices[CP],"4",Practices_SubPractices[Org],"Medium"),IF(AND(Practices_SubPractices[CP]=5,Practices_SubPractices[Org]="Medium"),SUMIFS(Practices_SubPractices[D],Practices_SubPractices[CP],"5",Practices_SubPractices[Org],"Medium"),IF(AND(Practices_SubPractices[CP]=6,Practices_SubPractices[Org]="Medium"),SUMIFS(Practices_SubPractices[D],Practices_SubPractices[CP],"6",Practices_SubPractices[Org],"Medium"),IF(AND(Practices_SubPractices[CP]=7,Practices_SubPractices[Org] ="Medium"),SUMIFS(Practices_SubPractices[D],Practices_SubPractices[CP],"7",Practices_SubPractices[Org],"Medium"),IF(AND(Practices_SubPractices[CP]=8,Practices_SubPractices[Org] ="Medium"),SUMIFS(Practices_SubPractices[D],Practices_SubPractices[CP],"8",Practices_SubPractices[Org],"Medium"),IF(AND(Practices_SubPractices[CP]=9,Practices_SubPractices[Org] ="Medium"),SUMIFS(Practices_SubPractices[D],Practices_SubPractices[CP],"9",Practices_SubPractices[Org],"Medium"),IF(AND(Practices_SubPractices[CP]=10,Practices_SubPractices[Org] ="Medium"),SUMIFS(Practices_SubPractices[D],Practices_SubPractices[CP],"10",Practices_SubPractices[Org],"Medium"),IF(AND(Practices_SubPractices[CP]=1,Practices_SubPractices[Org]="Large"),SUMIFS(Practices_SubPractices[D],Practices_SubPractices[CP],"1",Practices_SubPractices[Org],"Large"),IF(AND(Practices_SubPractices[CP]=2,Practices_SubPractices[Org]="Large"),SUMIFS(Practices_SubPractices[D],Practices_SubPractices[CP],"2",Practices_SubPractices[Org],"Large"),IF(AND(Practices_SubPractices[CP]=3,Practices_SubPractices[Org]="Large"),SUMIFS(Practices_SubPractices[D],Practices_SubPractices[CP],"3",Practices_SubPractices[Org],"Large"),IF(AND(Practices_SubPractices[CP]=4,Practices_SubPractices[Org]="Large"),SUMIFS(Practices_SubPractices[D],Practices_SubPractices[CP],"4",Practices_SubPractices[Org],"Large"),IF(AND(Practices_SubPractices[CP]=5,Practices_SubPractices[Org]="Large"),SUMIFS(Practices_SubPractices[D],Practices_SubPractices[CP],"5",Practices_SubPractices[Org],"Large"),IF(AND(Practices_SubPractices[CP]=6,Practices_SubPractices[Org]="Large"),SUMIFS(Practices_SubPractices[D],Practices_SubPractices[CP],"6",Practices_SubPractices[Org],"Large"),IF(AND(Practices_SubPractices[CP]=7,Practices_SubPractices[Org] ="Large"),SUMIFS(Practices_SubPractices[D],Practices_SubPractices[CP],"7",Practices_SubPractices[Org],"Large"),IF(AND(Practices_SubPractices[CP]=8,Practices_SubPractices[Org] ="Large"),SUMIFS(Practices_SubPractices[D],Practices_SubPractices[CP],"8",Practices_SubPractices[Org],"Large"),IF(AND(Practices_SubPractices[CP]=9,Practices_SubPractices[Org] ="Large"),SUMIFS(Practices_SubPractices[D],Practices_SubPractices[CP],"9",Practices_SubPractices[Org],"Large"),IF(AND(Practices_SubPractices[CP]=10,Practices_SubPractices[Org] ="Large"),SUMIFS(Practices_SubPractices[D],Practices_SubPractices[CP],"10",Practices_SubPractices[Org],"Large"),"TBD"))))))))))))))))))))))))))))))</f>
        <v>14</v>
      </c>
      <c r="R129" s="77">
        <f>IF(AND(Practices_SubPractices[CP]=1,Practices_SubPractices[Org]="Small"),SUMIFS(Practices_SubPractices[E],Practices_SubPractices[CP],"1",Practices_SubPractices[Org],"Small"),IF(AND(Practices_SubPractices[CP]=2,Practices_SubPractices[Org]="Small"),SUMIFS(Practices_SubPractices[E],Practices_SubPractices[CP],"2",Practices_SubPractices[Org],"Small"),IF(AND(Practices_SubPractices[CP]=3,Practices_SubPractices[Org]="Small"),SUMIFS(Practices_SubPractices[E],Practices_SubPractices[CP],"3",Practices_SubPractices[Org],"Small"),IF(AND(Practices_SubPractices[CP]=4,Practices_SubPractices[Org]="Small"),SUMIFS(Practices_SubPractices[E],Practices_SubPractices[CP],"4",Practices_SubPractices[Org],"Small"),IF(AND(Practices_SubPractices[CP]=5,Practices_SubPractices[Org]="Small"),SUMIFS(Practices_SubPractices[E],Practices_SubPractices[CP],"5",Practices_SubPractices[Org],"Small"),IF(AND(Practices_SubPractices[CP]=6,Practices_SubPractices[Org]="Small"),SUMIFS(Practices_SubPractices[E],Practices_SubPractices[CP],"6",Practices_SubPractices[Org],"Small"),IF(AND(Practices_SubPractices[CP]=7,Practices_SubPractices[Org] ="Small"),SUMIFS(Practices_SubPractices[E],Practices_SubPractices[CP],"7",Practices_SubPractices[Org],"Small"),IF(AND(Practices_SubPractices[CP]=8,Practices_SubPractices[Org] ="Small"),SUMIFS(Practices_SubPractices[E],Practices_SubPractices[CP],"8",Practices_SubPractices[Org],"Small"),IF(AND(Practices_SubPractices[CP]=9,Practices_SubPractices[Org] ="Small"),SUMIFS(Practices_SubPractices[E],Practices_SubPractices[CP],"9",Practices_SubPractices[Org],"Small"),IF(AND(Practices_SubPractices[CP]=10,Practices_SubPractices[Org] ="Small"),SUMIFS(Practices_SubPractices[E],Practices_SubPractices[CP],"10",Practices_SubPractices[Org],"Small"),IF(AND(Practices_SubPractices[CP]=1,Practices_SubPractices[Org]="Medium"),SUMIFS(Practices_SubPractices[E],Practices_SubPractices[CP],"1",Practices_SubPractices[Org],"Medium"),IF(AND(Practices_SubPractices[CP]=2,Practices_SubPractices[Org]="Medium"),SUMIFS(Practices_SubPractices[E],Practices_SubPractices[CP],"2",Practices_SubPractices[Org],"Medium"),IF(AND(Practices_SubPractices[CP]=3,Practices_SubPractices[Org]="Medium"),SUMIFS(Practices_SubPractices[E],Practices_SubPractices[CP],"3",Practices_SubPractices[Org],"Medium"),IF(AND(Practices_SubPractices[CP]=4,Practices_SubPractices[Org]="Medium"),SUMIFS(Practices_SubPractices[E],Practices_SubPractices[CP],"4",Practices_SubPractices[Org],"Medium"),IF(AND(Practices_SubPractices[CP]=5,Practices_SubPractices[Org]="Medium"),SUMIFS(Practices_SubPractices[E],Practices_SubPractices[CP],"5",Practices_SubPractices[Org],"Medium"),IF(AND(Practices_SubPractices[CP]=6,Practices_SubPractices[Org]="Medium"),SUMIFS(Practices_SubPractices[E],Practices_SubPractices[CP],"6",Practices_SubPractices[Org],"Medium"),IF(AND(Practices_SubPractices[CP]=7,Practices_SubPractices[Org] ="Medium"),SUMIFS(Practices_SubPractices[E],Practices_SubPractices[CP],"7",Practices_SubPractices[Org],"Medium"),IF(AND(Practices_SubPractices[CP]=8,Practices_SubPractices[Org] ="Medium"),SUMIFS(Practices_SubPractices[E],Practices_SubPractices[CP],"8",Practices_SubPractices[Org],"Medium"),IF(AND(Practices_SubPractices[CP]=9,Practices_SubPractices[Org] ="Medium"),SUMIFS(Practices_SubPractices[E],Practices_SubPractices[CP],"9",Practices_SubPractices[Org],"Medium"),IF(AND(Practices_SubPractices[CP]=10,Practices_SubPractices[Org] ="Medium"),SUMIFS(Practices_SubPractices[E],Practices_SubPractices[CP],"10",Practices_SubPractices[Org],"Medium"),IF(AND(Practices_SubPractices[CP]=1,Practices_SubPractices[Org]="Large"),SUMIFS(Practices_SubPractices[E],Practices_SubPractices[CP],"1",Practices_SubPractices[Org],"Large"),IF(AND(Practices_SubPractices[CP]=2,Practices_SubPractices[Org]="Large"),SUMIFS(Practices_SubPractices[E],Practices_SubPractices[CP],"2",Practices_SubPractices[Org],"Large"),IF(AND(Practices_SubPractices[CP]=3,Practices_SubPractices[Org]="Large"),SUMIFS(Practices_SubPractices[E],Practices_SubPractices[CP],"3",Practices_SubPractices[Org],"Large"),IF(AND(Practices_SubPractices[CP]=4,Practices_SubPractices[Org]="Large"),SUMIFS(Practices_SubPractices[E],Practices_SubPractices[CP],"4",Practices_SubPractices[Org],"Large"),IF(AND(Practices_SubPractices[CP]=5,Practices_SubPractices[Org]="Large"),SUMIFS(Practices_SubPractices[E],Practices_SubPractices[CP],"5",Practices_SubPractices[Org],"Large"),IF(AND(Practices_SubPractices[CP]=6,Practices_SubPractices[Org]="Large"),SUMIFS(Practices_SubPractices[E],Practices_SubPractices[CP],"6",Practices_SubPractices[Org],"Large"),IF(AND(Practices_SubPractices[CP]=7,Practices_SubPractices[Org] ="Large"),SUMIFS(Practices_SubPractices[E],Practices_SubPractices[CP],"7",Practices_SubPractices[Org],"Large"),IF(AND(Practices_SubPractices[CP]=8,Practices_SubPractices[Org] ="Large"),SUMIFS(Practices_SubPractices[E],Practices_SubPractices[CP],"8",Practices_SubPractices[Org],"Large"),IF(AND(Practices_SubPractices[CP]=9,Practices_SubPractices[Org] ="Large"),SUMIFS(Practices_SubPractices[E],Practices_SubPractices[CP],"9",Practices_SubPractices[Org],"Large"),IF(AND(Practices_SubPractices[CP]=10,Practices_SubPractices[Org] ="Large"),SUMIFS(Practices_SubPractices[E],Practices_SubPractices[CP],"10",Practices_SubPractices[Org],"Large"),"TBD"))))))))))))))))))))))))))))))</f>
        <v>9</v>
      </c>
      <c r="S129" s="87" t="s">
        <v>439</v>
      </c>
    </row>
    <row r="130" spans="1:19" x14ac:dyDescent="0.35">
      <c r="A130" s="73">
        <v>120</v>
      </c>
      <c r="B130" s="73">
        <v>8</v>
      </c>
      <c r="C130" s="80" t="s">
        <v>12</v>
      </c>
      <c r="D130" s="73" t="str">
        <f>Practices_SubPractices[[#This Row],[CP]]&amp;LEFT(Practices_SubPractices[[#This Row],[Org]],1)</f>
        <v>8L</v>
      </c>
      <c r="E130" s="73" t="s">
        <v>212</v>
      </c>
      <c r="F130" s="74" t="s">
        <v>153</v>
      </c>
      <c r="G130" s="74" t="s">
        <v>159</v>
      </c>
      <c r="H130" s="74" t="s">
        <v>256</v>
      </c>
      <c r="I130" s="75">
        <v>0</v>
      </c>
      <c r="J130" s="75">
        <v>1</v>
      </c>
      <c r="K130" s="75">
        <v>0</v>
      </c>
      <c r="L130" s="75">
        <v>1</v>
      </c>
      <c r="M130" s="75">
        <v>1</v>
      </c>
      <c r="N130" s="76"/>
      <c r="O130" s="77">
        <f>IF(AND(Practices_SubPractices[CP]=1,Practices_SubPractices[Org]="Small"),SUMIFS(Practices_SubPractices[B],Practices_SubPractices[CP],"1",Practices_SubPractices[Org],"Small"),IF(AND(Practices_SubPractices[CP]=2,Practices_SubPractices[Org]="Small"),SUMIFS(Practices_SubPractices[B],Practices_SubPractices[CP],"2",Practices_SubPractices[Org],"Small"),IF(AND(Practices_SubPractices[CP]=3,Practices_SubPractices[Org]="Small"),SUMIFS(Practices_SubPractices[B],Practices_SubPractices[CP],"3",Practices_SubPractices[Org],"Small"),IF(AND(Practices_SubPractices[CP]=4,Practices_SubPractices[Org]="Small"),SUMIFS(Practices_SubPractices[B],Practices_SubPractices[CP],"4",Practices_SubPractices[Org],"Small"),IF(AND(Practices_SubPractices[CP]=5,Practices_SubPractices[Org]="Small"),SUMIFS(Practices_SubPractices[B],Practices_SubPractices[CP],"5",Practices_SubPractices[Org],"Small"),IF(AND(Practices_SubPractices[CP]=6,Practices_SubPractices[Org]="Small"),SUMIFS(Practices_SubPractices[B],Practices_SubPractices[CP],"6",Practices_SubPractices[Org],"Small"),IF(AND(Practices_SubPractices[CP]=7,Practices_SubPractices[Org] ="Small"),SUMIFS(Practices_SubPractices[B],Practices_SubPractices[CP],"7",Practices_SubPractices[Org],"Small"),IF(AND(Practices_SubPractices[CP]=8,Practices_SubPractices[Org] ="Small"),SUMIFS(Practices_SubPractices[B],Practices_SubPractices[CP],"8",Practices_SubPractices[Org],"Small"),IF(AND(Practices_SubPractices[CP]=9,Practices_SubPractices[Org] ="Small"),SUMIFS(Practices_SubPractices[B],Practices_SubPractices[CP],"9",Practices_SubPractices[Org],"Small"),IF(AND(Practices_SubPractices[CP]=10,Practices_SubPractices[Org] ="Small"),SUMIFS(Practices_SubPractices[B],Practices_SubPractices[CP],"10",Practices_SubPractices[Org],"Small"),IF(AND(Practices_SubPractices[CP]=1,Practices_SubPractices[Org]="Medium"),SUMIFS(Practices_SubPractices[B],Practices_SubPractices[CP],"1",Practices_SubPractices[Org],"Medium"),IF(AND(Practices_SubPractices[CP]=2,Practices_SubPractices[Org]="Medium"),SUMIFS(Practices_SubPractices[B],Practices_SubPractices[CP],"2",Practices_SubPractices[Org],"Medium"),IF(AND(Practices_SubPractices[CP]=3,Practices_SubPractices[Org]="Medium"),SUMIFS(Practices_SubPractices[B],Practices_SubPractices[CP],"3",Practices_SubPractices[Org],"Medium"),IF(AND(Practices_SubPractices[CP]=4,Practices_SubPractices[Org]="Medium"),SUMIFS(Practices_SubPractices[B],Practices_SubPractices[CP],"4",Practices_SubPractices[Org],"Medium"),IF(AND(Practices_SubPractices[CP]=5,Practices_SubPractices[Org]="Medium"),SUMIFS(Practices_SubPractices[B],Practices_SubPractices[CP],"5",Practices_SubPractices[Org],"Medium"),IF(AND(Practices_SubPractices[CP]=6,Practices_SubPractices[Org]="Medium"),SUMIFS(Practices_SubPractices[B],Practices_SubPractices[CP],"6",Practices_SubPractices[Org],"Medium"),IF(AND(Practices_SubPractices[CP]=7,Practices_SubPractices[Org] ="Medium"),SUMIFS(Practices_SubPractices[B],Practices_SubPractices[CP],"7",Practices_SubPractices[Org],"Medium"),IF(AND(Practices_SubPractices[CP]=8,Practices_SubPractices[Org] ="Medium"),SUMIFS(Practices_SubPractices[B],Practices_SubPractices[CP],"8",Practices_SubPractices[Org],"Medium"),IF(AND(Practices_SubPractices[CP]=9,Practices_SubPractices[Org] ="Medium"),SUMIFS(Practices_SubPractices[B],Practices_SubPractices[CP],"9",Practices_SubPractices[Org],"Medium"),IF(AND(Practices_SubPractices[CP]=10,Practices_SubPractices[Org] ="Medium"),SUMIFS(Practices_SubPractices[B],Practices_SubPractices[CP],"10",Practices_SubPractices[Org],"Medium"),IF(AND(Practices_SubPractices[CP]=1,Practices_SubPractices[Org]="Large"),SUMIFS(Practices_SubPractices[B],Practices_SubPractices[CP],"1",Practices_SubPractices[Org],"Large"),IF(AND(Practices_SubPractices[CP]=2,Practices_SubPractices[Org]="Large"),SUMIFS(Practices_SubPractices[B],Practices_SubPractices[CP],"2",Practices_SubPractices[Org],"Large"),IF(AND(Practices_SubPractices[CP]=3,Practices_SubPractices[Org]="Large"),SUMIFS(Practices_SubPractices[B],Practices_SubPractices[CP],"3",Practices_SubPractices[Org],"Large"),IF(AND(Practices_SubPractices[CP]=4,Practices_SubPractices[Org]="Large"),SUMIFS(Practices_SubPractices[B],Practices_SubPractices[CP],"4",Practices_SubPractices[Org],"Large"),IF(AND(Practices_SubPractices[CP]=5,Practices_SubPractices[Org]="Large"),SUMIFS(Practices_SubPractices[B],Practices_SubPractices[CP],"5",Practices_SubPractices[Org],"Large"),IF(AND(Practices_SubPractices[CP]=6,Practices_SubPractices[Org]="Large"),SUMIFS(Practices_SubPractices[B],Practices_SubPractices[CP],"6",Practices_SubPractices[Org],"Large"),IF(AND(Practices_SubPractices[CP]=7,Practices_SubPractices[Org] ="Large"),SUMIFS(Practices_SubPractices[B],Practices_SubPractices[CP],"7",Practices_SubPractices[Org],"Large"),IF(AND(Practices_SubPractices[CP]=8,Practices_SubPractices[Org] ="Large"),SUMIFS(Practices_SubPractices[B],Practices_SubPractices[CP],"8",Practices_SubPractices[Org],"Large"),IF(AND(Practices_SubPractices[CP]=9,Practices_SubPractices[Org] ="Large"),SUMIFS(Practices_SubPractices[B],Practices_SubPractices[CP],"9",Practices_SubPractices[Org],"Large"),IF(AND(Practices_SubPractices[CP]=10,Practices_SubPractices[Org] ="Large"),SUMIFS(Practices_SubPractices[B],Practices_SubPractices[CP],"10",Practices_SubPractices[Org],"Large"),"TBD"))))))))))))))))))))))))))))))</f>
        <v>14</v>
      </c>
      <c r="P130" s="77">
        <f>IF(AND(Practices_SubPractices[CP]=1,Practices_SubPractices[Org]="Small"),SUMIFS(Practices_SubPractices[C],Practices_SubPractices[CP],"1",Practices_SubPractices[Org],"Small"),IF(AND(Practices_SubPractices[CP]=2,Practices_SubPractices[Org]="Small"),SUMIFS(Practices_SubPractices[C],Practices_SubPractices[CP],"2",Practices_SubPractices[Org],"Small"),IF(AND(Practices_SubPractices[CP]=3,Practices_SubPractices[Org]="Small"),SUMIFS(Practices_SubPractices[C],Practices_SubPractices[CP],"3",Practices_SubPractices[Org],"Small"),IF(AND(Practices_SubPractices[CP]=4,Practices_SubPractices[Org]="Small"),SUMIFS(Practices_SubPractices[C],Practices_SubPractices[CP],"4",Practices_SubPractices[Org],"Small"),IF(AND(Practices_SubPractices[CP]=5,Practices_SubPractices[Org]="Small"),SUMIFS(Practices_SubPractices[C],Practices_SubPractices[CP],"5",Practices_SubPractices[Org],"Small"),IF(AND(Practices_SubPractices[CP]=6,Practices_SubPractices[Org]="Small"),SUMIFS(Practices_SubPractices[C],Practices_SubPractices[CP],"6",Practices_SubPractices[Org],"Small"),IF(AND(Practices_SubPractices[CP]=7,Practices_SubPractices[Org] ="Small"),SUMIFS(Practices_SubPractices[C],Practices_SubPractices[CP],"7",Practices_SubPractices[Org],"Small"),IF(AND(Practices_SubPractices[CP]=8,Practices_SubPractices[Org] ="Small"),SUMIFS(Practices_SubPractices[C],Practices_SubPractices[CP],"8",Practices_SubPractices[Org],"Small"),IF(AND(Practices_SubPractices[CP]=9,Practices_SubPractices[Org] ="Small"),SUMIFS(Practices_SubPractices[C],Practices_SubPractices[CP],"9",Practices_SubPractices[Org],"Small"),IF(AND(Practices_SubPractices[CP]=10,Practices_SubPractices[Org] ="Small"),SUMIFS(Practices_SubPractices[C],Practices_SubPractices[CP],"10",Practices_SubPractices[Org],"Small"),IF(AND(Practices_SubPractices[CP]=1,Practices_SubPractices[Org]="Medium"),SUMIFS(Practices_SubPractices[C],Practices_SubPractices[CP],"1",Practices_SubPractices[Org],"Medium"),IF(AND(Practices_SubPractices[CP]=2,Practices_SubPractices[Org]="Medium"),SUMIFS(Practices_SubPractices[C],Practices_SubPractices[CP],"2",Practices_SubPractices[Org],"Medium"),IF(AND(Practices_SubPractices[CP]=3,Practices_SubPractices[Org]="Medium"),SUMIFS(Practices_SubPractices[C],Practices_SubPractices[CP],"3",Practices_SubPractices[Org],"Medium"),IF(AND(Practices_SubPractices[CP]=4,Practices_SubPractices[Org]="Medium"),SUMIFS(Practices_SubPractices[C],Practices_SubPractices[CP],"4",Practices_SubPractices[Org],"Medium"),IF(AND(Practices_SubPractices[CP]=5,Practices_SubPractices[Org]="Medium"),SUMIFS(Practices_SubPractices[C],Practices_SubPractices[CP],"5",Practices_SubPractices[Org],"Medium"),IF(AND(Practices_SubPractices[CP]=6,Practices_SubPractices[Org]="Medium"),SUMIFS(Practices_SubPractices[C],Practices_SubPractices[CP],"6",Practices_SubPractices[Org],"Medium"),IF(AND(Practices_SubPractices[CP]=7,Practices_SubPractices[Org] ="Medium"),SUMIFS(Practices_SubPractices[C],Practices_SubPractices[CP],"7",Practices_SubPractices[Org],"Medium"),IF(AND(Practices_SubPractices[CP]=8,Practices_SubPractices[Org] ="Medium"),SUMIFS(Practices_SubPractices[C],Practices_SubPractices[CP],"8",Practices_SubPractices[Org],"Medium"),IF(AND(Practices_SubPractices[CP]=9,Practices_SubPractices[Org] ="Medium"),SUMIFS(Practices_SubPractices[C],Practices_SubPractices[CP],"9",Practices_SubPractices[Org],"Medium"),IF(AND(Practices_SubPractices[CP]=10,Practices_SubPractices[Org] ="Medium"),SUMIFS(Practices_SubPractices[C],Practices_SubPractices[CP],"10",Practices_SubPractices[Org],"Medium"),IF(AND(Practices_SubPractices[CP]=1,Practices_SubPractices[Org]="Large"),SUMIFS(Practices_SubPractices[C],Practices_SubPractices[CP],"1",Practices_SubPractices[Org],"Large"),IF(AND(Practices_SubPractices[CP]=2,Practices_SubPractices[Org]="Large"),SUMIFS(Practices_SubPractices[C],Practices_SubPractices[CP],"2",Practices_SubPractices[Org],"Large"),IF(AND(Practices_SubPractices[CP]=3,Practices_SubPractices[Org]="Large"),SUMIFS(Practices_SubPractices[C],Practices_SubPractices[CP],"3",Practices_SubPractices[Org],"Large"),IF(AND(Practices_SubPractices[CP]=4,Practices_SubPractices[Org]="Large"),SUMIFS(Practices_SubPractices[C],Practices_SubPractices[CP],"4",Practices_SubPractices[Org],"Large"),IF(AND(Practices_SubPractices[CP]=5,Practices_SubPractices[Org]="Large"),SUMIFS(Practices_SubPractices[C],Practices_SubPractices[CP],"5",Practices_SubPractices[Org],"Large"),IF(AND(Practices_SubPractices[CP]=6,Practices_SubPractices[Org]="Large"),SUMIFS(Practices_SubPractices[C],Practices_SubPractices[CP],"6",Practices_SubPractices[Org],"Large"),IF(AND(Practices_SubPractices[CP]=7,Practices_SubPractices[Org] ="Large"),SUMIFS(Practices_SubPractices[C],Practices_SubPractices[CP],"7",Practices_SubPractices[Org],"Large"),IF(AND(Practices_SubPractices[CP]=8,Practices_SubPractices[Org] ="Large"),SUMIFS(Practices_SubPractices[C],Practices_SubPractices[CP],"8",Practices_SubPractices[Org],"Large"),IF(AND(Practices_SubPractices[CP]=9,Practices_SubPractices[Org] ="Large"),SUMIFS(Practices_SubPractices[C],Practices_SubPractices[CP],"9",Practices_SubPractices[Org],"Large"),IF(AND(Practices_SubPractices[CP]=10,Practices_SubPractices[Org] ="Large"),SUMIFS(Practices_SubPractices[C],Practices_SubPractices[CP],"10",Practices_SubPractices[Org],"Large"),"TBD"))))))))))))))))))))))))))))))</f>
        <v>5</v>
      </c>
      <c r="Q130" s="77">
        <f>IF(AND(Practices_SubPractices[CP]=1,Practices_SubPractices[Org]="Small"),SUMIFS(Practices_SubPractices[D],Practices_SubPractices[CP],"1",Practices_SubPractices[Org],"Small"),IF(AND(Practices_SubPractices[CP]=2,Practices_SubPractices[Org]="Small"),SUMIFS(Practices_SubPractices[D],Practices_SubPractices[CP],"2",Practices_SubPractices[Org],"Small"),IF(AND(Practices_SubPractices[CP]=3,Practices_SubPractices[Org]="Small"),SUMIFS(Practices_SubPractices[D],Practices_SubPractices[CP],"3",Practices_SubPractices[Org],"Small"),IF(AND(Practices_SubPractices[CP]=4,Practices_SubPractices[Org]="Small"),SUMIFS(Practices_SubPractices[D],Practices_SubPractices[CP],"4",Practices_SubPractices[Org],"Small"),IF(AND(Practices_SubPractices[CP]=5,Practices_SubPractices[Org]="Small"),SUMIFS(Practices_SubPractices[D],Practices_SubPractices[CP],"5",Practices_SubPractices[Org],"Small"),IF(AND(Practices_SubPractices[CP]=6,Practices_SubPractices[Org]="Small"),SUMIFS(Practices_SubPractices[D],Practices_SubPractices[CP],"6",Practices_SubPractices[Org],"Small"),IF(AND(Practices_SubPractices[CP]=7,Practices_SubPractices[Org] ="Small"),SUMIFS(Practices_SubPractices[D],Practices_SubPractices[CP],"7",Practices_SubPractices[Org],"Small"),IF(AND(Practices_SubPractices[CP]=8,Practices_SubPractices[Org] ="Small"),SUMIFS(Practices_SubPractices[D],Practices_SubPractices[CP],"8",Practices_SubPractices[Org],"Small"),IF(AND(Practices_SubPractices[CP]=9,Practices_SubPractices[Org] ="Small"),SUMIFS(Practices_SubPractices[D],Practices_SubPractices[CP],"9",Practices_SubPractices[Org],"Small"),IF(AND(Practices_SubPractices[CP]=10,Practices_SubPractices[Org] ="Small"),SUMIFS(Practices_SubPractices[D],Practices_SubPractices[CP],"10",Practices_SubPractices[Org],"Small"),IF(AND(Practices_SubPractices[CP]=1,Practices_SubPractices[Org]="Medium"),SUMIFS(Practices_SubPractices[D],Practices_SubPractices[CP],"1",Practices_SubPractices[Org],"Medium"),IF(AND(Practices_SubPractices[CP]=2,Practices_SubPractices[Org]="Medium"),SUMIFS(Practices_SubPractices[D],Practices_SubPractices[CP],"2",Practices_SubPractices[Org],"Medium"),IF(AND(Practices_SubPractices[CP]=3,Practices_SubPractices[Org]="Medium"),SUMIFS(Practices_SubPractices[D],Practices_SubPractices[CP],"3",Practices_SubPractices[Org],"Medium"),IF(AND(Practices_SubPractices[CP]=4,Practices_SubPractices[Org]="Medium"),SUMIFS(Practices_SubPractices[D],Practices_SubPractices[CP],"4",Practices_SubPractices[Org],"Medium"),IF(AND(Practices_SubPractices[CP]=5,Practices_SubPractices[Org]="Medium"),SUMIFS(Practices_SubPractices[D],Practices_SubPractices[CP],"5",Practices_SubPractices[Org],"Medium"),IF(AND(Practices_SubPractices[CP]=6,Practices_SubPractices[Org]="Medium"),SUMIFS(Practices_SubPractices[D],Practices_SubPractices[CP],"6",Practices_SubPractices[Org],"Medium"),IF(AND(Practices_SubPractices[CP]=7,Practices_SubPractices[Org] ="Medium"),SUMIFS(Practices_SubPractices[D],Practices_SubPractices[CP],"7",Practices_SubPractices[Org],"Medium"),IF(AND(Practices_SubPractices[CP]=8,Practices_SubPractices[Org] ="Medium"),SUMIFS(Practices_SubPractices[D],Practices_SubPractices[CP],"8",Practices_SubPractices[Org],"Medium"),IF(AND(Practices_SubPractices[CP]=9,Practices_SubPractices[Org] ="Medium"),SUMIFS(Practices_SubPractices[D],Practices_SubPractices[CP],"9",Practices_SubPractices[Org],"Medium"),IF(AND(Practices_SubPractices[CP]=10,Practices_SubPractices[Org] ="Medium"),SUMIFS(Practices_SubPractices[D],Practices_SubPractices[CP],"10",Practices_SubPractices[Org],"Medium"),IF(AND(Practices_SubPractices[CP]=1,Practices_SubPractices[Org]="Large"),SUMIFS(Practices_SubPractices[D],Practices_SubPractices[CP],"1",Practices_SubPractices[Org],"Large"),IF(AND(Practices_SubPractices[CP]=2,Practices_SubPractices[Org]="Large"),SUMIFS(Practices_SubPractices[D],Practices_SubPractices[CP],"2",Practices_SubPractices[Org],"Large"),IF(AND(Practices_SubPractices[CP]=3,Practices_SubPractices[Org]="Large"),SUMIFS(Practices_SubPractices[D],Practices_SubPractices[CP],"3",Practices_SubPractices[Org],"Large"),IF(AND(Practices_SubPractices[CP]=4,Practices_SubPractices[Org]="Large"),SUMIFS(Practices_SubPractices[D],Practices_SubPractices[CP],"4",Practices_SubPractices[Org],"Large"),IF(AND(Practices_SubPractices[CP]=5,Practices_SubPractices[Org]="Large"),SUMIFS(Practices_SubPractices[D],Practices_SubPractices[CP],"5",Practices_SubPractices[Org],"Large"),IF(AND(Practices_SubPractices[CP]=6,Practices_SubPractices[Org]="Large"),SUMIFS(Practices_SubPractices[D],Practices_SubPractices[CP],"6",Practices_SubPractices[Org],"Large"),IF(AND(Practices_SubPractices[CP]=7,Practices_SubPractices[Org] ="Large"),SUMIFS(Practices_SubPractices[D],Practices_SubPractices[CP],"7",Practices_SubPractices[Org],"Large"),IF(AND(Practices_SubPractices[CP]=8,Practices_SubPractices[Org] ="Large"),SUMIFS(Practices_SubPractices[D],Practices_SubPractices[CP],"8",Practices_SubPractices[Org],"Large"),IF(AND(Practices_SubPractices[CP]=9,Practices_SubPractices[Org] ="Large"),SUMIFS(Practices_SubPractices[D],Practices_SubPractices[CP],"9",Practices_SubPractices[Org],"Large"),IF(AND(Practices_SubPractices[CP]=10,Practices_SubPractices[Org] ="Large"),SUMIFS(Practices_SubPractices[D],Practices_SubPractices[CP],"10",Practices_SubPractices[Org],"Large"),"TBD"))))))))))))))))))))))))))))))</f>
        <v>14</v>
      </c>
      <c r="R130" s="77">
        <f>IF(AND(Practices_SubPractices[CP]=1,Practices_SubPractices[Org]="Small"),SUMIFS(Practices_SubPractices[E],Practices_SubPractices[CP],"1",Practices_SubPractices[Org],"Small"),IF(AND(Practices_SubPractices[CP]=2,Practices_SubPractices[Org]="Small"),SUMIFS(Practices_SubPractices[E],Practices_SubPractices[CP],"2",Practices_SubPractices[Org],"Small"),IF(AND(Practices_SubPractices[CP]=3,Practices_SubPractices[Org]="Small"),SUMIFS(Practices_SubPractices[E],Practices_SubPractices[CP],"3",Practices_SubPractices[Org],"Small"),IF(AND(Practices_SubPractices[CP]=4,Practices_SubPractices[Org]="Small"),SUMIFS(Practices_SubPractices[E],Practices_SubPractices[CP],"4",Practices_SubPractices[Org],"Small"),IF(AND(Practices_SubPractices[CP]=5,Practices_SubPractices[Org]="Small"),SUMIFS(Practices_SubPractices[E],Practices_SubPractices[CP],"5",Practices_SubPractices[Org],"Small"),IF(AND(Practices_SubPractices[CP]=6,Practices_SubPractices[Org]="Small"),SUMIFS(Practices_SubPractices[E],Practices_SubPractices[CP],"6",Practices_SubPractices[Org],"Small"),IF(AND(Practices_SubPractices[CP]=7,Practices_SubPractices[Org] ="Small"),SUMIFS(Practices_SubPractices[E],Practices_SubPractices[CP],"7",Practices_SubPractices[Org],"Small"),IF(AND(Practices_SubPractices[CP]=8,Practices_SubPractices[Org] ="Small"),SUMIFS(Practices_SubPractices[E],Practices_SubPractices[CP],"8",Practices_SubPractices[Org],"Small"),IF(AND(Practices_SubPractices[CP]=9,Practices_SubPractices[Org] ="Small"),SUMIFS(Practices_SubPractices[E],Practices_SubPractices[CP],"9",Practices_SubPractices[Org],"Small"),IF(AND(Practices_SubPractices[CP]=10,Practices_SubPractices[Org] ="Small"),SUMIFS(Practices_SubPractices[E],Practices_SubPractices[CP],"10",Practices_SubPractices[Org],"Small"),IF(AND(Practices_SubPractices[CP]=1,Practices_SubPractices[Org]="Medium"),SUMIFS(Practices_SubPractices[E],Practices_SubPractices[CP],"1",Practices_SubPractices[Org],"Medium"),IF(AND(Practices_SubPractices[CP]=2,Practices_SubPractices[Org]="Medium"),SUMIFS(Practices_SubPractices[E],Practices_SubPractices[CP],"2",Practices_SubPractices[Org],"Medium"),IF(AND(Practices_SubPractices[CP]=3,Practices_SubPractices[Org]="Medium"),SUMIFS(Practices_SubPractices[E],Practices_SubPractices[CP],"3",Practices_SubPractices[Org],"Medium"),IF(AND(Practices_SubPractices[CP]=4,Practices_SubPractices[Org]="Medium"),SUMIFS(Practices_SubPractices[E],Practices_SubPractices[CP],"4",Practices_SubPractices[Org],"Medium"),IF(AND(Practices_SubPractices[CP]=5,Practices_SubPractices[Org]="Medium"),SUMIFS(Practices_SubPractices[E],Practices_SubPractices[CP],"5",Practices_SubPractices[Org],"Medium"),IF(AND(Practices_SubPractices[CP]=6,Practices_SubPractices[Org]="Medium"),SUMIFS(Practices_SubPractices[E],Practices_SubPractices[CP],"6",Practices_SubPractices[Org],"Medium"),IF(AND(Practices_SubPractices[CP]=7,Practices_SubPractices[Org] ="Medium"),SUMIFS(Practices_SubPractices[E],Practices_SubPractices[CP],"7",Practices_SubPractices[Org],"Medium"),IF(AND(Practices_SubPractices[CP]=8,Practices_SubPractices[Org] ="Medium"),SUMIFS(Practices_SubPractices[E],Practices_SubPractices[CP],"8",Practices_SubPractices[Org],"Medium"),IF(AND(Practices_SubPractices[CP]=9,Practices_SubPractices[Org] ="Medium"),SUMIFS(Practices_SubPractices[E],Practices_SubPractices[CP],"9",Practices_SubPractices[Org],"Medium"),IF(AND(Practices_SubPractices[CP]=10,Practices_SubPractices[Org] ="Medium"),SUMIFS(Practices_SubPractices[E],Practices_SubPractices[CP],"10",Practices_SubPractices[Org],"Medium"),IF(AND(Practices_SubPractices[CP]=1,Practices_SubPractices[Org]="Large"),SUMIFS(Practices_SubPractices[E],Practices_SubPractices[CP],"1",Practices_SubPractices[Org],"Large"),IF(AND(Practices_SubPractices[CP]=2,Practices_SubPractices[Org]="Large"),SUMIFS(Practices_SubPractices[E],Practices_SubPractices[CP],"2",Practices_SubPractices[Org],"Large"),IF(AND(Practices_SubPractices[CP]=3,Practices_SubPractices[Org]="Large"),SUMIFS(Practices_SubPractices[E],Practices_SubPractices[CP],"3",Practices_SubPractices[Org],"Large"),IF(AND(Practices_SubPractices[CP]=4,Practices_SubPractices[Org]="Large"),SUMIFS(Practices_SubPractices[E],Practices_SubPractices[CP],"4",Practices_SubPractices[Org],"Large"),IF(AND(Practices_SubPractices[CP]=5,Practices_SubPractices[Org]="Large"),SUMIFS(Practices_SubPractices[E],Practices_SubPractices[CP],"5",Practices_SubPractices[Org],"Large"),IF(AND(Practices_SubPractices[CP]=6,Practices_SubPractices[Org]="Large"),SUMIFS(Practices_SubPractices[E],Practices_SubPractices[CP],"6",Practices_SubPractices[Org],"Large"),IF(AND(Practices_SubPractices[CP]=7,Practices_SubPractices[Org] ="Large"),SUMIFS(Practices_SubPractices[E],Practices_SubPractices[CP],"7",Practices_SubPractices[Org],"Large"),IF(AND(Practices_SubPractices[CP]=8,Practices_SubPractices[Org] ="Large"),SUMIFS(Practices_SubPractices[E],Practices_SubPractices[CP],"8",Practices_SubPractices[Org],"Large"),IF(AND(Practices_SubPractices[CP]=9,Practices_SubPractices[Org] ="Large"),SUMIFS(Practices_SubPractices[E],Practices_SubPractices[CP],"9",Practices_SubPractices[Org],"Large"),IF(AND(Practices_SubPractices[CP]=10,Practices_SubPractices[Org] ="Large"),SUMIFS(Practices_SubPractices[E],Practices_SubPractices[CP],"10",Practices_SubPractices[Org],"Large"),"TBD"))))))))))))))))))))))))))))))</f>
        <v>9</v>
      </c>
      <c r="S130" s="87" t="s">
        <v>448</v>
      </c>
    </row>
    <row r="131" spans="1:19" x14ac:dyDescent="0.35">
      <c r="A131" s="73">
        <v>121</v>
      </c>
      <c r="B131" s="73">
        <v>8</v>
      </c>
      <c r="C131" s="80" t="s">
        <v>12</v>
      </c>
      <c r="D131" s="73" t="str">
        <f>Practices_SubPractices[[#This Row],[CP]]&amp;LEFT(Practices_SubPractices[[#This Row],[Org]],1)</f>
        <v>8L</v>
      </c>
      <c r="E131" s="73" t="s">
        <v>279</v>
      </c>
      <c r="F131" s="74" t="s">
        <v>154</v>
      </c>
      <c r="G131" s="74" t="s">
        <v>160</v>
      </c>
      <c r="H131" s="74" t="s">
        <v>257</v>
      </c>
      <c r="I131" s="75">
        <v>0</v>
      </c>
      <c r="J131" s="75">
        <v>2</v>
      </c>
      <c r="K131" s="75">
        <v>0</v>
      </c>
      <c r="L131" s="75">
        <v>2</v>
      </c>
      <c r="M131" s="75">
        <v>1</v>
      </c>
      <c r="N131" s="76"/>
      <c r="O131" s="77">
        <f>IF(AND(Practices_SubPractices[CP]=1,Practices_SubPractices[Org]="Small"),SUMIFS(Practices_SubPractices[B],Practices_SubPractices[CP],"1",Practices_SubPractices[Org],"Small"),IF(AND(Practices_SubPractices[CP]=2,Practices_SubPractices[Org]="Small"),SUMIFS(Practices_SubPractices[B],Practices_SubPractices[CP],"2",Practices_SubPractices[Org],"Small"),IF(AND(Practices_SubPractices[CP]=3,Practices_SubPractices[Org]="Small"),SUMIFS(Practices_SubPractices[B],Practices_SubPractices[CP],"3",Practices_SubPractices[Org],"Small"),IF(AND(Practices_SubPractices[CP]=4,Practices_SubPractices[Org]="Small"),SUMIFS(Practices_SubPractices[B],Practices_SubPractices[CP],"4",Practices_SubPractices[Org],"Small"),IF(AND(Practices_SubPractices[CP]=5,Practices_SubPractices[Org]="Small"),SUMIFS(Practices_SubPractices[B],Practices_SubPractices[CP],"5",Practices_SubPractices[Org],"Small"),IF(AND(Practices_SubPractices[CP]=6,Practices_SubPractices[Org]="Small"),SUMIFS(Practices_SubPractices[B],Practices_SubPractices[CP],"6",Practices_SubPractices[Org],"Small"),IF(AND(Practices_SubPractices[CP]=7,Practices_SubPractices[Org] ="Small"),SUMIFS(Practices_SubPractices[B],Practices_SubPractices[CP],"7",Practices_SubPractices[Org],"Small"),IF(AND(Practices_SubPractices[CP]=8,Practices_SubPractices[Org] ="Small"),SUMIFS(Practices_SubPractices[B],Practices_SubPractices[CP],"8",Practices_SubPractices[Org],"Small"),IF(AND(Practices_SubPractices[CP]=9,Practices_SubPractices[Org] ="Small"),SUMIFS(Practices_SubPractices[B],Practices_SubPractices[CP],"9",Practices_SubPractices[Org],"Small"),IF(AND(Practices_SubPractices[CP]=10,Practices_SubPractices[Org] ="Small"),SUMIFS(Practices_SubPractices[B],Practices_SubPractices[CP],"10",Practices_SubPractices[Org],"Small"),IF(AND(Practices_SubPractices[CP]=1,Practices_SubPractices[Org]="Medium"),SUMIFS(Practices_SubPractices[B],Practices_SubPractices[CP],"1",Practices_SubPractices[Org],"Medium"),IF(AND(Practices_SubPractices[CP]=2,Practices_SubPractices[Org]="Medium"),SUMIFS(Practices_SubPractices[B],Practices_SubPractices[CP],"2",Practices_SubPractices[Org],"Medium"),IF(AND(Practices_SubPractices[CP]=3,Practices_SubPractices[Org]="Medium"),SUMIFS(Practices_SubPractices[B],Practices_SubPractices[CP],"3",Practices_SubPractices[Org],"Medium"),IF(AND(Practices_SubPractices[CP]=4,Practices_SubPractices[Org]="Medium"),SUMIFS(Practices_SubPractices[B],Practices_SubPractices[CP],"4",Practices_SubPractices[Org],"Medium"),IF(AND(Practices_SubPractices[CP]=5,Practices_SubPractices[Org]="Medium"),SUMIFS(Practices_SubPractices[B],Practices_SubPractices[CP],"5",Practices_SubPractices[Org],"Medium"),IF(AND(Practices_SubPractices[CP]=6,Practices_SubPractices[Org]="Medium"),SUMIFS(Practices_SubPractices[B],Practices_SubPractices[CP],"6",Practices_SubPractices[Org],"Medium"),IF(AND(Practices_SubPractices[CP]=7,Practices_SubPractices[Org] ="Medium"),SUMIFS(Practices_SubPractices[B],Practices_SubPractices[CP],"7",Practices_SubPractices[Org],"Medium"),IF(AND(Practices_SubPractices[CP]=8,Practices_SubPractices[Org] ="Medium"),SUMIFS(Practices_SubPractices[B],Practices_SubPractices[CP],"8",Practices_SubPractices[Org],"Medium"),IF(AND(Practices_SubPractices[CP]=9,Practices_SubPractices[Org] ="Medium"),SUMIFS(Practices_SubPractices[B],Practices_SubPractices[CP],"9",Practices_SubPractices[Org],"Medium"),IF(AND(Practices_SubPractices[CP]=10,Practices_SubPractices[Org] ="Medium"),SUMIFS(Practices_SubPractices[B],Practices_SubPractices[CP],"10",Practices_SubPractices[Org],"Medium"),IF(AND(Practices_SubPractices[CP]=1,Practices_SubPractices[Org]="Large"),SUMIFS(Practices_SubPractices[B],Practices_SubPractices[CP],"1",Practices_SubPractices[Org],"Large"),IF(AND(Practices_SubPractices[CP]=2,Practices_SubPractices[Org]="Large"),SUMIFS(Practices_SubPractices[B],Practices_SubPractices[CP],"2",Practices_SubPractices[Org],"Large"),IF(AND(Practices_SubPractices[CP]=3,Practices_SubPractices[Org]="Large"),SUMIFS(Practices_SubPractices[B],Practices_SubPractices[CP],"3",Practices_SubPractices[Org],"Large"),IF(AND(Practices_SubPractices[CP]=4,Practices_SubPractices[Org]="Large"),SUMIFS(Practices_SubPractices[B],Practices_SubPractices[CP],"4",Practices_SubPractices[Org],"Large"),IF(AND(Practices_SubPractices[CP]=5,Practices_SubPractices[Org]="Large"),SUMIFS(Practices_SubPractices[B],Practices_SubPractices[CP],"5",Practices_SubPractices[Org],"Large"),IF(AND(Practices_SubPractices[CP]=6,Practices_SubPractices[Org]="Large"),SUMIFS(Practices_SubPractices[B],Practices_SubPractices[CP],"6",Practices_SubPractices[Org],"Large"),IF(AND(Practices_SubPractices[CP]=7,Practices_SubPractices[Org] ="Large"),SUMIFS(Practices_SubPractices[B],Practices_SubPractices[CP],"7",Practices_SubPractices[Org],"Large"),IF(AND(Practices_SubPractices[CP]=8,Practices_SubPractices[Org] ="Large"),SUMIFS(Practices_SubPractices[B],Practices_SubPractices[CP],"8",Practices_SubPractices[Org],"Large"),IF(AND(Practices_SubPractices[CP]=9,Practices_SubPractices[Org] ="Large"),SUMIFS(Practices_SubPractices[B],Practices_SubPractices[CP],"9",Practices_SubPractices[Org],"Large"),IF(AND(Practices_SubPractices[CP]=10,Practices_SubPractices[Org] ="Large"),SUMIFS(Practices_SubPractices[B],Practices_SubPractices[CP],"10",Practices_SubPractices[Org],"Large"),"TBD"))))))))))))))))))))))))))))))</f>
        <v>14</v>
      </c>
      <c r="P131" s="77">
        <f>IF(AND(Practices_SubPractices[CP]=1,Practices_SubPractices[Org]="Small"),SUMIFS(Practices_SubPractices[C],Practices_SubPractices[CP],"1",Practices_SubPractices[Org],"Small"),IF(AND(Practices_SubPractices[CP]=2,Practices_SubPractices[Org]="Small"),SUMIFS(Practices_SubPractices[C],Practices_SubPractices[CP],"2",Practices_SubPractices[Org],"Small"),IF(AND(Practices_SubPractices[CP]=3,Practices_SubPractices[Org]="Small"),SUMIFS(Practices_SubPractices[C],Practices_SubPractices[CP],"3",Practices_SubPractices[Org],"Small"),IF(AND(Practices_SubPractices[CP]=4,Practices_SubPractices[Org]="Small"),SUMIFS(Practices_SubPractices[C],Practices_SubPractices[CP],"4",Practices_SubPractices[Org],"Small"),IF(AND(Practices_SubPractices[CP]=5,Practices_SubPractices[Org]="Small"),SUMIFS(Practices_SubPractices[C],Practices_SubPractices[CP],"5",Practices_SubPractices[Org],"Small"),IF(AND(Practices_SubPractices[CP]=6,Practices_SubPractices[Org]="Small"),SUMIFS(Practices_SubPractices[C],Practices_SubPractices[CP],"6",Practices_SubPractices[Org],"Small"),IF(AND(Practices_SubPractices[CP]=7,Practices_SubPractices[Org] ="Small"),SUMIFS(Practices_SubPractices[C],Practices_SubPractices[CP],"7",Practices_SubPractices[Org],"Small"),IF(AND(Practices_SubPractices[CP]=8,Practices_SubPractices[Org] ="Small"),SUMIFS(Practices_SubPractices[C],Practices_SubPractices[CP],"8",Practices_SubPractices[Org],"Small"),IF(AND(Practices_SubPractices[CP]=9,Practices_SubPractices[Org] ="Small"),SUMIFS(Practices_SubPractices[C],Practices_SubPractices[CP],"9",Practices_SubPractices[Org],"Small"),IF(AND(Practices_SubPractices[CP]=10,Practices_SubPractices[Org] ="Small"),SUMIFS(Practices_SubPractices[C],Practices_SubPractices[CP],"10",Practices_SubPractices[Org],"Small"),IF(AND(Practices_SubPractices[CP]=1,Practices_SubPractices[Org]="Medium"),SUMIFS(Practices_SubPractices[C],Practices_SubPractices[CP],"1",Practices_SubPractices[Org],"Medium"),IF(AND(Practices_SubPractices[CP]=2,Practices_SubPractices[Org]="Medium"),SUMIFS(Practices_SubPractices[C],Practices_SubPractices[CP],"2",Practices_SubPractices[Org],"Medium"),IF(AND(Practices_SubPractices[CP]=3,Practices_SubPractices[Org]="Medium"),SUMIFS(Practices_SubPractices[C],Practices_SubPractices[CP],"3",Practices_SubPractices[Org],"Medium"),IF(AND(Practices_SubPractices[CP]=4,Practices_SubPractices[Org]="Medium"),SUMIFS(Practices_SubPractices[C],Practices_SubPractices[CP],"4",Practices_SubPractices[Org],"Medium"),IF(AND(Practices_SubPractices[CP]=5,Practices_SubPractices[Org]="Medium"),SUMIFS(Practices_SubPractices[C],Practices_SubPractices[CP],"5",Practices_SubPractices[Org],"Medium"),IF(AND(Practices_SubPractices[CP]=6,Practices_SubPractices[Org]="Medium"),SUMIFS(Practices_SubPractices[C],Practices_SubPractices[CP],"6",Practices_SubPractices[Org],"Medium"),IF(AND(Practices_SubPractices[CP]=7,Practices_SubPractices[Org] ="Medium"),SUMIFS(Practices_SubPractices[C],Practices_SubPractices[CP],"7",Practices_SubPractices[Org],"Medium"),IF(AND(Practices_SubPractices[CP]=8,Practices_SubPractices[Org] ="Medium"),SUMIFS(Practices_SubPractices[C],Practices_SubPractices[CP],"8",Practices_SubPractices[Org],"Medium"),IF(AND(Practices_SubPractices[CP]=9,Practices_SubPractices[Org] ="Medium"),SUMIFS(Practices_SubPractices[C],Practices_SubPractices[CP],"9",Practices_SubPractices[Org],"Medium"),IF(AND(Practices_SubPractices[CP]=10,Practices_SubPractices[Org] ="Medium"),SUMIFS(Practices_SubPractices[C],Practices_SubPractices[CP],"10",Practices_SubPractices[Org],"Medium"),IF(AND(Practices_SubPractices[CP]=1,Practices_SubPractices[Org]="Large"),SUMIFS(Practices_SubPractices[C],Practices_SubPractices[CP],"1",Practices_SubPractices[Org],"Large"),IF(AND(Practices_SubPractices[CP]=2,Practices_SubPractices[Org]="Large"),SUMIFS(Practices_SubPractices[C],Practices_SubPractices[CP],"2",Practices_SubPractices[Org],"Large"),IF(AND(Practices_SubPractices[CP]=3,Practices_SubPractices[Org]="Large"),SUMIFS(Practices_SubPractices[C],Practices_SubPractices[CP],"3",Practices_SubPractices[Org],"Large"),IF(AND(Practices_SubPractices[CP]=4,Practices_SubPractices[Org]="Large"),SUMIFS(Practices_SubPractices[C],Practices_SubPractices[CP],"4",Practices_SubPractices[Org],"Large"),IF(AND(Practices_SubPractices[CP]=5,Practices_SubPractices[Org]="Large"),SUMIFS(Practices_SubPractices[C],Practices_SubPractices[CP],"5",Practices_SubPractices[Org],"Large"),IF(AND(Practices_SubPractices[CP]=6,Practices_SubPractices[Org]="Large"),SUMIFS(Practices_SubPractices[C],Practices_SubPractices[CP],"6",Practices_SubPractices[Org],"Large"),IF(AND(Practices_SubPractices[CP]=7,Practices_SubPractices[Org] ="Large"),SUMIFS(Practices_SubPractices[C],Practices_SubPractices[CP],"7",Practices_SubPractices[Org],"Large"),IF(AND(Practices_SubPractices[CP]=8,Practices_SubPractices[Org] ="Large"),SUMIFS(Practices_SubPractices[C],Practices_SubPractices[CP],"8",Practices_SubPractices[Org],"Large"),IF(AND(Practices_SubPractices[CP]=9,Practices_SubPractices[Org] ="Large"),SUMIFS(Practices_SubPractices[C],Practices_SubPractices[CP],"9",Practices_SubPractices[Org],"Large"),IF(AND(Practices_SubPractices[CP]=10,Practices_SubPractices[Org] ="Large"),SUMIFS(Practices_SubPractices[C],Practices_SubPractices[CP],"10",Practices_SubPractices[Org],"Large"),"TBD"))))))))))))))))))))))))))))))</f>
        <v>5</v>
      </c>
      <c r="Q131" s="77">
        <f>IF(AND(Practices_SubPractices[CP]=1,Practices_SubPractices[Org]="Small"),SUMIFS(Practices_SubPractices[D],Practices_SubPractices[CP],"1",Practices_SubPractices[Org],"Small"),IF(AND(Practices_SubPractices[CP]=2,Practices_SubPractices[Org]="Small"),SUMIFS(Practices_SubPractices[D],Practices_SubPractices[CP],"2",Practices_SubPractices[Org],"Small"),IF(AND(Practices_SubPractices[CP]=3,Practices_SubPractices[Org]="Small"),SUMIFS(Practices_SubPractices[D],Practices_SubPractices[CP],"3",Practices_SubPractices[Org],"Small"),IF(AND(Practices_SubPractices[CP]=4,Practices_SubPractices[Org]="Small"),SUMIFS(Practices_SubPractices[D],Practices_SubPractices[CP],"4",Practices_SubPractices[Org],"Small"),IF(AND(Practices_SubPractices[CP]=5,Practices_SubPractices[Org]="Small"),SUMIFS(Practices_SubPractices[D],Practices_SubPractices[CP],"5",Practices_SubPractices[Org],"Small"),IF(AND(Practices_SubPractices[CP]=6,Practices_SubPractices[Org]="Small"),SUMIFS(Practices_SubPractices[D],Practices_SubPractices[CP],"6",Practices_SubPractices[Org],"Small"),IF(AND(Practices_SubPractices[CP]=7,Practices_SubPractices[Org] ="Small"),SUMIFS(Practices_SubPractices[D],Practices_SubPractices[CP],"7",Practices_SubPractices[Org],"Small"),IF(AND(Practices_SubPractices[CP]=8,Practices_SubPractices[Org] ="Small"),SUMIFS(Practices_SubPractices[D],Practices_SubPractices[CP],"8",Practices_SubPractices[Org],"Small"),IF(AND(Practices_SubPractices[CP]=9,Practices_SubPractices[Org] ="Small"),SUMIFS(Practices_SubPractices[D],Practices_SubPractices[CP],"9",Practices_SubPractices[Org],"Small"),IF(AND(Practices_SubPractices[CP]=10,Practices_SubPractices[Org] ="Small"),SUMIFS(Practices_SubPractices[D],Practices_SubPractices[CP],"10",Practices_SubPractices[Org],"Small"),IF(AND(Practices_SubPractices[CP]=1,Practices_SubPractices[Org]="Medium"),SUMIFS(Practices_SubPractices[D],Practices_SubPractices[CP],"1",Practices_SubPractices[Org],"Medium"),IF(AND(Practices_SubPractices[CP]=2,Practices_SubPractices[Org]="Medium"),SUMIFS(Practices_SubPractices[D],Practices_SubPractices[CP],"2",Practices_SubPractices[Org],"Medium"),IF(AND(Practices_SubPractices[CP]=3,Practices_SubPractices[Org]="Medium"),SUMIFS(Practices_SubPractices[D],Practices_SubPractices[CP],"3",Practices_SubPractices[Org],"Medium"),IF(AND(Practices_SubPractices[CP]=4,Practices_SubPractices[Org]="Medium"),SUMIFS(Practices_SubPractices[D],Practices_SubPractices[CP],"4",Practices_SubPractices[Org],"Medium"),IF(AND(Practices_SubPractices[CP]=5,Practices_SubPractices[Org]="Medium"),SUMIFS(Practices_SubPractices[D],Practices_SubPractices[CP],"5",Practices_SubPractices[Org],"Medium"),IF(AND(Practices_SubPractices[CP]=6,Practices_SubPractices[Org]="Medium"),SUMIFS(Practices_SubPractices[D],Practices_SubPractices[CP],"6",Practices_SubPractices[Org],"Medium"),IF(AND(Practices_SubPractices[CP]=7,Practices_SubPractices[Org] ="Medium"),SUMIFS(Practices_SubPractices[D],Practices_SubPractices[CP],"7",Practices_SubPractices[Org],"Medium"),IF(AND(Practices_SubPractices[CP]=8,Practices_SubPractices[Org] ="Medium"),SUMIFS(Practices_SubPractices[D],Practices_SubPractices[CP],"8",Practices_SubPractices[Org],"Medium"),IF(AND(Practices_SubPractices[CP]=9,Practices_SubPractices[Org] ="Medium"),SUMIFS(Practices_SubPractices[D],Practices_SubPractices[CP],"9",Practices_SubPractices[Org],"Medium"),IF(AND(Practices_SubPractices[CP]=10,Practices_SubPractices[Org] ="Medium"),SUMIFS(Practices_SubPractices[D],Practices_SubPractices[CP],"10",Practices_SubPractices[Org],"Medium"),IF(AND(Practices_SubPractices[CP]=1,Practices_SubPractices[Org]="Large"),SUMIFS(Practices_SubPractices[D],Practices_SubPractices[CP],"1",Practices_SubPractices[Org],"Large"),IF(AND(Practices_SubPractices[CP]=2,Practices_SubPractices[Org]="Large"),SUMIFS(Practices_SubPractices[D],Practices_SubPractices[CP],"2",Practices_SubPractices[Org],"Large"),IF(AND(Practices_SubPractices[CP]=3,Practices_SubPractices[Org]="Large"),SUMIFS(Practices_SubPractices[D],Practices_SubPractices[CP],"3",Practices_SubPractices[Org],"Large"),IF(AND(Practices_SubPractices[CP]=4,Practices_SubPractices[Org]="Large"),SUMIFS(Practices_SubPractices[D],Practices_SubPractices[CP],"4",Practices_SubPractices[Org],"Large"),IF(AND(Practices_SubPractices[CP]=5,Practices_SubPractices[Org]="Large"),SUMIFS(Practices_SubPractices[D],Practices_SubPractices[CP],"5",Practices_SubPractices[Org],"Large"),IF(AND(Practices_SubPractices[CP]=6,Practices_SubPractices[Org]="Large"),SUMIFS(Practices_SubPractices[D],Practices_SubPractices[CP],"6",Practices_SubPractices[Org],"Large"),IF(AND(Practices_SubPractices[CP]=7,Practices_SubPractices[Org] ="Large"),SUMIFS(Practices_SubPractices[D],Practices_SubPractices[CP],"7",Practices_SubPractices[Org],"Large"),IF(AND(Practices_SubPractices[CP]=8,Practices_SubPractices[Org] ="Large"),SUMIFS(Practices_SubPractices[D],Practices_SubPractices[CP],"8",Practices_SubPractices[Org],"Large"),IF(AND(Practices_SubPractices[CP]=9,Practices_SubPractices[Org] ="Large"),SUMIFS(Practices_SubPractices[D],Practices_SubPractices[CP],"9",Practices_SubPractices[Org],"Large"),IF(AND(Practices_SubPractices[CP]=10,Practices_SubPractices[Org] ="Large"),SUMIFS(Practices_SubPractices[D],Practices_SubPractices[CP],"10",Practices_SubPractices[Org],"Large"),"TBD"))))))))))))))))))))))))))))))</f>
        <v>14</v>
      </c>
      <c r="R131" s="77">
        <f>IF(AND(Practices_SubPractices[CP]=1,Practices_SubPractices[Org]="Small"),SUMIFS(Practices_SubPractices[E],Practices_SubPractices[CP],"1",Practices_SubPractices[Org],"Small"),IF(AND(Practices_SubPractices[CP]=2,Practices_SubPractices[Org]="Small"),SUMIFS(Practices_SubPractices[E],Practices_SubPractices[CP],"2",Practices_SubPractices[Org],"Small"),IF(AND(Practices_SubPractices[CP]=3,Practices_SubPractices[Org]="Small"),SUMIFS(Practices_SubPractices[E],Practices_SubPractices[CP],"3",Practices_SubPractices[Org],"Small"),IF(AND(Practices_SubPractices[CP]=4,Practices_SubPractices[Org]="Small"),SUMIFS(Practices_SubPractices[E],Practices_SubPractices[CP],"4",Practices_SubPractices[Org],"Small"),IF(AND(Practices_SubPractices[CP]=5,Practices_SubPractices[Org]="Small"),SUMIFS(Practices_SubPractices[E],Practices_SubPractices[CP],"5",Practices_SubPractices[Org],"Small"),IF(AND(Practices_SubPractices[CP]=6,Practices_SubPractices[Org]="Small"),SUMIFS(Practices_SubPractices[E],Practices_SubPractices[CP],"6",Practices_SubPractices[Org],"Small"),IF(AND(Practices_SubPractices[CP]=7,Practices_SubPractices[Org] ="Small"),SUMIFS(Practices_SubPractices[E],Practices_SubPractices[CP],"7",Practices_SubPractices[Org],"Small"),IF(AND(Practices_SubPractices[CP]=8,Practices_SubPractices[Org] ="Small"),SUMIFS(Practices_SubPractices[E],Practices_SubPractices[CP],"8",Practices_SubPractices[Org],"Small"),IF(AND(Practices_SubPractices[CP]=9,Practices_SubPractices[Org] ="Small"),SUMIFS(Practices_SubPractices[E],Practices_SubPractices[CP],"9",Practices_SubPractices[Org],"Small"),IF(AND(Practices_SubPractices[CP]=10,Practices_SubPractices[Org] ="Small"),SUMIFS(Practices_SubPractices[E],Practices_SubPractices[CP],"10",Practices_SubPractices[Org],"Small"),IF(AND(Practices_SubPractices[CP]=1,Practices_SubPractices[Org]="Medium"),SUMIFS(Practices_SubPractices[E],Practices_SubPractices[CP],"1",Practices_SubPractices[Org],"Medium"),IF(AND(Practices_SubPractices[CP]=2,Practices_SubPractices[Org]="Medium"),SUMIFS(Practices_SubPractices[E],Practices_SubPractices[CP],"2",Practices_SubPractices[Org],"Medium"),IF(AND(Practices_SubPractices[CP]=3,Practices_SubPractices[Org]="Medium"),SUMIFS(Practices_SubPractices[E],Practices_SubPractices[CP],"3",Practices_SubPractices[Org],"Medium"),IF(AND(Practices_SubPractices[CP]=4,Practices_SubPractices[Org]="Medium"),SUMIFS(Practices_SubPractices[E],Practices_SubPractices[CP],"4",Practices_SubPractices[Org],"Medium"),IF(AND(Practices_SubPractices[CP]=5,Practices_SubPractices[Org]="Medium"),SUMIFS(Practices_SubPractices[E],Practices_SubPractices[CP],"5",Practices_SubPractices[Org],"Medium"),IF(AND(Practices_SubPractices[CP]=6,Practices_SubPractices[Org]="Medium"),SUMIFS(Practices_SubPractices[E],Practices_SubPractices[CP],"6",Practices_SubPractices[Org],"Medium"),IF(AND(Practices_SubPractices[CP]=7,Practices_SubPractices[Org] ="Medium"),SUMIFS(Practices_SubPractices[E],Practices_SubPractices[CP],"7",Practices_SubPractices[Org],"Medium"),IF(AND(Practices_SubPractices[CP]=8,Practices_SubPractices[Org] ="Medium"),SUMIFS(Practices_SubPractices[E],Practices_SubPractices[CP],"8",Practices_SubPractices[Org],"Medium"),IF(AND(Practices_SubPractices[CP]=9,Practices_SubPractices[Org] ="Medium"),SUMIFS(Practices_SubPractices[E],Practices_SubPractices[CP],"9",Practices_SubPractices[Org],"Medium"),IF(AND(Practices_SubPractices[CP]=10,Practices_SubPractices[Org] ="Medium"),SUMIFS(Practices_SubPractices[E],Practices_SubPractices[CP],"10",Practices_SubPractices[Org],"Medium"),IF(AND(Practices_SubPractices[CP]=1,Practices_SubPractices[Org]="Large"),SUMIFS(Practices_SubPractices[E],Practices_SubPractices[CP],"1",Practices_SubPractices[Org],"Large"),IF(AND(Practices_SubPractices[CP]=2,Practices_SubPractices[Org]="Large"),SUMIFS(Practices_SubPractices[E],Practices_SubPractices[CP],"2",Practices_SubPractices[Org],"Large"),IF(AND(Practices_SubPractices[CP]=3,Practices_SubPractices[Org]="Large"),SUMIFS(Practices_SubPractices[E],Practices_SubPractices[CP],"3",Practices_SubPractices[Org],"Large"),IF(AND(Practices_SubPractices[CP]=4,Practices_SubPractices[Org]="Large"),SUMIFS(Practices_SubPractices[E],Practices_SubPractices[CP],"4",Practices_SubPractices[Org],"Large"),IF(AND(Practices_SubPractices[CP]=5,Practices_SubPractices[Org]="Large"),SUMIFS(Practices_SubPractices[E],Practices_SubPractices[CP],"5",Practices_SubPractices[Org],"Large"),IF(AND(Practices_SubPractices[CP]=6,Practices_SubPractices[Org]="Large"),SUMIFS(Practices_SubPractices[E],Practices_SubPractices[CP],"6",Practices_SubPractices[Org],"Large"),IF(AND(Practices_SubPractices[CP]=7,Practices_SubPractices[Org] ="Large"),SUMIFS(Practices_SubPractices[E],Practices_SubPractices[CP],"7",Practices_SubPractices[Org],"Large"),IF(AND(Practices_SubPractices[CP]=8,Practices_SubPractices[Org] ="Large"),SUMIFS(Practices_SubPractices[E],Practices_SubPractices[CP],"8",Practices_SubPractices[Org],"Large"),IF(AND(Practices_SubPractices[CP]=9,Practices_SubPractices[Org] ="Large"),SUMIFS(Practices_SubPractices[E],Practices_SubPractices[CP],"9",Practices_SubPractices[Org],"Large"),IF(AND(Practices_SubPractices[CP]=10,Practices_SubPractices[Org] ="Large"),SUMIFS(Practices_SubPractices[E],Practices_SubPractices[CP],"10",Practices_SubPractices[Org],"Large"),"TBD"))))))))))))))))))))))))))))))</f>
        <v>9</v>
      </c>
      <c r="S131" s="87" t="s">
        <v>447</v>
      </c>
    </row>
    <row r="132" spans="1:19" x14ac:dyDescent="0.35">
      <c r="A132" s="73">
        <v>122</v>
      </c>
      <c r="B132" s="73">
        <v>9</v>
      </c>
      <c r="C132" s="80" t="s">
        <v>12</v>
      </c>
      <c r="D132" s="73" t="str">
        <f>Practices_SubPractices[[#This Row],[CP]]&amp;LEFT(Practices_SubPractices[[#This Row],[Org]],1)</f>
        <v>9L</v>
      </c>
      <c r="E132" s="73" t="s">
        <v>265</v>
      </c>
      <c r="F132" s="74" t="s">
        <v>169</v>
      </c>
      <c r="G132" s="74" t="s">
        <v>6</v>
      </c>
      <c r="H132" s="74" t="s">
        <v>261</v>
      </c>
      <c r="I132" s="75">
        <v>0</v>
      </c>
      <c r="J132" s="75">
        <v>1</v>
      </c>
      <c r="K132" s="75">
        <v>0</v>
      </c>
      <c r="L132" s="75">
        <v>1</v>
      </c>
      <c r="M132" s="75">
        <v>2</v>
      </c>
      <c r="N132" s="76"/>
      <c r="O132" s="77">
        <f>IF(AND(Practices_SubPractices[CP]=1,Practices_SubPractices[Org]="Small"),SUMIFS(Practices_SubPractices[B],Practices_SubPractices[CP],"1",Practices_SubPractices[Org],"Small"),IF(AND(Practices_SubPractices[CP]=2,Practices_SubPractices[Org]="Small"),SUMIFS(Practices_SubPractices[B],Practices_SubPractices[CP],"2",Practices_SubPractices[Org],"Small"),IF(AND(Practices_SubPractices[CP]=3,Practices_SubPractices[Org]="Small"),SUMIFS(Practices_SubPractices[B],Practices_SubPractices[CP],"3",Practices_SubPractices[Org],"Small"),IF(AND(Practices_SubPractices[CP]=4,Practices_SubPractices[Org]="Small"),SUMIFS(Practices_SubPractices[B],Practices_SubPractices[CP],"4",Practices_SubPractices[Org],"Small"),IF(AND(Practices_SubPractices[CP]=5,Practices_SubPractices[Org]="Small"),SUMIFS(Practices_SubPractices[B],Practices_SubPractices[CP],"5",Practices_SubPractices[Org],"Small"),IF(AND(Practices_SubPractices[CP]=6,Practices_SubPractices[Org]="Small"),SUMIFS(Practices_SubPractices[B],Practices_SubPractices[CP],"6",Practices_SubPractices[Org],"Small"),IF(AND(Practices_SubPractices[CP]=7,Practices_SubPractices[Org] ="Small"),SUMIFS(Practices_SubPractices[B],Practices_SubPractices[CP],"7",Practices_SubPractices[Org],"Small"),IF(AND(Practices_SubPractices[CP]=8,Practices_SubPractices[Org] ="Small"),SUMIFS(Practices_SubPractices[B],Practices_SubPractices[CP],"8",Practices_SubPractices[Org],"Small"),IF(AND(Practices_SubPractices[CP]=9,Practices_SubPractices[Org] ="Small"),SUMIFS(Practices_SubPractices[B],Practices_SubPractices[CP],"9",Practices_SubPractices[Org],"Small"),IF(AND(Practices_SubPractices[CP]=10,Practices_SubPractices[Org] ="Small"),SUMIFS(Practices_SubPractices[B],Practices_SubPractices[CP],"10",Practices_SubPractices[Org],"Small"),IF(AND(Practices_SubPractices[CP]=1,Practices_SubPractices[Org]="Medium"),SUMIFS(Practices_SubPractices[B],Practices_SubPractices[CP],"1",Practices_SubPractices[Org],"Medium"),IF(AND(Practices_SubPractices[CP]=2,Practices_SubPractices[Org]="Medium"),SUMIFS(Practices_SubPractices[B],Practices_SubPractices[CP],"2",Practices_SubPractices[Org],"Medium"),IF(AND(Practices_SubPractices[CP]=3,Practices_SubPractices[Org]="Medium"),SUMIFS(Practices_SubPractices[B],Practices_SubPractices[CP],"3",Practices_SubPractices[Org],"Medium"),IF(AND(Practices_SubPractices[CP]=4,Practices_SubPractices[Org]="Medium"),SUMIFS(Practices_SubPractices[B],Practices_SubPractices[CP],"4",Practices_SubPractices[Org],"Medium"),IF(AND(Practices_SubPractices[CP]=5,Practices_SubPractices[Org]="Medium"),SUMIFS(Practices_SubPractices[B],Practices_SubPractices[CP],"5",Practices_SubPractices[Org],"Medium"),IF(AND(Practices_SubPractices[CP]=6,Practices_SubPractices[Org]="Medium"),SUMIFS(Practices_SubPractices[B],Practices_SubPractices[CP],"6",Practices_SubPractices[Org],"Medium"),IF(AND(Practices_SubPractices[CP]=7,Practices_SubPractices[Org] ="Medium"),SUMIFS(Practices_SubPractices[B],Practices_SubPractices[CP],"7",Practices_SubPractices[Org],"Medium"),IF(AND(Practices_SubPractices[CP]=8,Practices_SubPractices[Org] ="Medium"),SUMIFS(Practices_SubPractices[B],Practices_SubPractices[CP],"8",Practices_SubPractices[Org],"Medium"),IF(AND(Practices_SubPractices[CP]=9,Practices_SubPractices[Org] ="Medium"),SUMIFS(Practices_SubPractices[B],Practices_SubPractices[CP],"9",Practices_SubPractices[Org],"Medium"),IF(AND(Practices_SubPractices[CP]=10,Practices_SubPractices[Org] ="Medium"),SUMIFS(Practices_SubPractices[B],Practices_SubPractices[CP],"10",Practices_SubPractices[Org],"Medium"),IF(AND(Practices_SubPractices[CP]=1,Practices_SubPractices[Org]="Large"),SUMIFS(Practices_SubPractices[B],Practices_SubPractices[CP],"1",Practices_SubPractices[Org],"Large"),IF(AND(Practices_SubPractices[CP]=2,Practices_SubPractices[Org]="Large"),SUMIFS(Practices_SubPractices[B],Practices_SubPractices[CP],"2",Practices_SubPractices[Org],"Large"),IF(AND(Practices_SubPractices[CP]=3,Practices_SubPractices[Org]="Large"),SUMIFS(Practices_SubPractices[B],Practices_SubPractices[CP],"3",Practices_SubPractices[Org],"Large"),IF(AND(Practices_SubPractices[CP]=4,Practices_SubPractices[Org]="Large"),SUMIFS(Practices_SubPractices[B],Practices_SubPractices[CP],"4",Practices_SubPractices[Org],"Large"),IF(AND(Practices_SubPractices[CP]=5,Practices_SubPractices[Org]="Large"),SUMIFS(Practices_SubPractices[B],Practices_SubPractices[CP],"5",Practices_SubPractices[Org],"Large"),IF(AND(Practices_SubPractices[CP]=6,Practices_SubPractices[Org]="Large"),SUMIFS(Practices_SubPractices[B],Practices_SubPractices[CP],"6",Practices_SubPractices[Org],"Large"),IF(AND(Practices_SubPractices[CP]=7,Practices_SubPractices[Org] ="Large"),SUMIFS(Practices_SubPractices[B],Practices_SubPractices[CP],"7",Practices_SubPractices[Org],"Large"),IF(AND(Practices_SubPractices[CP]=8,Practices_SubPractices[Org] ="Large"),SUMIFS(Practices_SubPractices[B],Practices_SubPractices[CP],"8",Practices_SubPractices[Org],"Large"),IF(AND(Practices_SubPractices[CP]=9,Practices_SubPractices[Org] ="Large"),SUMIFS(Practices_SubPractices[B],Practices_SubPractices[CP],"9",Practices_SubPractices[Org],"Large"),IF(AND(Practices_SubPractices[CP]=10,Practices_SubPractices[Org] ="Large"),SUMIFS(Practices_SubPractices[B],Practices_SubPractices[CP],"10",Practices_SubPractices[Org],"Large"),"TBD"))))))))))))))))))))))))))))))</f>
        <v>6</v>
      </c>
      <c r="P132" s="77">
        <f>IF(AND(Practices_SubPractices[CP]=1,Practices_SubPractices[Org]="Small"),SUMIFS(Practices_SubPractices[C],Practices_SubPractices[CP],"1",Practices_SubPractices[Org],"Small"),IF(AND(Practices_SubPractices[CP]=2,Practices_SubPractices[Org]="Small"),SUMIFS(Practices_SubPractices[C],Practices_SubPractices[CP],"2",Practices_SubPractices[Org],"Small"),IF(AND(Practices_SubPractices[CP]=3,Practices_SubPractices[Org]="Small"),SUMIFS(Practices_SubPractices[C],Practices_SubPractices[CP],"3",Practices_SubPractices[Org],"Small"),IF(AND(Practices_SubPractices[CP]=4,Practices_SubPractices[Org]="Small"),SUMIFS(Practices_SubPractices[C],Practices_SubPractices[CP],"4",Practices_SubPractices[Org],"Small"),IF(AND(Practices_SubPractices[CP]=5,Practices_SubPractices[Org]="Small"),SUMIFS(Practices_SubPractices[C],Practices_SubPractices[CP],"5",Practices_SubPractices[Org],"Small"),IF(AND(Practices_SubPractices[CP]=6,Practices_SubPractices[Org]="Small"),SUMIFS(Practices_SubPractices[C],Practices_SubPractices[CP],"6",Practices_SubPractices[Org],"Small"),IF(AND(Practices_SubPractices[CP]=7,Practices_SubPractices[Org] ="Small"),SUMIFS(Practices_SubPractices[C],Practices_SubPractices[CP],"7",Practices_SubPractices[Org],"Small"),IF(AND(Practices_SubPractices[CP]=8,Practices_SubPractices[Org] ="Small"),SUMIFS(Practices_SubPractices[C],Practices_SubPractices[CP],"8",Practices_SubPractices[Org],"Small"),IF(AND(Practices_SubPractices[CP]=9,Practices_SubPractices[Org] ="Small"),SUMIFS(Practices_SubPractices[C],Practices_SubPractices[CP],"9",Practices_SubPractices[Org],"Small"),IF(AND(Practices_SubPractices[CP]=10,Practices_SubPractices[Org] ="Small"),SUMIFS(Practices_SubPractices[C],Practices_SubPractices[CP],"10",Practices_SubPractices[Org],"Small"),IF(AND(Practices_SubPractices[CP]=1,Practices_SubPractices[Org]="Medium"),SUMIFS(Practices_SubPractices[C],Practices_SubPractices[CP],"1",Practices_SubPractices[Org],"Medium"),IF(AND(Practices_SubPractices[CP]=2,Practices_SubPractices[Org]="Medium"),SUMIFS(Practices_SubPractices[C],Practices_SubPractices[CP],"2",Practices_SubPractices[Org],"Medium"),IF(AND(Practices_SubPractices[CP]=3,Practices_SubPractices[Org]="Medium"),SUMIFS(Practices_SubPractices[C],Practices_SubPractices[CP],"3",Practices_SubPractices[Org],"Medium"),IF(AND(Practices_SubPractices[CP]=4,Practices_SubPractices[Org]="Medium"),SUMIFS(Practices_SubPractices[C],Practices_SubPractices[CP],"4",Practices_SubPractices[Org],"Medium"),IF(AND(Practices_SubPractices[CP]=5,Practices_SubPractices[Org]="Medium"),SUMIFS(Practices_SubPractices[C],Practices_SubPractices[CP],"5",Practices_SubPractices[Org],"Medium"),IF(AND(Practices_SubPractices[CP]=6,Practices_SubPractices[Org]="Medium"),SUMIFS(Practices_SubPractices[C],Practices_SubPractices[CP],"6",Practices_SubPractices[Org],"Medium"),IF(AND(Practices_SubPractices[CP]=7,Practices_SubPractices[Org] ="Medium"),SUMIFS(Practices_SubPractices[C],Practices_SubPractices[CP],"7",Practices_SubPractices[Org],"Medium"),IF(AND(Practices_SubPractices[CP]=8,Practices_SubPractices[Org] ="Medium"),SUMIFS(Practices_SubPractices[C],Practices_SubPractices[CP],"8",Practices_SubPractices[Org],"Medium"),IF(AND(Practices_SubPractices[CP]=9,Practices_SubPractices[Org] ="Medium"),SUMIFS(Practices_SubPractices[C],Practices_SubPractices[CP],"9",Practices_SubPractices[Org],"Medium"),IF(AND(Practices_SubPractices[CP]=10,Practices_SubPractices[Org] ="Medium"),SUMIFS(Practices_SubPractices[C],Practices_SubPractices[CP],"10",Practices_SubPractices[Org],"Medium"),IF(AND(Practices_SubPractices[CP]=1,Practices_SubPractices[Org]="Large"),SUMIFS(Practices_SubPractices[C],Practices_SubPractices[CP],"1",Practices_SubPractices[Org],"Large"),IF(AND(Practices_SubPractices[CP]=2,Practices_SubPractices[Org]="Large"),SUMIFS(Practices_SubPractices[C],Practices_SubPractices[CP],"2",Practices_SubPractices[Org],"Large"),IF(AND(Practices_SubPractices[CP]=3,Practices_SubPractices[Org]="Large"),SUMIFS(Practices_SubPractices[C],Practices_SubPractices[CP],"3",Practices_SubPractices[Org],"Large"),IF(AND(Practices_SubPractices[CP]=4,Practices_SubPractices[Org]="Large"),SUMIFS(Practices_SubPractices[C],Practices_SubPractices[CP],"4",Practices_SubPractices[Org],"Large"),IF(AND(Practices_SubPractices[CP]=5,Practices_SubPractices[Org]="Large"),SUMIFS(Practices_SubPractices[C],Practices_SubPractices[CP],"5",Practices_SubPractices[Org],"Large"),IF(AND(Practices_SubPractices[CP]=6,Practices_SubPractices[Org]="Large"),SUMIFS(Practices_SubPractices[C],Practices_SubPractices[CP],"6",Practices_SubPractices[Org],"Large"),IF(AND(Practices_SubPractices[CP]=7,Practices_SubPractices[Org] ="Large"),SUMIFS(Practices_SubPractices[C],Practices_SubPractices[CP],"7",Practices_SubPractices[Org],"Large"),IF(AND(Practices_SubPractices[CP]=8,Practices_SubPractices[Org] ="Large"),SUMIFS(Practices_SubPractices[C],Practices_SubPractices[CP],"8",Practices_SubPractices[Org],"Large"),IF(AND(Practices_SubPractices[CP]=9,Practices_SubPractices[Org] ="Large"),SUMIFS(Practices_SubPractices[C],Practices_SubPractices[CP],"9",Practices_SubPractices[Org],"Large"),IF(AND(Practices_SubPractices[CP]=10,Practices_SubPractices[Org] ="Large"),SUMIFS(Practices_SubPractices[C],Practices_SubPractices[CP],"10",Practices_SubPractices[Org],"Large"),"TBD"))))))))))))))))))))))))))))))</f>
        <v>0</v>
      </c>
      <c r="Q132" s="77">
        <f>IF(AND(Practices_SubPractices[CP]=1,Practices_SubPractices[Org]="Small"),SUMIFS(Practices_SubPractices[D],Practices_SubPractices[CP],"1",Practices_SubPractices[Org],"Small"),IF(AND(Practices_SubPractices[CP]=2,Practices_SubPractices[Org]="Small"),SUMIFS(Practices_SubPractices[D],Practices_SubPractices[CP],"2",Practices_SubPractices[Org],"Small"),IF(AND(Practices_SubPractices[CP]=3,Practices_SubPractices[Org]="Small"),SUMIFS(Practices_SubPractices[D],Practices_SubPractices[CP],"3",Practices_SubPractices[Org],"Small"),IF(AND(Practices_SubPractices[CP]=4,Practices_SubPractices[Org]="Small"),SUMIFS(Practices_SubPractices[D],Practices_SubPractices[CP],"4",Practices_SubPractices[Org],"Small"),IF(AND(Practices_SubPractices[CP]=5,Practices_SubPractices[Org]="Small"),SUMIFS(Practices_SubPractices[D],Practices_SubPractices[CP],"5",Practices_SubPractices[Org],"Small"),IF(AND(Practices_SubPractices[CP]=6,Practices_SubPractices[Org]="Small"),SUMIFS(Practices_SubPractices[D],Practices_SubPractices[CP],"6",Practices_SubPractices[Org],"Small"),IF(AND(Practices_SubPractices[CP]=7,Practices_SubPractices[Org] ="Small"),SUMIFS(Practices_SubPractices[D],Practices_SubPractices[CP],"7",Practices_SubPractices[Org],"Small"),IF(AND(Practices_SubPractices[CP]=8,Practices_SubPractices[Org] ="Small"),SUMIFS(Practices_SubPractices[D],Practices_SubPractices[CP],"8",Practices_SubPractices[Org],"Small"),IF(AND(Practices_SubPractices[CP]=9,Practices_SubPractices[Org] ="Small"),SUMIFS(Practices_SubPractices[D],Practices_SubPractices[CP],"9",Practices_SubPractices[Org],"Small"),IF(AND(Practices_SubPractices[CP]=10,Practices_SubPractices[Org] ="Small"),SUMIFS(Practices_SubPractices[D],Practices_SubPractices[CP],"10",Practices_SubPractices[Org],"Small"),IF(AND(Practices_SubPractices[CP]=1,Practices_SubPractices[Org]="Medium"),SUMIFS(Practices_SubPractices[D],Practices_SubPractices[CP],"1",Practices_SubPractices[Org],"Medium"),IF(AND(Practices_SubPractices[CP]=2,Practices_SubPractices[Org]="Medium"),SUMIFS(Practices_SubPractices[D],Practices_SubPractices[CP],"2",Practices_SubPractices[Org],"Medium"),IF(AND(Practices_SubPractices[CP]=3,Practices_SubPractices[Org]="Medium"),SUMIFS(Practices_SubPractices[D],Practices_SubPractices[CP],"3",Practices_SubPractices[Org],"Medium"),IF(AND(Practices_SubPractices[CP]=4,Practices_SubPractices[Org]="Medium"),SUMIFS(Practices_SubPractices[D],Practices_SubPractices[CP],"4",Practices_SubPractices[Org],"Medium"),IF(AND(Practices_SubPractices[CP]=5,Practices_SubPractices[Org]="Medium"),SUMIFS(Practices_SubPractices[D],Practices_SubPractices[CP],"5",Practices_SubPractices[Org],"Medium"),IF(AND(Practices_SubPractices[CP]=6,Practices_SubPractices[Org]="Medium"),SUMIFS(Practices_SubPractices[D],Practices_SubPractices[CP],"6",Practices_SubPractices[Org],"Medium"),IF(AND(Practices_SubPractices[CP]=7,Practices_SubPractices[Org] ="Medium"),SUMIFS(Practices_SubPractices[D],Practices_SubPractices[CP],"7",Practices_SubPractices[Org],"Medium"),IF(AND(Practices_SubPractices[CP]=8,Practices_SubPractices[Org] ="Medium"),SUMIFS(Practices_SubPractices[D],Practices_SubPractices[CP],"8",Practices_SubPractices[Org],"Medium"),IF(AND(Practices_SubPractices[CP]=9,Practices_SubPractices[Org] ="Medium"),SUMIFS(Practices_SubPractices[D],Practices_SubPractices[CP],"9",Practices_SubPractices[Org],"Medium"),IF(AND(Practices_SubPractices[CP]=10,Practices_SubPractices[Org] ="Medium"),SUMIFS(Practices_SubPractices[D],Practices_SubPractices[CP],"10",Practices_SubPractices[Org],"Medium"),IF(AND(Practices_SubPractices[CP]=1,Practices_SubPractices[Org]="Large"),SUMIFS(Practices_SubPractices[D],Practices_SubPractices[CP],"1",Practices_SubPractices[Org],"Large"),IF(AND(Practices_SubPractices[CP]=2,Practices_SubPractices[Org]="Large"),SUMIFS(Practices_SubPractices[D],Practices_SubPractices[CP],"2",Practices_SubPractices[Org],"Large"),IF(AND(Practices_SubPractices[CP]=3,Practices_SubPractices[Org]="Large"),SUMIFS(Practices_SubPractices[D],Practices_SubPractices[CP],"3",Practices_SubPractices[Org],"Large"),IF(AND(Practices_SubPractices[CP]=4,Practices_SubPractices[Org]="Large"),SUMIFS(Practices_SubPractices[D],Practices_SubPractices[CP],"4",Practices_SubPractices[Org],"Large"),IF(AND(Practices_SubPractices[CP]=5,Practices_SubPractices[Org]="Large"),SUMIFS(Practices_SubPractices[D],Practices_SubPractices[CP],"5",Practices_SubPractices[Org],"Large"),IF(AND(Practices_SubPractices[CP]=6,Practices_SubPractices[Org]="Large"),SUMIFS(Practices_SubPractices[D],Practices_SubPractices[CP],"6",Practices_SubPractices[Org],"Large"),IF(AND(Practices_SubPractices[CP]=7,Practices_SubPractices[Org] ="Large"),SUMIFS(Practices_SubPractices[D],Practices_SubPractices[CP],"7",Practices_SubPractices[Org],"Large"),IF(AND(Practices_SubPractices[CP]=8,Practices_SubPractices[Org] ="Large"),SUMIFS(Practices_SubPractices[D],Practices_SubPractices[CP],"8",Practices_SubPractices[Org],"Large"),IF(AND(Practices_SubPractices[CP]=9,Practices_SubPractices[Org] ="Large"),SUMIFS(Practices_SubPractices[D],Practices_SubPractices[CP],"9",Practices_SubPractices[Org],"Large"),IF(AND(Practices_SubPractices[CP]=10,Practices_SubPractices[Org] ="Large"),SUMIFS(Practices_SubPractices[D],Practices_SubPractices[CP],"10",Practices_SubPractices[Org],"Large"),"TBD"))))))))))))))))))))))))))))))</f>
        <v>6</v>
      </c>
      <c r="R132" s="77">
        <f>IF(AND(Practices_SubPractices[CP]=1,Practices_SubPractices[Org]="Small"),SUMIFS(Practices_SubPractices[E],Practices_SubPractices[CP],"1",Practices_SubPractices[Org],"Small"),IF(AND(Practices_SubPractices[CP]=2,Practices_SubPractices[Org]="Small"),SUMIFS(Practices_SubPractices[E],Practices_SubPractices[CP],"2",Practices_SubPractices[Org],"Small"),IF(AND(Practices_SubPractices[CP]=3,Practices_SubPractices[Org]="Small"),SUMIFS(Practices_SubPractices[E],Practices_SubPractices[CP],"3",Practices_SubPractices[Org],"Small"),IF(AND(Practices_SubPractices[CP]=4,Practices_SubPractices[Org]="Small"),SUMIFS(Practices_SubPractices[E],Practices_SubPractices[CP],"4",Practices_SubPractices[Org],"Small"),IF(AND(Practices_SubPractices[CP]=5,Practices_SubPractices[Org]="Small"),SUMIFS(Practices_SubPractices[E],Practices_SubPractices[CP],"5",Practices_SubPractices[Org],"Small"),IF(AND(Practices_SubPractices[CP]=6,Practices_SubPractices[Org]="Small"),SUMIFS(Practices_SubPractices[E],Practices_SubPractices[CP],"6",Practices_SubPractices[Org],"Small"),IF(AND(Practices_SubPractices[CP]=7,Practices_SubPractices[Org] ="Small"),SUMIFS(Practices_SubPractices[E],Practices_SubPractices[CP],"7",Practices_SubPractices[Org],"Small"),IF(AND(Practices_SubPractices[CP]=8,Practices_SubPractices[Org] ="Small"),SUMIFS(Practices_SubPractices[E],Practices_SubPractices[CP],"8",Practices_SubPractices[Org],"Small"),IF(AND(Practices_SubPractices[CP]=9,Practices_SubPractices[Org] ="Small"),SUMIFS(Practices_SubPractices[E],Practices_SubPractices[CP],"9",Practices_SubPractices[Org],"Small"),IF(AND(Practices_SubPractices[CP]=10,Practices_SubPractices[Org] ="Small"),SUMIFS(Practices_SubPractices[E],Practices_SubPractices[CP],"10",Practices_SubPractices[Org],"Small"),IF(AND(Practices_SubPractices[CP]=1,Practices_SubPractices[Org]="Medium"),SUMIFS(Practices_SubPractices[E],Practices_SubPractices[CP],"1",Practices_SubPractices[Org],"Medium"),IF(AND(Practices_SubPractices[CP]=2,Practices_SubPractices[Org]="Medium"),SUMIFS(Practices_SubPractices[E],Practices_SubPractices[CP],"2",Practices_SubPractices[Org],"Medium"),IF(AND(Practices_SubPractices[CP]=3,Practices_SubPractices[Org]="Medium"),SUMIFS(Practices_SubPractices[E],Practices_SubPractices[CP],"3",Practices_SubPractices[Org],"Medium"),IF(AND(Practices_SubPractices[CP]=4,Practices_SubPractices[Org]="Medium"),SUMIFS(Practices_SubPractices[E],Practices_SubPractices[CP],"4",Practices_SubPractices[Org],"Medium"),IF(AND(Practices_SubPractices[CP]=5,Practices_SubPractices[Org]="Medium"),SUMIFS(Practices_SubPractices[E],Practices_SubPractices[CP],"5",Practices_SubPractices[Org],"Medium"),IF(AND(Practices_SubPractices[CP]=6,Practices_SubPractices[Org]="Medium"),SUMIFS(Practices_SubPractices[E],Practices_SubPractices[CP],"6",Practices_SubPractices[Org],"Medium"),IF(AND(Practices_SubPractices[CP]=7,Practices_SubPractices[Org] ="Medium"),SUMIFS(Practices_SubPractices[E],Practices_SubPractices[CP],"7",Practices_SubPractices[Org],"Medium"),IF(AND(Practices_SubPractices[CP]=8,Practices_SubPractices[Org] ="Medium"),SUMIFS(Practices_SubPractices[E],Practices_SubPractices[CP],"8",Practices_SubPractices[Org],"Medium"),IF(AND(Practices_SubPractices[CP]=9,Practices_SubPractices[Org] ="Medium"),SUMIFS(Practices_SubPractices[E],Practices_SubPractices[CP],"9",Practices_SubPractices[Org],"Medium"),IF(AND(Practices_SubPractices[CP]=10,Practices_SubPractices[Org] ="Medium"),SUMIFS(Practices_SubPractices[E],Practices_SubPractices[CP],"10",Practices_SubPractices[Org],"Medium"),IF(AND(Practices_SubPractices[CP]=1,Practices_SubPractices[Org]="Large"),SUMIFS(Practices_SubPractices[E],Practices_SubPractices[CP],"1",Practices_SubPractices[Org],"Large"),IF(AND(Practices_SubPractices[CP]=2,Practices_SubPractices[Org]="Large"),SUMIFS(Practices_SubPractices[E],Practices_SubPractices[CP],"2",Practices_SubPractices[Org],"Large"),IF(AND(Practices_SubPractices[CP]=3,Practices_SubPractices[Org]="Large"),SUMIFS(Practices_SubPractices[E],Practices_SubPractices[CP],"3",Practices_SubPractices[Org],"Large"),IF(AND(Practices_SubPractices[CP]=4,Practices_SubPractices[Org]="Large"),SUMIFS(Practices_SubPractices[E],Practices_SubPractices[CP],"4",Practices_SubPractices[Org],"Large"),IF(AND(Practices_SubPractices[CP]=5,Practices_SubPractices[Org]="Large"),SUMIFS(Practices_SubPractices[E],Practices_SubPractices[CP],"5",Practices_SubPractices[Org],"Large"),IF(AND(Practices_SubPractices[CP]=6,Practices_SubPractices[Org]="Large"),SUMIFS(Practices_SubPractices[E],Practices_SubPractices[CP],"6",Practices_SubPractices[Org],"Large"),IF(AND(Practices_SubPractices[CP]=7,Practices_SubPractices[Org] ="Large"),SUMIFS(Practices_SubPractices[E],Practices_SubPractices[CP],"7",Practices_SubPractices[Org],"Large"),IF(AND(Practices_SubPractices[CP]=8,Practices_SubPractices[Org] ="Large"),SUMIFS(Practices_SubPractices[E],Practices_SubPractices[CP],"8",Practices_SubPractices[Org],"Large"),IF(AND(Practices_SubPractices[CP]=9,Practices_SubPractices[Org] ="Large"),SUMIFS(Practices_SubPractices[E],Practices_SubPractices[CP],"9",Practices_SubPractices[Org],"Large"),IF(AND(Practices_SubPractices[CP]=10,Practices_SubPractices[Org] ="Large"),SUMIFS(Practices_SubPractices[E],Practices_SubPractices[CP],"10",Practices_SubPractices[Org],"Large"),"TBD"))))))))))))))))))))))))))))))</f>
        <v>18</v>
      </c>
      <c r="S132" s="87" t="s">
        <v>449</v>
      </c>
    </row>
    <row r="133" spans="1:19" x14ac:dyDescent="0.35">
      <c r="A133" s="73">
        <v>123</v>
      </c>
      <c r="B133" s="73">
        <v>9</v>
      </c>
      <c r="C133" s="80" t="s">
        <v>12</v>
      </c>
      <c r="D133" s="73" t="str">
        <f>Practices_SubPractices[[#This Row],[CP]]&amp;LEFT(Practices_SubPractices[[#This Row],[Org]],1)</f>
        <v>9L</v>
      </c>
      <c r="E133" s="73" t="s">
        <v>266</v>
      </c>
      <c r="F133" s="74" t="s">
        <v>170</v>
      </c>
      <c r="G133" s="74" t="s">
        <v>173</v>
      </c>
      <c r="H133" s="74" t="s">
        <v>262</v>
      </c>
      <c r="I133" s="75">
        <v>0</v>
      </c>
      <c r="J133" s="75">
        <v>0</v>
      </c>
      <c r="K133" s="75">
        <v>0</v>
      </c>
      <c r="L133" s="75">
        <v>0</v>
      </c>
      <c r="M133" s="75">
        <v>2</v>
      </c>
      <c r="N133" s="76"/>
      <c r="O133" s="77">
        <f>IF(AND(Practices_SubPractices[CP]=1,Practices_SubPractices[Org]="Small"),SUMIFS(Practices_SubPractices[B],Practices_SubPractices[CP],"1",Practices_SubPractices[Org],"Small"),IF(AND(Practices_SubPractices[CP]=2,Practices_SubPractices[Org]="Small"),SUMIFS(Practices_SubPractices[B],Practices_SubPractices[CP],"2",Practices_SubPractices[Org],"Small"),IF(AND(Practices_SubPractices[CP]=3,Practices_SubPractices[Org]="Small"),SUMIFS(Practices_SubPractices[B],Practices_SubPractices[CP],"3",Practices_SubPractices[Org],"Small"),IF(AND(Practices_SubPractices[CP]=4,Practices_SubPractices[Org]="Small"),SUMIFS(Practices_SubPractices[B],Practices_SubPractices[CP],"4",Practices_SubPractices[Org],"Small"),IF(AND(Practices_SubPractices[CP]=5,Practices_SubPractices[Org]="Small"),SUMIFS(Practices_SubPractices[B],Practices_SubPractices[CP],"5",Practices_SubPractices[Org],"Small"),IF(AND(Practices_SubPractices[CP]=6,Practices_SubPractices[Org]="Small"),SUMIFS(Practices_SubPractices[B],Practices_SubPractices[CP],"6",Practices_SubPractices[Org],"Small"),IF(AND(Practices_SubPractices[CP]=7,Practices_SubPractices[Org] ="Small"),SUMIFS(Practices_SubPractices[B],Practices_SubPractices[CP],"7",Practices_SubPractices[Org],"Small"),IF(AND(Practices_SubPractices[CP]=8,Practices_SubPractices[Org] ="Small"),SUMIFS(Practices_SubPractices[B],Practices_SubPractices[CP],"8",Practices_SubPractices[Org],"Small"),IF(AND(Practices_SubPractices[CP]=9,Practices_SubPractices[Org] ="Small"),SUMIFS(Practices_SubPractices[B],Practices_SubPractices[CP],"9",Practices_SubPractices[Org],"Small"),IF(AND(Practices_SubPractices[CP]=10,Practices_SubPractices[Org] ="Small"),SUMIFS(Practices_SubPractices[B],Practices_SubPractices[CP],"10",Practices_SubPractices[Org],"Small"),IF(AND(Practices_SubPractices[CP]=1,Practices_SubPractices[Org]="Medium"),SUMIFS(Practices_SubPractices[B],Practices_SubPractices[CP],"1",Practices_SubPractices[Org],"Medium"),IF(AND(Practices_SubPractices[CP]=2,Practices_SubPractices[Org]="Medium"),SUMIFS(Practices_SubPractices[B],Practices_SubPractices[CP],"2",Practices_SubPractices[Org],"Medium"),IF(AND(Practices_SubPractices[CP]=3,Practices_SubPractices[Org]="Medium"),SUMIFS(Practices_SubPractices[B],Practices_SubPractices[CP],"3",Practices_SubPractices[Org],"Medium"),IF(AND(Practices_SubPractices[CP]=4,Practices_SubPractices[Org]="Medium"),SUMIFS(Practices_SubPractices[B],Practices_SubPractices[CP],"4",Practices_SubPractices[Org],"Medium"),IF(AND(Practices_SubPractices[CP]=5,Practices_SubPractices[Org]="Medium"),SUMIFS(Practices_SubPractices[B],Practices_SubPractices[CP],"5",Practices_SubPractices[Org],"Medium"),IF(AND(Practices_SubPractices[CP]=6,Practices_SubPractices[Org]="Medium"),SUMIFS(Practices_SubPractices[B],Practices_SubPractices[CP],"6",Practices_SubPractices[Org],"Medium"),IF(AND(Practices_SubPractices[CP]=7,Practices_SubPractices[Org] ="Medium"),SUMIFS(Practices_SubPractices[B],Practices_SubPractices[CP],"7",Practices_SubPractices[Org],"Medium"),IF(AND(Practices_SubPractices[CP]=8,Practices_SubPractices[Org] ="Medium"),SUMIFS(Practices_SubPractices[B],Practices_SubPractices[CP],"8",Practices_SubPractices[Org],"Medium"),IF(AND(Practices_SubPractices[CP]=9,Practices_SubPractices[Org] ="Medium"),SUMIFS(Practices_SubPractices[B],Practices_SubPractices[CP],"9",Practices_SubPractices[Org],"Medium"),IF(AND(Practices_SubPractices[CP]=10,Practices_SubPractices[Org] ="Medium"),SUMIFS(Practices_SubPractices[B],Practices_SubPractices[CP],"10",Practices_SubPractices[Org],"Medium"),IF(AND(Practices_SubPractices[CP]=1,Practices_SubPractices[Org]="Large"),SUMIFS(Practices_SubPractices[B],Practices_SubPractices[CP],"1",Practices_SubPractices[Org],"Large"),IF(AND(Practices_SubPractices[CP]=2,Practices_SubPractices[Org]="Large"),SUMIFS(Practices_SubPractices[B],Practices_SubPractices[CP],"2",Practices_SubPractices[Org],"Large"),IF(AND(Practices_SubPractices[CP]=3,Practices_SubPractices[Org]="Large"),SUMIFS(Practices_SubPractices[B],Practices_SubPractices[CP],"3",Practices_SubPractices[Org],"Large"),IF(AND(Practices_SubPractices[CP]=4,Practices_SubPractices[Org]="Large"),SUMIFS(Practices_SubPractices[B],Practices_SubPractices[CP],"4",Practices_SubPractices[Org],"Large"),IF(AND(Practices_SubPractices[CP]=5,Practices_SubPractices[Org]="Large"),SUMIFS(Practices_SubPractices[B],Practices_SubPractices[CP],"5",Practices_SubPractices[Org],"Large"),IF(AND(Practices_SubPractices[CP]=6,Practices_SubPractices[Org]="Large"),SUMIFS(Practices_SubPractices[B],Practices_SubPractices[CP],"6",Practices_SubPractices[Org],"Large"),IF(AND(Practices_SubPractices[CP]=7,Practices_SubPractices[Org] ="Large"),SUMIFS(Practices_SubPractices[B],Practices_SubPractices[CP],"7",Practices_SubPractices[Org],"Large"),IF(AND(Practices_SubPractices[CP]=8,Practices_SubPractices[Org] ="Large"),SUMIFS(Practices_SubPractices[B],Practices_SubPractices[CP],"8",Practices_SubPractices[Org],"Large"),IF(AND(Practices_SubPractices[CP]=9,Practices_SubPractices[Org] ="Large"),SUMIFS(Practices_SubPractices[B],Practices_SubPractices[CP],"9",Practices_SubPractices[Org],"Large"),IF(AND(Practices_SubPractices[CP]=10,Practices_SubPractices[Org] ="Large"),SUMIFS(Practices_SubPractices[B],Practices_SubPractices[CP],"10",Practices_SubPractices[Org],"Large"),"TBD"))))))))))))))))))))))))))))))</f>
        <v>6</v>
      </c>
      <c r="P133" s="77">
        <f>IF(AND(Practices_SubPractices[CP]=1,Practices_SubPractices[Org]="Small"),SUMIFS(Practices_SubPractices[C],Practices_SubPractices[CP],"1",Practices_SubPractices[Org],"Small"),IF(AND(Practices_SubPractices[CP]=2,Practices_SubPractices[Org]="Small"),SUMIFS(Practices_SubPractices[C],Practices_SubPractices[CP],"2",Practices_SubPractices[Org],"Small"),IF(AND(Practices_SubPractices[CP]=3,Practices_SubPractices[Org]="Small"),SUMIFS(Practices_SubPractices[C],Practices_SubPractices[CP],"3",Practices_SubPractices[Org],"Small"),IF(AND(Practices_SubPractices[CP]=4,Practices_SubPractices[Org]="Small"),SUMIFS(Practices_SubPractices[C],Practices_SubPractices[CP],"4",Practices_SubPractices[Org],"Small"),IF(AND(Practices_SubPractices[CP]=5,Practices_SubPractices[Org]="Small"),SUMIFS(Practices_SubPractices[C],Practices_SubPractices[CP],"5",Practices_SubPractices[Org],"Small"),IF(AND(Practices_SubPractices[CP]=6,Practices_SubPractices[Org]="Small"),SUMIFS(Practices_SubPractices[C],Practices_SubPractices[CP],"6",Practices_SubPractices[Org],"Small"),IF(AND(Practices_SubPractices[CP]=7,Practices_SubPractices[Org] ="Small"),SUMIFS(Practices_SubPractices[C],Practices_SubPractices[CP],"7",Practices_SubPractices[Org],"Small"),IF(AND(Practices_SubPractices[CP]=8,Practices_SubPractices[Org] ="Small"),SUMIFS(Practices_SubPractices[C],Practices_SubPractices[CP],"8",Practices_SubPractices[Org],"Small"),IF(AND(Practices_SubPractices[CP]=9,Practices_SubPractices[Org] ="Small"),SUMIFS(Practices_SubPractices[C],Practices_SubPractices[CP],"9",Practices_SubPractices[Org],"Small"),IF(AND(Practices_SubPractices[CP]=10,Practices_SubPractices[Org] ="Small"),SUMIFS(Practices_SubPractices[C],Practices_SubPractices[CP],"10",Practices_SubPractices[Org],"Small"),IF(AND(Practices_SubPractices[CP]=1,Practices_SubPractices[Org]="Medium"),SUMIFS(Practices_SubPractices[C],Practices_SubPractices[CP],"1",Practices_SubPractices[Org],"Medium"),IF(AND(Practices_SubPractices[CP]=2,Practices_SubPractices[Org]="Medium"),SUMIFS(Practices_SubPractices[C],Practices_SubPractices[CP],"2",Practices_SubPractices[Org],"Medium"),IF(AND(Practices_SubPractices[CP]=3,Practices_SubPractices[Org]="Medium"),SUMIFS(Practices_SubPractices[C],Practices_SubPractices[CP],"3",Practices_SubPractices[Org],"Medium"),IF(AND(Practices_SubPractices[CP]=4,Practices_SubPractices[Org]="Medium"),SUMIFS(Practices_SubPractices[C],Practices_SubPractices[CP],"4",Practices_SubPractices[Org],"Medium"),IF(AND(Practices_SubPractices[CP]=5,Practices_SubPractices[Org]="Medium"),SUMIFS(Practices_SubPractices[C],Practices_SubPractices[CP],"5",Practices_SubPractices[Org],"Medium"),IF(AND(Practices_SubPractices[CP]=6,Practices_SubPractices[Org]="Medium"),SUMIFS(Practices_SubPractices[C],Practices_SubPractices[CP],"6",Practices_SubPractices[Org],"Medium"),IF(AND(Practices_SubPractices[CP]=7,Practices_SubPractices[Org] ="Medium"),SUMIFS(Practices_SubPractices[C],Practices_SubPractices[CP],"7",Practices_SubPractices[Org],"Medium"),IF(AND(Practices_SubPractices[CP]=8,Practices_SubPractices[Org] ="Medium"),SUMIFS(Practices_SubPractices[C],Practices_SubPractices[CP],"8",Practices_SubPractices[Org],"Medium"),IF(AND(Practices_SubPractices[CP]=9,Practices_SubPractices[Org] ="Medium"),SUMIFS(Practices_SubPractices[C],Practices_SubPractices[CP],"9",Practices_SubPractices[Org],"Medium"),IF(AND(Practices_SubPractices[CP]=10,Practices_SubPractices[Org] ="Medium"),SUMIFS(Practices_SubPractices[C],Practices_SubPractices[CP],"10",Practices_SubPractices[Org],"Medium"),IF(AND(Practices_SubPractices[CP]=1,Practices_SubPractices[Org]="Large"),SUMIFS(Practices_SubPractices[C],Practices_SubPractices[CP],"1",Practices_SubPractices[Org],"Large"),IF(AND(Practices_SubPractices[CP]=2,Practices_SubPractices[Org]="Large"),SUMIFS(Practices_SubPractices[C],Practices_SubPractices[CP],"2",Practices_SubPractices[Org],"Large"),IF(AND(Practices_SubPractices[CP]=3,Practices_SubPractices[Org]="Large"),SUMIFS(Practices_SubPractices[C],Practices_SubPractices[CP],"3",Practices_SubPractices[Org],"Large"),IF(AND(Practices_SubPractices[CP]=4,Practices_SubPractices[Org]="Large"),SUMIFS(Practices_SubPractices[C],Practices_SubPractices[CP],"4",Practices_SubPractices[Org],"Large"),IF(AND(Practices_SubPractices[CP]=5,Practices_SubPractices[Org]="Large"),SUMIFS(Practices_SubPractices[C],Practices_SubPractices[CP],"5",Practices_SubPractices[Org],"Large"),IF(AND(Practices_SubPractices[CP]=6,Practices_SubPractices[Org]="Large"),SUMIFS(Practices_SubPractices[C],Practices_SubPractices[CP],"6",Practices_SubPractices[Org],"Large"),IF(AND(Practices_SubPractices[CP]=7,Practices_SubPractices[Org] ="Large"),SUMIFS(Practices_SubPractices[C],Practices_SubPractices[CP],"7",Practices_SubPractices[Org],"Large"),IF(AND(Practices_SubPractices[CP]=8,Practices_SubPractices[Org] ="Large"),SUMIFS(Practices_SubPractices[C],Practices_SubPractices[CP],"8",Practices_SubPractices[Org],"Large"),IF(AND(Practices_SubPractices[CP]=9,Practices_SubPractices[Org] ="Large"),SUMIFS(Practices_SubPractices[C],Practices_SubPractices[CP],"9",Practices_SubPractices[Org],"Large"),IF(AND(Practices_SubPractices[CP]=10,Practices_SubPractices[Org] ="Large"),SUMIFS(Practices_SubPractices[C],Practices_SubPractices[CP],"10",Practices_SubPractices[Org],"Large"),"TBD"))))))))))))))))))))))))))))))</f>
        <v>0</v>
      </c>
      <c r="Q133" s="77">
        <f>IF(AND(Practices_SubPractices[CP]=1,Practices_SubPractices[Org]="Small"),SUMIFS(Practices_SubPractices[D],Practices_SubPractices[CP],"1",Practices_SubPractices[Org],"Small"),IF(AND(Practices_SubPractices[CP]=2,Practices_SubPractices[Org]="Small"),SUMIFS(Practices_SubPractices[D],Practices_SubPractices[CP],"2",Practices_SubPractices[Org],"Small"),IF(AND(Practices_SubPractices[CP]=3,Practices_SubPractices[Org]="Small"),SUMIFS(Practices_SubPractices[D],Practices_SubPractices[CP],"3",Practices_SubPractices[Org],"Small"),IF(AND(Practices_SubPractices[CP]=4,Practices_SubPractices[Org]="Small"),SUMIFS(Practices_SubPractices[D],Practices_SubPractices[CP],"4",Practices_SubPractices[Org],"Small"),IF(AND(Practices_SubPractices[CP]=5,Practices_SubPractices[Org]="Small"),SUMIFS(Practices_SubPractices[D],Practices_SubPractices[CP],"5",Practices_SubPractices[Org],"Small"),IF(AND(Practices_SubPractices[CP]=6,Practices_SubPractices[Org]="Small"),SUMIFS(Practices_SubPractices[D],Practices_SubPractices[CP],"6",Practices_SubPractices[Org],"Small"),IF(AND(Practices_SubPractices[CP]=7,Practices_SubPractices[Org] ="Small"),SUMIFS(Practices_SubPractices[D],Practices_SubPractices[CP],"7",Practices_SubPractices[Org],"Small"),IF(AND(Practices_SubPractices[CP]=8,Practices_SubPractices[Org] ="Small"),SUMIFS(Practices_SubPractices[D],Practices_SubPractices[CP],"8",Practices_SubPractices[Org],"Small"),IF(AND(Practices_SubPractices[CP]=9,Practices_SubPractices[Org] ="Small"),SUMIFS(Practices_SubPractices[D],Practices_SubPractices[CP],"9",Practices_SubPractices[Org],"Small"),IF(AND(Practices_SubPractices[CP]=10,Practices_SubPractices[Org] ="Small"),SUMIFS(Practices_SubPractices[D],Practices_SubPractices[CP],"10",Practices_SubPractices[Org],"Small"),IF(AND(Practices_SubPractices[CP]=1,Practices_SubPractices[Org]="Medium"),SUMIFS(Practices_SubPractices[D],Practices_SubPractices[CP],"1",Practices_SubPractices[Org],"Medium"),IF(AND(Practices_SubPractices[CP]=2,Practices_SubPractices[Org]="Medium"),SUMIFS(Practices_SubPractices[D],Practices_SubPractices[CP],"2",Practices_SubPractices[Org],"Medium"),IF(AND(Practices_SubPractices[CP]=3,Practices_SubPractices[Org]="Medium"),SUMIFS(Practices_SubPractices[D],Practices_SubPractices[CP],"3",Practices_SubPractices[Org],"Medium"),IF(AND(Practices_SubPractices[CP]=4,Practices_SubPractices[Org]="Medium"),SUMIFS(Practices_SubPractices[D],Practices_SubPractices[CP],"4",Practices_SubPractices[Org],"Medium"),IF(AND(Practices_SubPractices[CP]=5,Practices_SubPractices[Org]="Medium"),SUMIFS(Practices_SubPractices[D],Practices_SubPractices[CP],"5",Practices_SubPractices[Org],"Medium"),IF(AND(Practices_SubPractices[CP]=6,Practices_SubPractices[Org]="Medium"),SUMIFS(Practices_SubPractices[D],Practices_SubPractices[CP],"6",Practices_SubPractices[Org],"Medium"),IF(AND(Practices_SubPractices[CP]=7,Practices_SubPractices[Org] ="Medium"),SUMIFS(Practices_SubPractices[D],Practices_SubPractices[CP],"7",Practices_SubPractices[Org],"Medium"),IF(AND(Practices_SubPractices[CP]=8,Practices_SubPractices[Org] ="Medium"),SUMIFS(Practices_SubPractices[D],Practices_SubPractices[CP],"8",Practices_SubPractices[Org],"Medium"),IF(AND(Practices_SubPractices[CP]=9,Practices_SubPractices[Org] ="Medium"),SUMIFS(Practices_SubPractices[D],Practices_SubPractices[CP],"9",Practices_SubPractices[Org],"Medium"),IF(AND(Practices_SubPractices[CP]=10,Practices_SubPractices[Org] ="Medium"),SUMIFS(Practices_SubPractices[D],Practices_SubPractices[CP],"10",Practices_SubPractices[Org],"Medium"),IF(AND(Practices_SubPractices[CP]=1,Practices_SubPractices[Org]="Large"),SUMIFS(Practices_SubPractices[D],Practices_SubPractices[CP],"1",Practices_SubPractices[Org],"Large"),IF(AND(Practices_SubPractices[CP]=2,Practices_SubPractices[Org]="Large"),SUMIFS(Practices_SubPractices[D],Practices_SubPractices[CP],"2",Practices_SubPractices[Org],"Large"),IF(AND(Practices_SubPractices[CP]=3,Practices_SubPractices[Org]="Large"),SUMIFS(Practices_SubPractices[D],Practices_SubPractices[CP],"3",Practices_SubPractices[Org],"Large"),IF(AND(Practices_SubPractices[CP]=4,Practices_SubPractices[Org]="Large"),SUMIFS(Practices_SubPractices[D],Practices_SubPractices[CP],"4",Practices_SubPractices[Org],"Large"),IF(AND(Practices_SubPractices[CP]=5,Practices_SubPractices[Org]="Large"),SUMIFS(Practices_SubPractices[D],Practices_SubPractices[CP],"5",Practices_SubPractices[Org],"Large"),IF(AND(Practices_SubPractices[CP]=6,Practices_SubPractices[Org]="Large"),SUMIFS(Practices_SubPractices[D],Practices_SubPractices[CP],"6",Practices_SubPractices[Org],"Large"),IF(AND(Practices_SubPractices[CP]=7,Practices_SubPractices[Org] ="Large"),SUMIFS(Practices_SubPractices[D],Practices_SubPractices[CP],"7",Practices_SubPractices[Org],"Large"),IF(AND(Practices_SubPractices[CP]=8,Practices_SubPractices[Org] ="Large"),SUMIFS(Practices_SubPractices[D],Practices_SubPractices[CP],"8",Practices_SubPractices[Org],"Large"),IF(AND(Practices_SubPractices[CP]=9,Practices_SubPractices[Org] ="Large"),SUMIFS(Practices_SubPractices[D],Practices_SubPractices[CP],"9",Practices_SubPractices[Org],"Large"),IF(AND(Practices_SubPractices[CP]=10,Practices_SubPractices[Org] ="Large"),SUMIFS(Practices_SubPractices[D],Practices_SubPractices[CP],"10",Practices_SubPractices[Org],"Large"),"TBD"))))))))))))))))))))))))))))))</f>
        <v>6</v>
      </c>
      <c r="R133" s="77">
        <f>IF(AND(Practices_SubPractices[CP]=1,Practices_SubPractices[Org]="Small"),SUMIFS(Practices_SubPractices[E],Practices_SubPractices[CP],"1",Practices_SubPractices[Org],"Small"),IF(AND(Practices_SubPractices[CP]=2,Practices_SubPractices[Org]="Small"),SUMIFS(Practices_SubPractices[E],Practices_SubPractices[CP],"2",Practices_SubPractices[Org],"Small"),IF(AND(Practices_SubPractices[CP]=3,Practices_SubPractices[Org]="Small"),SUMIFS(Practices_SubPractices[E],Practices_SubPractices[CP],"3",Practices_SubPractices[Org],"Small"),IF(AND(Practices_SubPractices[CP]=4,Practices_SubPractices[Org]="Small"),SUMIFS(Practices_SubPractices[E],Practices_SubPractices[CP],"4",Practices_SubPractices[Org],"Small"),IF(AND(Practices_SubPractices[CP]=5,Practices_SubPractices[Org]="Small"),SUMIFS(Practices_SubPractices[E],Practices_SubPractices[CP],"5",Practices_SubPractices[Org],"Small"),IF(AND(Practices_SubPractices[CP]=6,Practices_SubPractices[Org]="Small"),SUMIFS(Practices_SubPractices[E],Practices_SubPractices[CP],"6",Practices_SubPractices[Org],"Small"),IF(AND(Practices_SubPractices[CP]=7,Practices_SubPractices[Org] ="Small"),SUMIFS(Practices_SubPractices[E],Practices_SubPractices[CP],"7",Practices_SubPractices[Org],"Small"),IF(AND(Practices_SubPractices[CP]=8,Practices_SubPractices[Org] ="Small"),SUMIFS(Practices_SubPractices[E],Practices_SubPractices[CP],"8",Practices_SubPractices[Org],"Small"),IF(AND(Practices_SubPractices[CP]=9,Practices_SubPractices[Org] ="Small"),SUMIFS(Practices_SubPractices[E],Practices_SubPractices[CP],"9",Practices_SubPractices[Org],"Small"),IF(AND(Practices_SubPractices[CP]=10,Practices_SubPractices[Org] ="Small"),SUMIFS(Practices_SubPractices[E],Practices_SubPractices[CP],"10",Practices_SubPractices[Org],"Small"),IF(AND(Practices_SubPractices[CP]=1,Practices_SubPractices[Org]="Medium"),SUMIFS(Practices_SubPractices[E],Practices_SubPractices[CP],"1",Practices_SubPractices[Org],"Medium"),IF(AND(Practices_SubPractices[CP]=2,Practices_SubPractices[Org]="Medium"),SUMIFS(Practices_SubPractices[E],Practices_SubPractices[CP],"2",Practices_SubPractices[Org],"Medium"),IF(AND(Practices_SubPractices[CP]=3,Practices_SubPractices[Org]="Medium"),SUMIFS(Practices_SubPractices[E],Practices_SubPractices[CP],"3",Practices_SubPractices[Org],"Medium"),IF(AND(Practices_SubPractices[CP]=4,Practices_SubPractices[Org]="Medium"),SUMIFS(Practices_SubPractices[E],Practices_SubPractices[CP],"4",Practices_SubPractices[Org],"Medium"),IF(AND(Practices_SubPractices[CP]=5,Practices_SubPractices[Org]="Medium"),SUMIFS(Practices_SubPractices[E],Practices_SubPractices[CP],"5",Practices_SubPractices[Org],"Medium"),IF(AND(Practices_SubPractices[CP]=6,Practices_SubPractices[Org]="Medium"),SUMIFS(Practices_SubPractices[E],Practices_SubPractices[CP],"6",Practices_SubPractices[Org],"Medium"),IF(AND(Practices_SubPractices[CP]=7,Practices_SubPractices[Org] ="Medium"),SUMIFS(Practices_SubPractices[E],Practices_SubPractices[CP],"7",Practices_SubPractices[Org],"Medium"),IF(AND(Practices_SubPractices[CP]=8,Practices_SubPractices[Org] ="Medium"),SUMIFS(Practices_SubPractices[E],Practices_SubPractices[CP],"8",Practices_SubPractices[Org],"Medium"),IF(AND(Practices_SubPractices[CP]=9,Practices_SubPractices[Org] ="Medium"),SUMIFS(Practices_SubPractices[E],Practices_SubPractices[CP],"9",Practices_SubPractices[Org],"Medium"),IF(AND(Practices_SubPractices[CP]=10,Practices_SubPractices[Org] ="Medium"),SUMIFS(Practices_SubPractices[E],Practices_SubPractices[CP],"10",Practices_SubPractices[Org],"Medium"),IF(AND(Practices_SubPractices[CP]=1,Practices_SubPractices[Org]="Large"),SUMIFS(Practices_SubPractices[E],Practices_SubPractices[CP],"1",Practices_SubPractices[Org],"Large"),IF(AND(Practices_SubPractices[CP]=2,Practices_SubPractices[Org]="Large"),SUMIFS(Practices_SubPractices[E],Practices_SubPractices[CP],"2",Practices_SubPractices[Org],"Large"),IF(AND(Practices_SubPractices[CP]=3,Practices_SubPractices[Org]="Large"),SUMIFS(Practices_SubPractices[E],Practices_SubPractices[CP],"3",Practices_SubPractices[Org],"Large"),IF(AND(Practices_SubPractices[CP]=4,Practices_SubPractices[Org]="Large"),SUMIFS(Practices_SubPractices[E],Practices_SubPractices[CP],"4",Practices_SubPractices[Org],"Large"),IF(AND(Practices_SubPractices[CP]=5,Practices_SubPractices[Org]="Large"),SUMIFS(Practices_SubPractices[E],Practices_SubPractices[CP],"5",Practices_SubPractices[Org],"Large"),IF(AND(Practices_SubPractices[CP]=6,Practices_SubPractices[Org]="Large"),SUMIFS(Practices_SubPractices[E],Practices_SubPractices[CP],"6",Practices_SubPractices[Org],"Large"),IF(AND(Practices_SubPractices[CP]=7,Practices_SubPractices[Org] ="Large"),SUMIFS(Practices_SubPractices[E],Practices_SubPractices[CP],"7",Practices_SubPractices[Org],"Large"),IF(AND(Practices_SubPractices[CP]=8,Practices_SubPractices[Org] ="Large"),SUMIFS(Practices_SubPractices[E],Practices_SubPractices[CP],"8",Practices_SubPractices[Org],"Large"),IF(AND(Practices_SubPractices[CP]=9,Practices_SubPractices[Org] ="Large"),SUMIFS(Practices_SubPractices[E],Practices_SubPractices[CP],"9",Practices_SubPractices[Org],"Large"),IF(AND(Practices_SubPractices[CP]=10,Practices_SubPractices[Org] ="Large"),SUMIFS(Practices_SubPractices[E],Practices_SubPractices[CP],"10",Practices_SubPractices[Org],"Large"),"TBD"))))))))))))))))))))))))))))))</f>
        <v>18</v>
      </c>
      <c r="S133" s="87" t="s">
        <v>450</v>
      </c>
    </row>
    <row r="134" spans="1:19" x14ac:dyDescent="0.35">
      <c r="A134" s="73">
        <v>124</v>
      </c>
      <c r="B134" s="73">
        <v>9</v>
      </c>
      <c r="C134" s="80" t="s">
        <v>12</v>
      </c>
      <c r="D134" s="73" t="str">
        <f>Practices_SubPractices[[#This Row],[CP]]&amp;LEFT(Practices_SubPractices[[#This Row],[Org]],1)</f>
        <v>9L</v>
      </c>
      <c r="E134" s="73" t="s">
        <v>267</v>
      </c>
      <c r="F134" s="74" t="s">
        <v>171</v>
      </c>
      <c r="G134" s="74" t="s">
        <v>174</v>
      </c>
      <c r="H134" s="74" t="s">
        <v>263</v>
      </c>
      <c r="I134" s="75">
        <v>0</v>
      </c>
      <c r="J134" s="75">
        <v>1</v>
      </c>
      <c r="K134" s="75">
        <v>0</v>
      </c>
      <c r="L134" s="75">
        <v>1</v>
      </c>
      <c r="M134" s="75">
        <v>2</v>
      </c>
      <c r="N134" s="76"/>
      <c r="O134" s="77">
        <f>IF(AND(Practices_SubPractices[CP]=1,Practices_SubPractices[Org]="Small"),SUMIFS(Practices_SubPractices[B],Practices_SubPractices[CP],"1",Practices_SubPractices[Org],"Small"),IF(AND(Practices_SubPractices[CP]=2,Practices_SubPractices[Org]="Small"),SUMIFS(Practices_SubPractices[B],Practices_SubPractices[CP],"2",Practices_SubPractices[Org],"Small"),IF(AND(Practices_SubPractices[CP]=3,Practices_SubPractices[Org]="Small"),SUMIFS(Practices_SubPractices[B],Practices_SubPractices[CP],"3",Practices_SubPractices[Org],"Small"),IF(AND(Practices_SubPractices[CP]=4,Practices_SubPractices[Org]="Small"),SUMIFS(Practices_SubPractices[B],Practices_SubPractices[CP],"4",Practices_SubPractices[Org],"Small"),IF(AND(Practices_SubPractices[CP]=5,Practices_SubPractices[Org]="Small"),SUMIFS(Practices_SubPractices[B],Practices_SubPractices[CP],"5",Practices_SubPractices[Org],"Small"),IF(AND(Practices_SubPractices[CP]=6,Practices_SubPractices[Org]="Small"),SUMIFS(Practices_SubPractices[B],Practices_SubPractices[CP],"6",Practices_SubPractices[Org],"Small"),IF(AND(Practices_SubPractices[CP]=7,Practices_SubPractices[Org] ="Small"),SUMIFS(Practices_SubPractices[B],Practices_SubPractices[CP],"7",Practices_SubPractices[Org],"Small"),IF(AND(Practices_SubPractices[CP]=8,Practices_SubPractices[Org] ="Small"),SUMIFS(Practices_SubPractices[B],Practices_SubPractices[CP],"8",Practices_SubPractices[Org],"Small"),IF(AND(Practices_SubPractices[CP]=9,Practices_SubPractices[Org] ="Small"),SUMIFS(Practices_SubPractices[B],Practices_SubPractices[CP],"9",Practices_SubPractices[Org],"Small"),IF(AND(Practices_SubPractices[CP]=10,Practices_SubPractices[Org] ="Small"),SUMIFS(Practices_SubPractices[B],Practices_SubPractices[CP],"10",Practices_SubPractices[Org],"Small"),IF(AND(Practices_SubPractices[CP]=1,Practices_SubPractices[Org]="Medium"),SUMIFS(Practices_SubPractices[B],Practices_SubPractices[CP],"1",Practices_SubPractices[Org],"Medium"),IF(AND(Practices_SubPractices[CP]=2,Practices_SubPractices[Org]="Medium"),SUMIFS(Practices_SubPractices[B],Practices_SubPractices[CP],"2",Practices_SubPractices[Org],"Medium"),IF(AND(Practices_SubPractices[CP]=3,Practices_SubPractices[Org]="Medium"),SUMIFS(Practices_SubPractices[B],Practices_SubPractices[CP],"3",Practices_SubPractices[Org],"Medium"),IF(AND(Practices_SubPractices[CP]=4,Practices_SubPractices[Org]="Medium"),SUMIFS(Practices_SubPractices[B],Practices_SubPractices[CP],"4",Practices_SubPractices[Org],"Medium"),IF(AND(Practices_SubPractices[CP]=5,Practices_SubPractices[Org]="Medium"),SUMIFS(Practices_SubPractices[B],Practices_SubPractices[CP],"5",Practices_SubPractices[Org],"Medium"),IF(AND(Practices_SubPractices[CP]=6,Practices_SubPractices[Org]="Medium"),SUMIFS(Practices_SubPractices[B],Practices_SubPractices[CP],"6",Practices_SubPractices[Org],"Medium"),IF(AND(Practices_SubPractices[CP]=7,Practices_SubPractices[Org] ="Medium"),SUMIFS(Practices_SubPractices[B],Practices_SubPractices[CP],"7",Practices_SubPractices[Org],"Medium"),IF(AND(Practices_SubPractices[CP]=8,Practices_SubPractices[Org] ="Medium"),SUMIFS(Practices_SubPractices[B],Practices_SubPractices[CP],"8",Practices_SubPractices[Org],"Medium"),IF(AND(Practices_SubPractices[CP]=9,Practices_SubPractices[Org] ="Medium"),SUMIFS(Practices_SubPractices[B],Practices_SubPractices[CP],"9",Practices_SubPractices[Org],"Medium"),IF(AND(Practices_SubPractices[CP]=10,Practices_SubPractices[Org] ="Medium"),SUMIFS(Practices_SubPractices[B],Practices_SubPractices[CP],"10",Practices_SubPractices[Org],"Medium"),IF(AND(Practices_SubPractices[CP]=1,Practices_SubPractices[Org]="Large"),SUMIFS(Practices_SubPractices[B],Practices_SubPractices[CP],"1",Practices_SubPractices[Org],"Large"),IF(AND(Practices_SubPractices[CP]=2,Practices_SubPractices[Org]="Large"),SUMIFS(Practices_SubPractices[B],Practices_SubPractices[CP],"2",Practices_SubPractices[Org],"Large"),IF(AND(Practices_SubPractices[CP]=3,Practices_SubPractices[Org]="Large"),SUMIFS(Practices_SubPractices[B],Practices_SubPractices[CP],"3",Practices_SubPractices[Org],"Large"),IF(AND(Practices_SubPractices[CP]=4,Practices_SubPractices[Org]="Large"),SUMIFS(Practices_SubPractices[B],Practices_SubPractices[CP],"4",Practices_SubPractices[Org],"Large"),IF(AND(Practices_SubPractices[CP]=5,Practices_SubPractices[Org]="Large"),SUMIFS(Practices_SubPractices[B],Practices_SubPractices[CP],"5",Practices_SubPractices[Org],"Large"),IF(AND(Practices_SubPractices[CP]=6,Practices_SubPractices[Org]="Large"),SUMIFS(Practices_SubPractices[B],Practices_SubPractices[CP],"6",Practices_SubPractices[Org],"Large"),IF(AND(Practices_SubPractices[CP]=7,Practices_SubPractices[Org] ="Large"),SUMIFS(Practices_SubPractices[B],Practices_SubPractices[CP],"7",Practices_SubPractices[Org],"Large"),IF(AND(Practices_SubPractices[CP]=8,Practices_SubPractices[Org] ="Large"),SUMIFS(Practices_SubPractices[B],Practices_SubPractices[CP],"8",Practices_SubPractices[Org],"Large"),IF(AND(Practices_SubPractices[CP]=9,Practices_SubPractices[Org] ="Large"),SUMIFS(Practices_SubPractices[B],Practices_SubPractices[CP],"9",Practices_SubPractices[Org],"Large"),IF(AND(Practices_SubPractices[CP]=10,Practices_SubPractices[Org] ="Large"),SUMIFS(Practices_SubPractices[B],Practices_SubPractices[CP],"10",Practices_SubPractices[Org],"Large"),"TBD"))))))))))))))))))))))))))))))</f>
        <v>6</v>
      </c>
      <c r="P134" s="77">
        <f>IF(AND(Practices_SubPractices[CP]=1,Practices_SubPractices[Org]="Small"),SUMIFS(Practices_SubPractices[C],Practices_SubPractices[CP],"1",Practices_SubPractices[Org],"Small"),IF(AND(Practices_SubPractices[CP]=2,Practices_SubPractices[Org]="Small"),SUMIFS(Practices_SubPractices[C],Practices_SubPractices[CP],"2",Practices_SubPractices[Org],"Small"),IF(AND(Practices_SubPractices[CP]=3,Practices_SubPractices[Org]="Small"),SUMIFS(Practices_SubPractices[C],Practices_SubPractices[CP],"3",Practices_SubPractices[Org],"Small"),IF(AND(Practices_SubPractices[CP]=4,Practices_SubPractices[Org]="Small"),SUMIFS(Practices_SubPractices[C],Practices_SubPractices[CP],"4",Practices_SubPractices[Org],"Small"),IF(AND(Practices_SubPractices[CP]=5,Practices_SubPractices[Org]="Small"),SUMIFS(Practices_SubPractices[C],Practices_SubPractices[CP],"5",Practices_SubPractices[Org],"Small"),IF(AND(Practices_SubPractices[CP]=6,Practices_SubPractices[Org]="Small"),SUMIFS(Practices_SubPractices[C],Practices_SubPractices[CP],"6",Practices_SubPractices[Org],"Small"),IF(AND(Practices_SubPractices[CP]=7,Practices_SubPractices[Org] ="Small"),SUMIFS(Practices_SubPractices[C],Practices_SubPractices[CP],"7",Practices_SubPractices[Org],"Small"),IF(AND(Practices_SubPractices[CP]=8,Practices_SubPractices[Org] ="Small"),SUMIFS(Practices_SubPractices[C],Practices_SubPractices[CP],"8",Practices_SubPractices[Org],"Small"),IF(AND(Practices_SubPractices[CP]=9,Practices_SubPractices[Org] ="Small"),SUMIFS(Practices_SubPractices[C],Practices_SubPractices[CP],"9",Practices_SubPractices[Org],"Small"),IF(AND(Practices_SubPractices[CP]=10,Practices_SubPractices[Org] ="Small"),SUMIFS(Practices_SubPractices[C],Practices_SubPractices[CP],"10",Practices_SubPractices[Org],"Small"),IF(AND(Practices_SubPractices[CP]=1,Practices_SubPractices[Org]="Medium"),SUMIFS(Practices_SubPractices[C],Practices_SubPractices[CP],"1",Practices_SubPractices[Org],"Medium"),IF(AND(Practices_SubPractices[CP]=2,Practices_SubPractices[Org]="Medium"),SUMIFS(Practices_SubPractices[C],Practices_SubPractices[CP],"2",Practices_SubPractices[Org],"Medium"),IF(AND(Practices_SubPractices[CP]=3,Practices_SubPractices[Org]="Medium"),SUMIFS(Practices_SubPractices[C],Practices_SubPractices[CP],"3",Practices_SubPractices[Org],"Medium"),IF(AND(Practices_SubPractices[CP]=4,Practices_SubPractices[Org]="Medium"),SUMIFS(Practices_SubPractices[C],Practices_SubPractices[CP],"4",Practices_SubPractices[Org],"Medium"),IF(AND(Practices_SubPractices[CP]=5,Practices_SubPractices[Org]="Medium"),SUMIFS(Practices_SubPractices[C],Practices_SubPractices[CP],"5",Practices_SubPractices[Org],"Medium"),IF(AND(Practices_SubPractices[CP]=6,Practices_SubPractices[Org]="Medium"),SUMIFS(Practices_SubPractices[C],Practices_SubPractices[CP],"6",Practices_SubPractices[Org],"Medium"),IF(AND(Practices_SubPractices[CP]=7,Practices_SubPractices[Org] ="Medium"),SUMIFS(Practices_SubPractices[C],Practices_SubPractices[CP],"7",Practices_SubPractices[Org],"Medium"),IF(AND(Practices_SubPractices[CP]=8,Practices_SubPractices[Org] ="Medium"),SUMIFS(Practices_SubPractices[C],Practices_SubPractices[CP],"8",Practices_SubPractices[Org],"Medium"),IF(AND(Practices_SubPractices[CP]=9,Practices_SubPractices[Org] ="Medium"),SUMIFS(Practices_SubPractices[C],Practices_SubPractices[CP],"9",Practices_SubPractices[Org],"Medium"),IF(AND(Practices_SubPractices[CP]=10,Practices_SubPractices[Org] ="Medium"),SUMIFS(Practices_SubPractices[C],Practices_SubPractices[CP],"10",Practices_SubPractices[Org],"Medium"),IF(AND(Practices_SubPractices[CP]=1,Practices_SubPractices[Org]="Large"),SUMIFS(Practices_SubPractices[C],Practices_SubPractices[CP],"1",Practices_SubPractices[Org],"Large"),IF(AND(Practices_SubPractices[CP]=2,Practices_SubPractices[Org]="Large"),SUMIFS(Practices_SubPractices[C],Practices_SubPractices[CP],"2",Practices_SubPractices[Org],"Large"),IF(AND(Practices_SubPractices[CP]=3,Practices_SubPractices[Org]="Large"),SUMIFS(Practices_SubPractices[C],Practices_SubPractices[CP],"3",Practices_SubPractices[Org],"Large"),IF(AND(Practices_SubPractices[CP]=4,Practices_SubPractices[Org]="Large"),SUMIFS(Practices_SubPractices[C],Practices_SubPractices[CP],"4",Practices_SubPractices[Org],"Large"),IF(AND(Practices_SubPractices[CP]=5,Practices_SubPractices[Org]="Large"),SUMIFS(Practices_SubPractices[C],Practices_SubPractices[CP],"5",Practices_SubPractices[Org],"Large"),IF(AND(Practices_SubPractices[CP]=6,Practices_SubPractices[Org]="Large"),SUMIFS(Practices_SubPractices[C],Practices_SubPractices[CP],"6",Practices_SubPractices[Org],"Large"),IF(AND(Practices_SubPractices[CP]=7,Practices_SubPractices[Org] ="Large"),SUMIFS(Practices_SubPractices[C],Practices_SubPractices[CP],"7",Practices_SubPractices[Org],"Large"),IF(AND(Practices_SubPractices[CP]=8,Practices_SubPractices[Org] ="Large"),SUMIFS(Practices_SubPractices[C],Practices_SubPractices[CP],"8",Practices_SubPractices[Org],"Large"),IF(AND(Practices_SubPractices[CP]=9,Practices_SubPractices[Org] ="Large"),SUMIFS(Practices_SubPractices[C],Practices_SubPractices[CP],"9",Practices_SubPractices[Org],"Large"),IF(AND(Practices_SubPractices[CP]=10,Practices_SubPractices[Org] ="Large"),SUMIFS(Practices_SubPractices[C],Practices_SubPractices[CP],"10",Practices_SubPractices[Org],"Large"),"TBD"))))))))))))))))))))))))))))))</f>
        <v>0</v>
      </c>
      <c r="Q134" s="77">
        <f>IF(AND(Practices_SubPractices[CP]=1,Practices_SubPractices[Org]="Small"),SUMIFS(Practices_SubPractices[D],Practices_SubPractices[CP],"1",Practices_SubPractices[Org],"Small"),IF(AND(Practices_SubPractices[CP]=2,Practices_SubPractices[Org]="Small"),SUMIFS(Practices_SubPractices[D],Practices_SubPractices[CP],"2",Practices_SubPractices[Org],"Small"),IF(AND(Practices_SubPractices[CP]=3,Practices_SubPractices[Org]="Small"),SUMIFS(Practices_SubPractices[D],Practices_SubPractices[CP],"3",Practices_SubPractices[Org],"Small"),IF(AND(Practices_SubPractices[CP]=4,Practices_SubPractices[Org]="Small"),SUMIFS(Practices_SubPractices[D],Practices_SubPractices[CP],"4",Practices_SubPractices[Org],"Small"),IF(AND(Practices_SubPractices[CP]=5,Practices_SubPractices[Org]="Small"),SUMIFS(Practices_SubPractices[D],Practices_SubPractices[CP],"5",Practices_SubPractices[Org],"Small"),IF(AND(Practices_SubPractices[CP]=6,Practices_SubPractices[Org]="Small"),SUMIFS(Practices_SubPractices[D],Practices_SubPractices[CP],"6",Practices_SubPractices[Org],"Small"),IF(AND(Practices_SubPractices[CP]=7,Practices_SubPractices[Org] ="Small"),SUMIFS(Practices_SubPractices[D],Practices_SubPractices[CP],"7",Practices_SubPractices[Org],"Small"),IF(AND(Practices_SubPractices[CP]=8,Practices_SubPractices[Org] ="Small"),SUMIFS(Practices_SubPractices[D],Practices_SubPractices[CP],"8",Practices_SubPractices[Org],"Small"),IF(AND(Practices_SubPractices[CP]=9,Practices_SubPractices[Org] ="Small"),SUMIFS(Practices_SubPractices[D],Practices_SubPractices[CP],"9",Practices_SubPractices[Org],"Small"),IF(AND(Practices_SubPractices[CP]=10,Practices_SubPractices[Org] ="Small"),SUMIFS(Practices_SubPractices[D],Practices_SubPractices[CP],"10",Practices_SubPractices[Org],"Small"),IF(AND(Practices_SubPractices[CP]=1,Practices_SubPractices[Org]="Medium"),SUMIFS(Practices_SubPractices[D],Practices_SubPractices[CP],"1",Practices_SubPractices[Org],"Medium"),IF(AND(Practices_SubPractices[CP]=2,Practices_SubPractices[Org]="Medium"),SUMIFS(Practices_SubPractices[D],Practices_SubPractices[CP],"2",Practices_SubPractices[Org],"Medium"),IF(AND(Practices_SubPractices[CP]=3,Practices_SubPractices[Org]="Medium"),SUMIFS(Practices_SubPractices[D],Practices_SubPractices[CP],"3",Practices_SubPractices[Org],"Medium"),IF(AND(Practices_SubPractices[CP]=4,Practices_SubPractices[Org]="Medium"),SUMIFS(Practices_SubPractices[D],Practices_SubPractices[CP],"4",Practices_SubPractices[Org],"Medium"),IF(AND(Practices_SubPractices[CP]=5,Practices_SubPractices[Org]="Medium"),SUMIFS(Practices_SubPractices[D],Practices_SubPractices[CP],"5",Practices_SubPractices[Org],"Medium"),IF(AND(Practices_SubPractices[CP]=6,Practices_SubPractices[Org]="Medium"),SUMIFS(Practices_SubPractices[D],Practices_SubPractices[CP],"6",Practices_SubPractices[Org],"Medium"),IF(AND(Practices_SubPractices[CP]=7,Practices_SubPractices[Org] ="Medium"),SUMIFS(Practices_SubPractices[D],Practices_SubPractices[CP],"7",Practices_SubPractices[Org],"Medium"),IF(AND(Practices_SubPractices[CP]=8,Practices_SubPractices[Org] ="Medium"),SUMIFS(Practices_SubPractices[D],Practices_SubPractices[CP],"8",Practices_SubPractices[Org],"Medium"),IF(AND(Practices_SubPractices[CP]=9,Practices_SubPractices[Org] ="Medium"),SUMIFS(Practices_SubPractices[D],Practices_SubPractices[CP],"9",Practices_SubPractices[Org],"Medium"),IF(AND(Practices_SubPractices[CP]=10,Practices_SubPractices[Org] ="Medium"),SUMIFS(Practices_SubPractices[D],Practices_SubPractices[CP],"10",Practices_SubPractices[Org],"Medium"),IF(AND(Practices_SubPractices[CP]=1,Practices_SubPractices[Org]="Large"),SUMIFS(Practices_SubPractices[D],Practices_SubPractices[CP],"1",Practices_SubPractices[Org],"Large"),IF(AND(Practices_SubPractices[CP]=2,Practices_SubPractices[Org]="Large"),SUMIFS(Practices_SubPractices[D],Practices_SubPractices[CP],"2",Practices_SubPractices[Org],"Large"),IF(AND(Practices_SubPractices[CP]=3,Practices_SubPractices[Org]="Large"),SUMIFS(Practices_SubPractices[D],Practices_SubPractices[CP],"3",Practices_SubPractices[Org],"Large"),IF(AND(Practices_SubPractices[CP]=4,Practices_SubPractices[Org]="Large"),SUMIFS(Practices_SubPractices[D],Practices_SubPractices[CP],"4",Practices_SubPractices[Org],"Large"),IF(AND(Practices_SubPractices[CP]=5,Practices_SubPractices[Org]="Large"),SUMIFS(Practices_SubPractices[D],Practices_SubPractices[CP],"5",Practices_SubPractices[Org],"Large"),IF(AND(Practices_SubPractices[CP]=6,Practices_SubPractices[Org]="Large"),SUMIFS(Practices_SubPractices[D],Practices_SubPractices[CP],"6",Practices_SubPractices[Org],"Large"),IF(AND(Practices_SubPractices[CP]=7,Practices_SubPractices[Org] ="Large"),SUMIFS(Practices_SubPractices[D],Practices_SubPractices[CP],"7",Practices_SubPractices[Org],"Large"),IF(AND(Practices_SubPractices[CP]=8,Practices_SubPractices[Org] ="Large"),SUMIFS(Practices_SubPractices[D],Practices_SubPractices[CP],"8",Practices_SubPractices[Org],"Large"),IF(AND(Practices_SubPractices[CP]=9,Practices_SubPractices[Org] ="Large"),SUMIFS(Practices_SubPractices[D],Practices_SubPractices[CP],"9",Practices_SubPractices[Org],"Large"),IF(AND(Practices_SubPractices[CP]=10,Practices_SubPractices[Org] ="Large"),SUMIFS(Practices_SubPractices[D],Practices_SubPractices[CP],"10",Practices_SubPractices[Org],"Large"),"TBD"))))))))))))))))))))))))))))))</f>
        <v>6</v>
      </c>
      <c r="R134" s="77">
        <f>IF(AND(Practices_SubPractices[CP]=1,Practices_SubPractices[Org]="Small"),SUMIFS(Practices_SubPractices[E],Practices_SubPractices[CP],"1",Practices_SubPractices[Org],"Small"),IF(AND(Practices_SubPractices[CP]=2,Practices_SubPractices[Org]="Small"),SUMIFS(Practices_SubPractices[E],Practices_SubPractices[CP],"2",Practices_SubPractices[Org],"Small"),IF(AND(Practices_SubPractices[CP]=3,Practices_SubPractices[Org]="Small"),SUMIFS(Practices_SubPractices[E],Practices_SubPractices[CP],"3",Practices_SubPractices[Org],"Small"),IF(AND(Practices_SubPractices[CP]=4,Practices_SubPractices[Org]="Small"),SUMIFS(Practices_SubPractices[E],Practices_SubPractices[CP],"4",Practices_SubPractices[Org],"Small"),IF(AND(Practices_SubPractices[CP]=5,Practices_SubPractices[Org]="Small"),SUMIFS(Practices_SubPractices[E],Practices_SubPractices[CP],"5",Practices_SubPractices[Org],"Small"),IF(AND(Practices_SubPractices[CP]=6,Practices_SubPractices[Org]="Small"),SUMIFS(Practices_SubPractices[E],Practices_SubPractices[CP],"6",Practices_SubPractices[Org],"Small"),IF(AND(Practices_SubPractices[CP]=7,Practices_SubPractices[Org] ="Small"),SUMIFS(Practices_SubPractices[E],Practices_SubPractices[CP],"7",Practices_SubPractices[Org],"Small"),IF(AND(Practices_SubPractices[CP]=8,Practices_SubPractices[Org] ="Small"),SUMIFS(Practices_SubPractices[E],Practices_SubPractices[CP],"8",Practices_SubPractices[Org],"Small"),IF(AND(Practices_SubPractices[CP]=9,Practices_SubPractices[Org] ="Small"),SUMIFS(Practices_SubPractices[E],Practices_SubPractices[CP],"9",Practices_SubPractices[Org],"Small"),IF(AND(Practices_SubPractices[CP]=10,Practices_SubPractices[Org] ="Small"),SUMIFS(Practices_SubPractices[E],Practices_SubPractices[CP],"10",Practices_SubPractices[Org],"Small"),IF(AND(Practices_SubPractices[CP]=1,Practices_SubPractices[Org]="Medium"),SUMIFS(Practices_SubPractices[E],Practices_SubPractices[CP],"1",Practices_SubPractices[Org],"Medium"),IF(AND(Practices_SubPractices[CP]=2,Practices_SubPractices[Org]="Medium"),SUMIFS(Practices_SubPractices[E],Practices_SubPractices[CP],"2",Practices_SubPractices[Org],"Medium"),IF(AND(Practices_SubPractices[CP]=3,Practices_SubPractices[Org]="Medium"),SUMIFS(Practices_SubPractices[E],Practices_SubPractices[CP],"3",Practices_SubPractices[Org],"Medium"),IF(AND(Practices_SubPractices[CP]=4,Practices_SubPractices[Org]="Medium"),SUMIFS(Practices_SubPractices[E],Practices_SubPractices[CP],"4",Practices_SubPractices[Org],"Medium"),IF(AND(Practices_SubPractices[CP]=5,Practices_SubPractices[Org]="Medium"),SUMIFS(Practices_SubPractices[E],Practices_SubPractices[CP],"5",Practices_SubPractices[Org],"Medium"),IF(AND(Practices_SubPractices[CP]=6,Practices_SubPractices[Org]="Medium"),SUMIFS(Practices_SubPractices[E],Practices_SubPractices[CP],"6",Practices_SubPractices[Org],"Medium"),IF(AND(Practices_SubPractices[CP]=7,Practices_SubPractices[Org] ="Medium"),SUMIFS(Practices_SubPractices[E],Practices_SubPractices[CP],"7",Practices_SubPractices[Org],"Medium"),IF(AND(Practices_SubPractices[CP]=8,Practices_SubPractices[Org] ="Medium"),SUMIFS(Practices_SubPractices[E],Practices_SubPractices[CP],"8",Practices_SubPractices[Org],"Medium"),IF(AND(Practices_SubPractices[CP]=9,Practices_SubPractices[Org] ="Medium"),SUMIFS(Practices_SubPractices[E],Practices_SubPractices[CP],"9",Practices_SubPractices[Org],"Medium"),IF(AND(Practices_SubPractices[CP]=10,Practices_SubPractices[Org] ="Medium"),SUMIFS(Practices_SubPractices[E],Practices_SubPractices[CP],"10",Practices_SubPractices[Org],"Medium"),IF(AND(Practices_SubPractices[CP]=1,Practices_SubPractices[Org]="Large"),SUMIFS(Practices_SubPractices[E],Practices_SubPractices[CP],"1",Practices_SubPractices[Org],"Large"),IF(AND(Practices_SubPractices[CP]=2,Practices_SubPractices[Org]="Large"),SUMIFS(Practices_SubPractices[E],Practices_SubPractices[CP],"2",Practices_SubPractices[Org],"Large"),IF(AND(Practices_SubPractices[CP]=3,Practices_SubPractices[Org]="Large"),SUMIFS(Practices_SubPractices[E],Practices_SubPractices[CP],"3",Practices_SubPractices[Org],"Large"),IF(AND(Practices_SubPractices[CP]=4,Practices_SubPractices[Org]="Large"),SUMIFS(Practices_SubPractices[E],Practices_SubPractices[CP],"4",Practices_SubPractices[Org],"Large"),IF(AND(Practices_SubPractices[CP]=5,Practices_SubPractices[Org]="Large"),SUMIFS(Practices_SubPractices[E],Practices_SubPractices[CP],"5",Practices_SubPractices[Org],"Large"),IF(AND(Practices_SubPractices[CP]=6,Practices_SubPractices[Org]="Large"),SUMIFS(Practices_SubPractices[E],Practices_SubPractices[CP],"6",Practices_SubPractices[Org],"Large"),IF(AND(Practices_SubPractices[CP]=7,Practices_SubPractices[Org] ="Large"),SUMIFS(Practices_SubPractices[E],Practices_SubPractices[CP],"7",Practices_SubPractices[Org],"Large"),IF(AND(Practices_SubPractices[CP]=8,Practices_SubPractices[Org] ="Large"),SUMIFS(Practices_SubPractices[E],Practices_SubPractices[CP],"8",Practices_SubPractices[Org],"Large"),IF(AND(Practices_SubPractices[CP]=9,Practices_SubPractices[Org] ="Large"),SUMIFS(Practices_SubPractices[E],Practices_SubPractices[CP],"9",Practices_SubPractices[Org],"Large"),IF(AND(Practices_SubPractices[CP]=10,Practices_SubPractices[Org] ="Large"),SUMIFS(Practices_SubPractices[E],Practices_SubPractices[CP],"10",Practices_SubPractices[Org],"Large"),"TBD"))))))))))))))))))))))))))))))</f>
        <v>18</v>
      </c>
      <c r="S134" s="87" t="s">
        <v>451</v>
      </c>
    </row>
    <row r="135" spans="1:19" x14ac:dyDescent="0.35">
      <c r="A135" s="73">
        <v>125</v>
      </c>
      <c r="B135" s="73">
        <v>9</v>
      </c>
      <c r="C135" s="73" t="s">
        <v>12</v>
      </c>
      <c r="D135" s="73" t="str">
        <f>Practices_SubPractices[[#This Row],[CP]]&amp;LEFT(Practices_SubPractices[[#This Row],[Org]],1)</f>
        <v>9L</v>
      </c>
      <c r="E135" s="73" t="s">
        <v>268</v>
      </c>
      <c r="F135" s="74" t="s">
        <v>172</v>
      </c>
      <c r="G135" s="74" t="s">
        <v>175</v>
      </c>
      <c r="H135" s="74" t="s">
        <v>264</v>
      </c>
      <c r="I135" s="75">
        <v>0</v>
      </c>
      <c r="J135" s="75">
        <v>0</v>
      </c>
      <c r="K135" s="75">
        <v>0</v>
      </c>
      <c r="L135" s="75">
        <v>0</v>
      </c>
      <c r="M135" s="75">
        <v>2</v>
      </c>
      <c r="N135" s="76"/>
      <c r="O135" s="77">
        <f>IF(AND(Practices_SubPractices[CP]=1,Practices_SubPractices[Org]="Small"),SUMIFS(Practices_SubPractices[B],Practices_SubPractices[CP],"1",Practices_SubPractices[Org],"Small"),IF(AND(Practices_SubPractices[CP]=2,Practices_SubPractices[Org]="Small"),SUMIFS(Practices_SubPractices[B],Practices_SubPractices[CP],"2",Practices_SubPractices[Org],"Small"),IF(AND(Practices_SubPractices[CP]=3,Practices_SubPractices[Org]="Small"),SUMIFS(Practices_SubPractices[B],Practices_SubPractices[CP],"3",Practices_SubPractices[Org],"Small"),IF(AND(Practices_SubPractices[CP]=4,Practices_SubPractices[Org]="Small"),SUMIFS(Practices_SubPractices[B],Practices_SubPractices[CP],"4",Practices_SubPractices[Org],"Small"),IF(AND(Practices_SubPractices[CP]=5,Practices_SubPractices[Org]="Small"),SUMIFS(Practices_SubPractices[B],Practices_SubPractices[CP],"5",Practices_SubPractices[Org],"Small"),IF(AND(Practices_SubPractices[CP]=6,Practices_SubPractices[Org]="Small"),SUMIFS(Practices_SubPractices[B],Practices_SubPractices[CP],"6",Practices_SubPractices[Org],"Small"),IF(AND(Practices_SubPractices[CP]=7,Practices_SubPractices[Org] ="Small"),SUMIFS(Practices_SubPractices[B],Practices_SubPractices[CP],"7",Practices_SubPractices[Org],"Small"),IF(AND(Practices_SubPractices[CP]=8,Practices_SubPractices[Org] ="Small"),SUMIFS(Practices_SubPractices[B],Practices_SubPractices[CP],"8",Practices_SubPractices[Org],"Small"),IF(AND(Practices_SubPractices[CP]=9,Practices_SubPractices[Org] ="Small"),SUMIFS(Practices_SubPractices[B],Practices_SubPractices[CP],"9",Practices_SubPractices[Org],"Small"),IF(AND(Practices_SubPractices[CP]=10,Practices_SubPractices[Org] ="Small"),SUMIFS(Practices_SubPractices[B],Practices_SubPractices[CP],"10",Practices_SubPractices[Org],"Small"),IF(AND(Practices_SubPractices[CP]=1,Practices_SubPractices[Org]="Medium"),SUMIFS(Practices_SubPractices[B],Practices_SubPractices[CP],"1",Practices_SubPractices[Org],"Medium"),IF(AND(Practices_SubPractices[CP]=2,Practices_SubPractices[Org]="Medium"),SUMIFS(Practices_SubPractices[B],Practices_SubPractices[CP],"2",Practices_SubPractices[Org],"Medium"),IF(AND(Practices_SubPractices[CP]=3,Practices_SubPractices[Org]="Medium"),SUMIFS(Practices_SubPractices[B],Practices_SubPractices[CP],"3",Practices_SubPractices[Org],"Medium"),IF(AND(Practices_SubPractices[CP]=4,Practices_SubPractices[Org]="Medium"),SUMIFS(Practices_SubPractices[B],Practices_SubPractices[CP],"4",Practices_SubPractices[Org],"Medium"),IF(AND(Practices_SubPractices[CP]=5,Practices_SubPractices[Org]="Medium"),SUMIFS(Practices_SubPractices[B],Practices_SubPractices[CP],"5",Practices_SubPractices[Org],"Medium"),IF(AND(Practices_SubPractices[CP]=6,Practices_SubPractices[Org]="Medium"),SUMIFS(Practices_SubPractices[B],Practices_SubPractices[CP],"6",Practices_SubPractices[Org],"Medium"),IF(AND(Practices_SubPractices[CP]=7,Practices_SubPractices[Org] ="Medium"),SUMIFS(Practices_SubPractices[B],Practices_SubPractices[CP],"7",Practices_SubPractices[Org],"Medium"),IF(AND(Practices_SubPractices[CP]=8,Practices_SubPractices[Org] ="Medium"),SUMIFS(Practices_SubPractices[B],Practices_SubPractices[CP],"8",Practices_SubPractices[Org],"Medium"),IF(AND(Practices_SubPractices[CP]=9,Practices_SubPractices[Org] ="Medium"),SUMIFS(Practices_SubPractices[B],Practices_SubPractices[CP],"9",Practices_SubPractices[Org],"Medium"),IF(AND(Practices_SubPractices[CP]=10,Practices_SubPractices[Org] ="Medium"),SUMIFS(Practices_SubPractices[B],Practices_SubPractices[CP],"10",Practices_SubPractices[Org],"Medium"),IF(AND(Practices_SubPractices[CP]=1,Practices_SubPractices[Org]="Large"),SUMIFS(Practices_SubPractices[B],Practices_SubPractices[CP],"1",Practices_SubPractices[Org],"Large"),IF(AND(Practices_SubPractices[CP]=2,Practices_SubPractices[Org]="Large"),SUMIFS(Practices_SubPractices[B],Practices_SubPractices[CP],"2",Practices_SubPractices[Org],"Large"),IF(AND(Practices_SubPractices[CP]=3,Practices_SubPractices[Org]="Large"),SUMIFS(Practices_SubPractices[B],Practices_SubPractices[CP],"3",Practices_SubPractices[Org],"Large"),IF(AND(Practices_SubPractices[CP]=4,Practices_SubPractices[Org]="Large"),SUMIFS(Practices_SubPractices[B],Practices_SubPractices[CP],"4",Practices_SubPractices[Org],"Large"),IF(AND(Practices_SubPractices[CP]=5,Practices_SubPractices[Org]="Large"),SUMIFS(Practices_SubPractices[B],Practices_SubPractices[CP],"5",Practices_SubPractices[Org],"Large"),IF(AND(Practices_SubPractices[CP]=6,Practices_SubPractices[Org]="Large"),SUMIFS(Practices_SubPractices[B],Practices_SubPractices[CP],"6",Practices_SubPractices[Org],"Large"),IF(AND(Practices_SubPractices[CP]=7,Practices_SubPractices[Org] ="Large"),SUMIFS(Practices_SubPractices[B],Practices_SubPractices[CP],"7",Practices_SubPractices[Org],"Large"),IF(AND(Practices_SubPractices[CP]=8,Practices_SubPractices[Org] ="Large"),SUMIFS(Practices_SubPractices[B],Practices_SubPractices[CP],"8",Practices_SubPractices[Org],"Large"),IF(AND(Practices_SubPractices[CP]=9,Practices_SubPractices[Org] ="Large"),SUMIFS(Practices_SubPractices[B],Practices_SubPractices[CP],"9",Practices_SubPractices[Org],"Large"),IF(AND(Practices_SubPractices[CP]=10,Practices_SubPractices[Org] ="Large"),SUMIFS(Practices_SubPractices[B],Practices_SubPractices[CP],"10",Practices_SubPractices[Org],"Large"),"TBD"))))))))))))))))))))))))))))))</f>
        <v>6</v>
      </c>
      <c r="P135" s="77">
        <f>IF(AND(Practices_SubPractices[CP]=1,Practices_SubPractices[Org]="Small"),SUMIFS(Practices_SubPractices[C],Practices_SubPractices[CP],"1",Practices_SubPractices[Org],"Small"),IF(AND(Practices_SubPractices[CP]=2,Practices_SubPractices[Org]="Small"),SUMIFS(Practices_SubPractices[C],Practices_SubPractices[CP],"2",Practices_SubPractices[Org],"Small"),IF(AND(Practices_SubPractices[CP]=3,Practices_SubPractices[Org]="Small"),SUMIFS(Practices_SubPractices[C],Practices_SubPractices[CP],"3",Practices_SubPractices[Org],"Small"),IF(AND(Practices_SubPractices[CP]=4,Practices_SubPractices[Org]="Small"),SUMIFS(Practices_SubPractices[C],Practices_SubPractices[CP],"4",Practices_SubPractices[Org],"Small"),IF(AND(Practices_SubPractices[CP]=5,Practices_SubPractices[Org]="Small"),SUMIFS(Practices_SubPractices[C],Practices_SubPractices[CP],"5",Practices_SubPractices[Org],"Small"),IF(AND(Practices_SubPractices[CP]=6,Practices_SubPractices[Org]="Small"),SUMIFS(Practices_SubPractices[C],Practices_SubPractices[CP],"6",Practices_SubPractices[Org],"Small"),IF(AND(Practices_SubPractices[CP]=7,Practices_SubPractices[Org] ="Small"),SUMIFS(Practices_SubPractices[C],Practices_SubPractices[CP],"7",Practices_SubPractices[Org],"Small"),IF(AND(Practices_SubPractices[CP]=8,Practices_SubPractices[Org] ="Small"),SUMIFS(Practices_SubPractices[C],Practices_SubPractices[CP],"8",Practices_SubPractices[Org],"Small"),IF(AND(Practices_SubPractices[CP]=9,Practices_SubPractices[Org] ="Small"),SUMIFS(Practices_SubPractices[C],Practices_SubPractices[CP],"9",Practices_SubPractices[Org],"Small"),IF(AND(Practices_SubPractices[CP]=10,Practices_SubPractices[Org] ="Small"),SUMIFS(Practices_SubPractices[C],Practices_SubPractices[CP],"10",Practices_SubPractices[Org],"Small"),IF(AND(Practices_SubPractices[CP]=1,Practices_SubPractices[Org]="Medium"),SUMIFS(Practices_SubPractices[C],Practices_SubPractices[CP],"1",Practices_SubPractices[Org],"Medium"),IF(AND(Practices_SubPractices[CP]=2,Practices_SubPractices[Org]="Medium"),SUMIFS(Practices_SubPractices[C],Practices_SubPractices[CP],"2",Practices_SubPractices[Org],"Medium"),IF(AND(Practices_SubPractices[CP]=3,Practices_SubPractices[Org]="Medium"),SUMIFS(Practices_SubPractices[C],Practices_SubPractices[CP],"3",Practices_SubPractices[Org],"Medium"),IF(AND(Practices_SubPractices[CP]=4,Practices_SubPractices[Org]="Medium"),SUMIFS(Practices_SubPractices[C],Practices_SubPractices[CP],"4",Practices_SubPractices[Org],"Medium"),IF(AND(Practices_SubPractices[CP]=5,Practices_SubPractices[Org]="Medium"),SUMIFS(Practices_SubPractices[C],Practices_SubPractices[CP],"5",Practices_SubPractices[Org],"Medium"),IF(AND(Practices_SubPractices[CP]=6,Practices_SubPractices[Org]="Medium"),SUMIFS(Practices_SubPractices[C],Practices_SubPractices[CP],"6",Practices_SubPractices[Org],"Medium"),IF(AND(Practices_SubPractices[CP]=7,Practices_SubPractices[Org] ="Medium"),SUMIFS(Practices_SubPractices[C],Practices_SubPractices[CP],"7",Practices_SubPractices[Org],"Medium"),IF(AND(Practices_SubPractices[CP]=8,Practices_SubPractices[Org] ="Medium"),SUMIFS(Practices_SubPractices[C],Practices_SubPractices[CP],"8",Practices_SubPractices[Org],"Medium"),IF(AND(Practices_SubPractices[CP]=9,Practices_SubPractices[Org] ="Medium"),SUMIFS(Practices_SubPractices[C],Practices_SubPractices[CP],"9",Practices_SubPractices[Org],"Medium"),IF(AND(Practices_SubPractices[CP]=10,Practices_SubPractices[Org] ="Medium"),SUMIFS(Practices_SubPractices[C],Practices_SubPractices[CP],"10",Practices_SubPractices[Org],"Medium"),IF(AND(Practices_SubPractices[CP]=1,Practices_SubPractices[Org]="Large"),SUMIFS(Practices_SubPractices[C],Practices_SubPractices[CP],"1",Practices_SubPractices[Org],"Large"),IF(AND(Practices_SubPractices[CP]=2,Practices_SubPractices[Org]="Large"),SUMIFS(Practices_SubPractices[C],Practices_SubPractices[CP],"2",Practices_SubPractices[Org],"Large"),IF(AND(Practices_SubPractices[CP]=3,Practices_SubPractices[Org]="Large"),SUMIFS(Practices_SubPractices[C],Practices_SubPractices[CP],"3",Practices_SubPractices[Org],"Large"),IF(AND(Practices_SubPractices[CP]=4,Practices_SubPractices[Org]="Large"),SUMIFS(Practices_SubPractices[C],Practices_SubPractices[CP],"4",Practices_SubPractices[Org],"Large"),IF(AND(Practices_SubPractices[CP]=5,Practices_SubPractices[Org]="Large"),SUMIFS(Practices_SubPractices[C],Practices_SubPractices[CP],"5",Practices_SubPractices[Org],"Large"),IF(AND(Practices_SubPractices[CP]=6,Practices_SubPractices[Org]="Large"),SUMIFS(Practices_SubPractices[C],Practices_SubPractices[CP],"6",Practices_SubPractices[Org],"Large"),IF(AND(Practices_SubPractices[CP]=7,Practices_SubPractices[Org] ="Large"),SUMIFS(Practices_SubPractices[C],Practices_SubPractices[CP],"7",Practices_SubPractices[Org],"Large"),IF(AND(Practices_SubPractices[CP]=8,Practices_SubPractices[Org] ="Large"),SUMIFS(Practices_SubPractices[C],Practices_SubPractices[CP],"8",Practices_SubPractices[Org],"Large"),IF(AND(Practices_SubPractices[CP]=9,Practices_SubPractices[Org] ="Large"),SUMIFS(Practices_SubPractices[C],Practices_SubPractices[CP],"9",Practices_SubPractices[Org],"Large"),IF(AND(Practices_SubPractices[CP]=10,Practices_SubPractices[Org] ="Large"),SUMIFS(Practices_SubPractices[C],Practices_SubPractices[CP],"10",Practices_SubPractices[Org],"Large"),"TBD"))))))))))))))))))))))))))))))</f>
        <v>0</v>
      </c>
      <c r="Q135" s="77">
        <f>IF(AND(Practices_SubPractices[CP]=1,Practices_SubPractices[Org]="Small"),SUMIFS(Practices_SubPractices[D],Practices_SubPractices[CP],"1",Practices_SubPractices[Org],"Small"),IF(AND(Practices_SubPractices[CP]=2,Practices_SubPractices[Org]="Small"),SUMIFS(Practices_SubPractices[D],Practices_SubPractices[CP],"2",Practices_SubPractices[Org],"Small"),IF(AND(Practices_SubPractices[CP]=3,Practices_SubPractices[Org]="Small"),SUMIFS(Practices_SubPractices[D],Practices_SubPractices[CP],"3",Practices_SubPractices[Org],"Small"),IF(AND(Practices_SubPractices[CP]=4,Practices_SubPractices[Org]="Small"),SUMIFS(Practices_SubPractices[D],Practices_SubPractices[CP],"4",Practices_SubPractices[Org],"Small"),IF(AND(Practices_SubPractices[CP]=5,Practices_SubPractices[Org]="Small"),SUMIFS(Practices_SubPractices[D],Practices_SubPractices[CP],"5",Practices_SubPractices[Org],"Small"),IF(AND(Practices_SubPractices[CP]=6,Practices_SubPractices[Org]="Small"),SUMIFS(Practices_SubPractices[D],Practices_SubPractices[CP],"6",Practices_SubPractices[Org],"Small"),IF(AND(Practices_SubPractices[CP]=7,Practices_SubPractices[Org] ="Small"),SUMIFS(Practices_SubPractices[D],Practices_SubPractices[CP],"7",Practices_SubPractices[Org],"Small"),IF(AND(Practices_SubPractices[CP]=8,Practices_SubPractices[Org] ="Small"),SUMIFS(Practices_SubPractices[D],Practices_SubPractices[CP],"8",Practices_SubPractices[Org],"Small"),IF(AND(Practices_SubPractices[CP]=9,Practices_SubPractices[Org] ="Small"),SUMIFS(Practices_SubPractices[D],Practices_SubPractices[CP],"9",Practices_SubPractices[Org],"Small"),IF(AND(Practices_SubPractices[CP]=10,Practices_SubPractices[Org] ="Small"),SUMIFS(Practices_SubPractices[D],Practices_SubPractices[CP],"10",Practices_SubPractices[Org],"Small"),IF(AND(Practices_SubPractices[CP]=1,Practices_SubPractices[Org]="Medium"),SUMIFS(Practices_SubPractices[D],Practices_SubPractices[CP],"1",Practices_SubPractices[Org],"Medium"),IF(AND(Practices_SubPractices[CP]=2,Practices_SubPractices[Org]="Medium"),SUMIFS(Practices_SubPractices[D],Practices_SubPractices[CP],"2",Practices_SubPractices[Org],"Medium"),IF(AND(Practices_SubPractices[CP]=3,Practices_SubPractices[Org]="Medium"),SUMIFS(Practices_SubPractices[D],Practices_SubPractices[CP],"3",Practices_SubPractices[Org],"Medium"),IF(AND(Practices_SubPractices[CP]=4,Practices_SubPractices[Org]="Medium"),SUMIFS(Practices_SubPractices[D],Practices_SubPractices[CP],"4",Practices_SubPractices[Org],"Medium"),IF(AND(Practices_SubPractices[CP]=5,Practices_SubPractices[Org]="Medium"),SUMIFS(Practices_SubPractices[D],Practices_SubPractices[CP],"5",Practices_SubPractices[Org],"Medium"),IF(AND(Practices_SubPractices[CP]=6,Practices_SubPractices[Org]="Medium"),SUMIFS(Practices_SubPractices[D],Practices_SubPractices[CP],"6",Practices_SubPractices[Org],"Medium"),IF(AND(Practices_SubPractices[CP]=7,Practices_SubPractices[Org] ="Medium"),SUMIFS(Practices_SubPractices[D],Practices_SubPractices[CP],"7",Practices_SubPractices[Org],"Medium"),IF(AND(Practices_SubPractices[CP]=8,Practices_SubPractices[Org] ="Medium"),SUMIFS(Practices_SubPractices[D],Practices_SubPractices[CP],"8",Practices_SubPractices[Org],"Medium"),IF(AND(Practices_SubPractices[CP]=9,Practices_SubPractices[Org] ="Medium"),SUMIFS(Practices_SubPractices[D],Practices_SubPractices[CP],"9",Practices_SubPractices[Org],"Medium"),IF(AND(Practices_SubPractices[CP]=10,Practices_SubPractices[Org] ="Medium"),SUMIFS(Practices_SubPractices[D],Practices_SubPractices[CP],"10",Practices_SubPractices[Org],"Medium"),IF(AND(Practices_SubPractices[CP]=1,Practices_SubPractices[Org]="Large"),SUMIFS(Practices_SubPractices[D],Practices_SubPractices[CP],"1",Practices_SubPractices[Org],"Large"),IF(AND(Practices_SubPractices[CP]=2,Practices_SubPractices[Org]="Large"),SUMIFS(Practices_SubPractices[D],Practices_SubPractices[CP],"2",Practices_SubPractices[Org],"Large"),IF(AND(Practices_SubPractices[CP]=3,Practices_SubPractices[Org]="Large"),SUMIFS(Practices_SubPractices[D],Practices_SubPractices[CP],"3",Practices_SubPractices[Org],"Large"),IF(AND(Practices_SubPractices[CP]=4,Practices_SubPractices[Org]="Large"),SUMIFS(Practices_SubPractices[D],Practices_SubPractices[CP],"4",Practices_SubPractices[Org],"Large"),IF(AND(Practices_SubPractices[CP]=5,Practices_SubPractices[Org]="Large"),SUMIFS(Practices_SubPractices[D],Practices_SubPractices[CP],"5",Practices_SubPractices[Org],"Large"),IF(AND(Practices_SubPractices[CP]=6,Practices_SubPractices[Org]="Large"),SUMIFS(Practices_SubPractices[D],Practices_SubPractices[CP],"6",Practices_SubPractices[Org],"Large"),IF(AND(Practices_SubPractices[CP]=7,Practices_SubPractices[Org] ="Large"),SUMIFS(Practices_SubPractices[D],Practices_SubPractices[CP],"7",Practices_SubPractices[Org],"Large"),IF(AND(Practices_SubPractices[CP]=8,Practices_SubPractices[Org] ="Large"),SUMIFS(Practices_SubPractices[D],Practices_SubPractices[CP],"8",Practices_SubPractices[Org],"Large"),IF(AND(Practices_SubPractices[CP]=9,Practices_SubPractices[Org] ="Large"),SUMIFS(Practices_SubPractices[D],Practices_SubPractices[CP],"9",Practices_SubPractices[Org],"Large"),IF(AND(Practices_SubPractices[CP]=10,Practices_SubPractices[Org] ="Large"),SUMIFS(Practices_SubPractices[D],Practices_SubPractices[CP],"10",Practices_SubPractices[Org],"Large"),"TBD"))))))))))))))))))))))))))))))</f>
        <v>6</v>
      </c>
      <c r="R135" s="77">
        <f>IF(AND(Practices_SubPractices[CP]=1,Practices_SubPractices[Org]="Small"),SUMIFS(Practices_SubPractices[E],Practices_SubPractices[CP],"1",Practices_SubPractices[Org],"Small"),IF(AND(Practices_SubPractices[CP]=2,Practices_SubPractices[Org]="Small"),SUMIFS(Practices_SubPractices[E],Practices_SubPractices[CP],"2",Practices_SubPractices[Org],"Small"),IF(AND(Practices_SubPractices[CP]=3,Practices_SubPractices[Org]="Small"),SUMIFS(Practices_SubPractices[E],Practices_SubPractices[CP],"3",Practices_SubPractices[Org],"Small"),IF(AND(Practices_SubPractices[CP]=4,Practices_SubPractices[Org]="Small"),SUMIFS(Practices_SubPractices[E],Practices_SubPractices[CP],"4",Practices_SubPractices[Org],"Small"),IF(AND(Practices_SubPractices[CP]=5,Practices_SubPractices[Org]="Small"),SUMIFS(Practices_SubPractices[E],Practices_SubPractices[CP],"5",Practices_SubPractices[Org],"Small"),IF(AND(Practices_SubPractices[CP]=6,Practices_SubPractices[Org]="Small"),SUMIFS(Practices_SubPractices[E],Practices_SubPractices[CP],"6",Practices_SubPractices[Org],"Small"),IF(AND(Practices_SubPractices[CP]=7,Practices_SubPractices[Org] ="Small"),SUMIFS(Practices_SubPractices[E],Practices_SubPractices[CP],"7",Practices_SubPractices[Org],"Small"),IF(AND(Practices_SubPractices[CP]=8,Practices_SubPractices[Org] ="Small"),SUMIFS(Practices_SubPractices[E],Practices_SubPractices[CP],"8",Practices_SubPractices[Org],"Small"),IF(AND(Practices_SubPractices[CP]=9,Practices_SubPractices[Org] ="Small"),SUMIFS(Practices_SubPractices[E],Practices_SubPractices[CP],"9",Practices_SubPractices[Org],"Small"),IF(AND(Practices_SubPractices[CP]=10,Practices_SubPractices[Org] ="Small"),SUMIFS(Practices_SubPractices[E],Practices_SubPractices[CP],"10",Practices_SubPractices[Org],"Small"),IF(AND(Practices_SubPractices[CP]=1,Practices_SubPractices[Org]="Medium"),SUMIFS(Practices_SubPractices[E],Practices_SubPractices[CP],"1",Practices_SubPractices[Org],"Medium"),IF(AND(Practices_SubPractices[CP]=2,Practices_SubPractices[Org]="Medium"),SUMIFS(Practices_SubPractices[E],Practices_SubPractices[CP],"2",Practices_SubPractices[Org],"Medium"),IF(AND(Practices_SubPractices[CP]=3,Practices_SubPractices[Org]="Medium"),SUMIFS(Practices_SubPractices[E],Practices_SubPractices[CP],"3",Practices_SubPractices[Org],"Medium"),IF(AND(Practices_SubPractices[CP]=4,Practices_SubPractices[Org]="Medium"),SUMIFS(Practices_SubPractices[E],Practices_SubPractices[CP],"4",Practices_SubPractices[Org],"Medium"),IF(AND(Practices_SubPractices[CP]=5,Practices_SubPractices[Org]="Medium"),SUMIFS(Practices_SubPractices[E],Practices_SubPractices[CP],"5",Practices_SubPractices[Org],"Medium"),IF(AND(Practices_SubPractices[CP]=6,Practices_SubPractices[Org]="Medium"),SUMIFS(Practices_SubPractices[E],Practices_SubPractices[CP],"6",Practices_SubPractices[Org],"Medium"),IF(AND(Practices_SubPractices[CP]=7,Practices_SubPractices[Org] ="Medium"),SUMIFS(Practices_SubPractices[E],Practices_SubPractices[CP],"7",Practices_SubPractices[Org],"Medium"),IF(AND(Practices_SubPractices[CP]=8,Practices_SubPractices[Org] ="Medium"),SUMIFS(Practices_SubPractices[E],Practices_SubPractices[CP],"8",Practices_SubPractices[Org],"Medium"),IF(AND(Practices_SubPractices[CP]=9,Practices_SubPractices[Org] ="Medium"),SUMIFS(Practices_SubPractices[E],Practices_SubPractices[CP],"9",Practices_SubPractices[Org],"Medium"),IF(AND(Practices_SubPractices[CP]=10,Practices_SubPractices[Org] ="Medium"),SUMIFS(Practices_SubPractices[E],Practices_SubPractices[CP],"10",Practices_SubPractices[Org],"Medium"),IF(AND(Practices_SubPractices[CP]=1,Practices_SubPractices[Org]="Large"),SUMIFS(Practices_SubPractices[E],Practices_SubPractices[CP],"1",Practices_SubPractices[Org],"Large"),IF(AND(Practices_SubPractices[CP]=2,Practices_SubPractices[Org]="Large"),SUMIFS(Practices_SubPractices[E],Practices_SubPractices[CP],"2",Practices_SubPractices[Org],"Large"),IF(AND(Practices_SubPractices[CP]=3,Practices_SubPractices[Org]="Large"),SUMIFS(Practices_SubPractices[E],Practices_SubPractices[CP],"3",Practices_SubPractices[Org],"Large"),IF(AND(Practices_SubPractices[CP]=4,Practices_SubPractices[Org]="Large"),SUMIFS(Practices_SubPractices[E],Practices_SubPractices[CP],"4",Practices_SubPractices[Org],"Large"),IF(AND(Practices_SubPractices[CP]=5,Practices_SubPractices[Org]="Large"),SUMIFS(Practices_SubPractices[E],Practices_SubPractices[CP],"5",Practices_SubPractices[Org],"Large"),IF(AND(Practices_SubPractices[CP]=6,Practices_SubPractices[Org]="Large"),SUMIFS(Practices_SubPractices[E],Practices_SubPractices[CP],"6",Practices_SubPractices[Org],"Large"),IF(AND(Practices_SubPractices[CP]=7,Practices_SubPractices[Org] ="Large"),SUMIFS(Practices_SubPractices[E],Practices_SubPractices[CP],"7",Practices_SubPractices[Org],"Large"),IF(AND(Practices_SubPractices[CP]=8,Practices_SubPractices[Org] ="Large"),SUMIFS(Practices_SubPractices[E],Practices_SubPractices[CP],"8",Practices_SubPractices[Org],"Large"),IF(AND(Practices_SubPractices[CP]=9,Practices_SubPractices[Org] ="Large"),SUMIFS(Practices_SubPractices[E],Practices_SubPractices[CP],"9",Practices_SubPractices[Org],"Large"),IF(AND(Practices_SubPractices[CP]=10,Practices_SubPractices[Org] ="Large"),SUMIFS(Practices_SubPractices[E],Practices_SubPractices[CP],"10",Practices_SubPractices[Org],"Large"),"TBD"))))))))))))))))))))))))))))))</f>
        <v>18</v>
      </c>
      <c r="S135" s="87" t="s">
        <v>452</v>
      </c>
    </row>
  </sheetData>
  <mergeCells count="4">
    <mergeCell ref="I9:S9"/>
    <mergeCell ref="J3:S3"/>
    <mergeCell ref="J4:S4"/>
    <mergeCell ref="J5:S5"/>
  </mergeCells>
  <pageMargins left="0.7" right="0.7" top="0.75" bottom="0.75" header="0.3" footer="0.3"/>
  <pageSetup orientation="portrait" horizontalDpi="1200" verticalDpi="1200" r:id="rId1"/>
  <tableParts count="1">
    <tablePart r:id="rId2"/>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B2:F20"/>
  <sheetViews>
    <sheetView workbookViewId="0">
      <selection activeCell="F12" sqref="F12"/>
    </sheetView>
  </sheetViews>
  <sheetFormatPr defaultRowHeight="14.5" x14ac:dyDescent="0.35"/>
  <cols>
    <col min="2" max="2" width="13.54296875" customWidth="1"/>
    <col min="3" max="3" width="23.81640625" customWidth="1"/>
    <col min="4" max="4" width="32.453125" customWidth="1"/>
    <col min="5" max="5" width="34.54296875" customWidth="1"/>
    <col min="6" max="6" width="36.81640625" customWidth="1"/>
  </cols>
  <sheetData>
    <row r="2" spans="2:6" ht="15" thickBot="1" x14ac:dyDescent="0.4">
      <c r="C2" s="2" t="s">
        <v>315</v>
      </c>
    </row>
    <row r="3" spans="2:6" ht="15" thickBot="1" x14ac:dyDescent="0.4">
      <c r="B3" s="128" t="s">
        <v>316</v>
      </c>
      <c r="C3" s="129"/>
      <c r="D3" s="38" t="s">
        <v>317</v>
      </c>
      <c r="E3" s="38" t="s">
        <v>318</v>
      </c>
      <c r="F3" s="39" t="s">
        <v>12</v>
      </c>
    </row>
    <row r="4" spans="2:6" ht="43.5" x14ac:dyDescent="0.35">
      <c r="B4" s="130" t="s">
        <v>319</v>
      </c>
      <c r="C4" s="116" t="s">
        <v>320</v>
      </c>
      <c r="D4" s="114" t="s">
        <v>321</v>
      </c>
      <c r="E4" s="114" t="s">
        <v>322</v>
      </c>
      <c r="F4" s="40" t="s">
        <v>323</v>
      </c>
    </row>
    <row r="5" spans="2:6" ht="15" thickBot="1" x14ac:dyDescent="0.4">
      <c r="B5" s="120"/>
      <c r="C5" s="117"/>
      <c r="D5" s="115"/>
      <c r="E5" s="115"/>
      <c r="F5" s="35" t="s">
        <v>324</v>
      </c>
    </row>
    <row r="6" spans="2:6" ht="29" x14ac:dyDescent="0.35">
      <c r="B6" s="120"/>
      <c r="C6" s="116" t="s">
        <v>325</v>
      </c>
      <c r="D6" s="114" t="s">
        <v>326</v>
      </c>
      <c r="E6" s="41" t="s">
        <v>327</v>
      </c>
      <c r="F6" s="40" t="s">
        <v>328</v>
      </c>
    </row>
    <row r="7" spans="2:6" ht="29.5" thickBot="1" x14ac:dyDescent="0.4">
      <c r="B7" s="120"/>
      <c r="C7" s="117"/>
      <c r="D7" s="115"/>
      <c r="E7" s="42" t="s">
        <v>329</v>
      </c>
      <c r="F7" s="35" t="s">
        <v>330</v>
      </c>
    </row>
    <row r="8" spans="2:6" ht="29" x14ac:dyDescent="0.35">
      <c r="B8" s="120"/>
      <c r="C8" s="116" t="s">
        <v>331</v>
      </c>
      <c r="D8" s="114" t="s">
        <v>332</v>
      </c>
      <c r="E8" s="41" t="s">
        <v>333</v>
      </c>
      <c r="F8" s="131" t="s">
        <v>334</v>
      </c>
    </row>
    <row r="9" spans="2:6" ht="29" x14ac:dyDescent="0.35">
      <c r="B9" s="120"/>
      <c r="C9" s="118"/>
      <c r="D9" s="119"/>
      <c r="E9" s="41" t="s">
        <v>335</v>
      </c>
      <c r="F9" s="132"/>
    </row>
    <row r="10" spans="2:6" ht="29.5" thickBot="1" x14ac:dyDescent="0.4">
      <c r="B10" s="120"/>
      <c r="C10" s="117"/>
      <c r="D10" s="115"/>
      <c r="E10" s="42" t="s">
        <v>336</v>
      </c>
      <c r="F10" s="133"/>
    </row>
    <row r="11" spans="2:6" ht="15" thickBot="1" x14ac:dyDescent="0.4">
      <c r="B11" s="134" t="s">
        <v>337</v>
      </c>
      <c r="C11" s="43" t="s">
        <v>338</v>
      </c>
      <c r="D11" s="42" t="s">
        <v>339</v>
      </c>
      <c r="E11" s="42" t="s">
        <v>340</v>
      </c>
      <c r="F11" s="35" t="s">
        <v>341</v>
      </c>
    </row>
    <row r="12" spans="2:6" ht="15" thickBot="1" x14ac:dyDescent="0.4">
      <c r="B12" s="135"/>
      <c r="C12" s="43" t="s">
        <v>342</v>
      </c>
      <c r="D12" s="42" t="s">
        <v>343</v>
      </c>
      <c r="E12" s="42" t="s">
        <v>344</v>
      </c>
      <c r="F12" s="35" t="s">
        <v>345</v>
      </c>
    </row>
    <row r="13" spans="2:6" ht="17" thickBot="1" x14ac:dyDescent="0.4">
      <c r="B13" s="135"/>
      <c r="C13" s="43" t="s">
        <v>346</v>
      </c>
      <c r="D13" s="42" t="s">
        <v>347</v>
      </c>
      <c r="E13" s="42" t="s">
        <v>348</v>
      </c>
      <c r="F13" s="35" t="s">
        <v>349</v>
      </c>
    </row>
    <row r="14" spans="2:6" x14ac:dyDescent="0.35">
      <c r="B14" s="135"/>
      <c r="C14" s="137" t="s">
        <v>350</v>
      </c>
      <c r="D14" s="114" t="s">
        <v>351</v>
      </c>
      <c r="E14" s="114" t="s">
        <v>352</v>
      </c>
      <c r="F14" s="40" t="s">
        <v>353</v>
      </c>
    </row>
    <row r="15" spans="2:6" ht="29.5" thickBot="1" x14ac:dyDescent="0.4">
      <c r="B15" s="136"/>
      <c r="C15" s="138"/>
      <c r="D15" s="115"/>
      <c r="E15" s="115"/>
      <c r="F15" s="35" t="s">
        <v>354</v>
      </c>
    </row>
    <row r="16" spans="2:6" x14ac:dyDescent="0.35">
      <c r="B16" s="120" t="s">
        <v>355</v>
      </c>
      <c r="C16" s="122"/>
      <c r="D16" s="123"/>
      <c r="E16" s="41" t="s">
        <v>356</v>
      </c>
      <c r="F16" s="40" t="s">
        <v>357</v>
      </c>
    </row>
    <row r="17" spans="2:6" x14ac:dyDescent="0.35">
      <c r="B17" s="120"/>
      <c r="C17" s="124"/>
      <c r="D17" s="125"/>
      <c r="E17" s="41" t="s">
        <v>358</v>
      </c>
      <c r="F17" s="40" t="s">
        <v>359</v>
      </c>
    </row>
    <row r="18" spans="2:6" x14ac:dyDescent="0.35">
      <c r="B18" s="120"/>
      <c r="C18" s="124"/>
      <c r="D18" s="125"/>
      <c r="E18" s="41" t="s">
        <v>360</v>
      </c>
      <c r="F18" s="40" t="s">
        <v>361</v>
      </c>
    </row>
    <row r="19" spans="2:6" x14ac:dyDescent="0.35">
      <c r="B19" s="120"/>
      <c r="C19" s="124"/>
      <c r="D19" s="125"/>
      <c r="E19" s="41" t="s">
        <v>362</v>
      </c>
      <c r="F19" s="44"/>
    </row>
    <row r="20" spans="2:6" ht="15" thickBot="1" x14ac:dyDescent="0.4">
      <c r="B20" s="121"/>
      <c r="C20" s="126"/>
      <c r="D20" s="127"/>
      <c r="E20" s="45" t="s">
        <v>363</v>
      </c>
      <c r="F20" s="46"/>
    </row>
  </sheetData>
  <mergeCells count="16">
    <mergeCell ref="F8:F10"/>
    <mergeCell ref="B11:B15"/>
    <mergeCell ref="C14:C15"/>
    <mergeCell ref="D14:D15"/>
    <mergeCell ref="E14:E15"/>
    <mergeCell ref="B16:B20"/>
    <mergeCell ref="C16:D20"/>
    <mergeCell ref="B3:C3"/>
    <mergeCell ref="B4:B10"/>
    <mergeCell ref="C4:C5"/>
    <mergeCell ref="D4:D5"/>
    <mergeCell ref="E4:E5"/>
    <mergeCell ref="C6:C7"/>
    <mergeCell ref="D6:D7"/>
    <mergeCell ref="C8:C10"/>
    <mergeCell ref="D8:D10"/>
  </mergeCells>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B1:H21"/>
  <sheetViews>
    <sheetView topLeftCell="A7" workbookViewId="0">
      <selection activeCell="B12" sqref="B12:C21"/>
    </sheetView>
  </sheetViews>
  <sheetFormatPr defaultRowHeight="14.5" x14ac:dyDescent="0.35"/>
  <cols>
    <col min="2" max="2" width="10.453125" customWidth="1"/>
    <col min="3" max="3" width="29.81640625" customWidth="1"/>
    <col min="4" max="4" width="54.81640625" customWidth="1"/>
    <col min="6" max="6" width="12.54296875" bestFit="1" customWidth="1"/>
  </cols>
  <sheetData>
    <row r="1" spans="2:8" s="47" customFormat="1" x14ac:dyDescent="0.35"/>
    <row r="2" spans="2:8" ht="15" thickBot="1" x14ac:dyDescent="0.4">
      <c r="C2" s="2" t="s">
        <v>307</v>
      </c>
    </row>
    <row r="3" spans="2:8" ht="29.5" thickBot="1" x14ac:dyDescent="0.4">
      <c r="B3" s="33" t="s">
        <v>269</v>
      </c>
      <c r="C3" s="33" t="s">
        <v>308</v>
      </c>
      <c r="D3" s="61" t="s">
        <v>309</v>
      </c>
      <c r="F3" s="64" t="s">
        <v>386</v>
      </c>
    </row>
    <row r="4" spans="2:8" ht="58.5" thickBot="1" x14ac:dyDescent="0.4">
      <c r="B4" s="34" t="s">
        <v>265</v>
      </c>
      <c r="C4" s="35" t="s">
        <v>271</v>
      </c>
      <c r="D4" s="35" t="s">
        <v>310</v>
      </c>
      <c r="F4" s="34">
        <v>1</v>
      </c>
    </row>
    <row r="5" spans="2:8" ht="73" thickBot="1" x14ac:dyDescent="0.4">
      <c r="B5" s="34" t="s">
        <v>266</v>
      </c>
      <c r="C5" s="35" t="s">
        <v>272</v>
      </c>
      <c r="D5" s="35" t="s">
        <v>311</v>
      </c>
      <c r="F5" s="34">
        <v>2</v>
      </c>
    </row>
    <row r="6" spans="2:8" ht="44" thickBot="1" x14ac:dyDescent="0.4">
      <c r="B6" s="34" t="s">
        <v>267</v>
      </c>
      <c r="C6" s="35" t="s">
        <v>273</v>
      </c>
      <c r="D6" s="35" t="s">
        <v>312</v>
      </c>
      <c r="F6" s="34">
        <v>3</v>
      </c>
    </row>
    <row r="7" spans="2:8" ht="44" thickBot="1" x14ac:dyDescent="0.4">
      <c r="B7" s="34" t="s">
        <v>268</v>
      </c>
      <c r="C7" s="36" t="s">
        <v>274</v>
      </c>
      <c r="D7" s="37" t="s">
        <v>313</v>
      </c>
      <c r="F7" s="34">
        <v>4</v>
      </c>
    </row>
    <row r="8" spans="2:8" ht="44" thickBot="1" x14ac:dyDescent="0.4">
      <c r="B8" s="34" t="s">
        <v>212</v>
      </c>
      <c r="C8" s="36" t="s">
        <v>275</v>
      </c>
      <c r="D8" s="37" t="s">
        <v>314</v>
      </c>
      <c r="F8" s="34">
        <v>5</v>
      </c>
    </row>
    <row r="10" spans="2:8" ht="15" thickBot="1" x14ac:dyDescent="0.4"/>
    <row r="11" spans="2:8" ht="15" thickBot="1" x14ac:dyDescent="0.4">
      <c r="B11" s="33" t="s">
        <v>372</v>
      </c>
      <c r="C11" s="139" t="s">
        <v>52</v>
      </c>
      <c r="D11" s="140"/>
    </row>
    <row r="12" spans="2:8" x14ac:dyDescent="0.35">
      <c r="B12" s="50">
        <v>1</v>
      </c>
      <c r="C12" s="65" t="s">
        <v>0</v>
      </c>
      <c r="D12" s="66"/>
    </row>
    <row r="13" spans="2:8" x14ac:dyDescent="0.35">
      <c r="B13" s="50">
        <v>2</v>
      </c>
      <c r="C13" s="67" t="s">
        <v>1</v>
      </c>
      <c r="D13" s="68"/>
    </row>
    <row r="14" spans="2:8" x14ac:dyDescent="0.35">
      <c r="B14" s="50">
        <v>3</v>
      </c>
      <c r="C14" s="67" t="s">
        <v>2</v>
      </c>
      <c r="D14" s="68"/>
      <c r="E14" s="49"/>
      <c r="F14" s="49"/>
      <c r="G14" s="49"/>
      <c r="H14" s="49"/>
    </row>
    <row r="15" spans="2:8" x14ac:dyDescent="0.35">
      <c r="B15" s="50">
        <v>4</v>
      </c>
      <c r="C15" s="67" t="s">
        <v>3</v>
      </c>
      <c r="D15" s="68"/>
      <c r="E15" s="49"/>
      <c r="F15" s="49"/>
      <c r="G15" s="49"/>
      <c r="H15" s="49"/>
    </row>
    <row r="16" spans="2:8" x14ac:dyDescent="0.35">
      <c r="B16" s="50">
        <v>5</v>
      </c>
      <c r="C16" s="67" t="s">
        <v>4</v>
      </c>
      <c r="D16" s="68"/>
      <c r="E16" s="49"/>
      <c r="F16" s="49"/>
      <c r="G16" s="49"/>
      <c r="H16" s="49"/>
    </row>
    <row r="17" spans="2:8" x14ac:dyDescent="0.35">
      <c r="B17" s="50">
        <v>6</v>
      </c>
      <c r="C17" s="67" t="s">
        <v>5</v>
      </c>
      <c r="D17" s="68"/>
      <c r="E17" s="49"/>
      <c r="F17" s="49"/>
      <c r="G17" s="49"/>
      <c r="H17" s="49"/>
    </row>
    <row r="18" spans="2:8" x14ac:dyDescent="0.35">
      <c r="B18" s="50">
        <v>7</v>
      </c>
      <c r="C18" s="67" t="s">
        <v>6</v>
      </c>
      <c r="D18" s="68"/>
      <c r="E18" s="49"/>
      <c r="F18" s="49"/>
      <c r="G18" s="49"/>
      <c r="H18" s="49"/>
    </row>
    <row r="19" spans="2:8" x14ac:dyDescent="0.35">
      <c r="B19" s="50">
        <v>8</v>
      </c>
      <c r="C19" s="67" t="s">
        <v>7</v>
      </c>
      <c r="D19" s="68"/>
      <c r="E19" s="49"/>
      <c r="F19" s="49"/>
      <c r="G19" s="49"/>
      <c r="H19" s="49"/>
    </row>
    <row r="20" spans="2:8" x14ac:dyDescent="0.35">
      <c r="B20" s="50">
        <v>9</v>
      </c>
      <c r="C20" s="67" t="s">
        <v>8</v>
      </c>
      <c r="D20" s="68"/>
      <c r="E20" s="49"/>
      <c r="F20" s="49"/>
      <c r="G20" s="49"/>
      <c r="H20" s="49"/>
    </row>
    <row r="21" spans="2:8" x14ac:dyDescent="0.35">
      <c r="B21" s="51">
        <v>10</v>
      </c>
      <c r="C21" s="67" t="s">
        <v>9</v>
      </c>
      <c r="D21" s="68"/>
      <c r="E21" s="49"/>
      <c r="F21" s="49"/>
      <c r="G21" s="49"/>
      <c r="H21" s="49"/>
    </row>
  </sheetData>
  <mergeCells count="1">
    <mergeCell ref="C11:D11"/>
  </mergeCells>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vt:i4>
      </vt:variant>
      <vt:variant>
        <vt:lpstr>Named Ranges</vt:lpstr>
      </vt:variant>
      <vt:variant>
        <vt:i4>2</vt:i4>
      </vt:variant>
    </vt:vector>
  </HeadingPairs>
  <TitlesOfParts>
    <vt:vector size="6" baseType="lpstr">
      <vt:lpstr>Instructions</vt:lpstr>
      <vt:lpstr>Threat Sub-Practice Matrix</vt:lpstr>
      <vt:lpstr>Organization Size Chart</vt:lpstr>
      <vt:lpstr>Threat &amp; Practices Chart</vt:lpstr>
      <vt:lpstr>Instructions!Print_Area</vt:lpstr>
      <vt:lpstr>Instructions!Print_Titles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2015-06-05T18:17:20Z</dcterms:created>
  <dcterms:modified xsi:type="dcterms:W3CDTF">2021-04-30T12:41:34Z</dcterms:modified>
</cp:coreProperties>
</file>